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Movimientos" sheetId="3" state="visible" r:id="rId3"/>
    <sheet xmlns:r="http://schemas.openxmlformats.org/officeDocument/2006/relationships" name="Ventas del me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;&quot;-$&quot;#,##0;\-"/>
    <numFmt numFmtId="165" formatCode="dd/mm/yyyy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3D"/>
      <sz val="16"/>
    </font>
    <font>
      <name val="Arial"/>
      <charset val="1"/>
      <family val="0"/>
      <color rgb="FF5F6A68"/>
      <sz val="10"/>
    </font>
    <font>
      <name val="Arial"/>
      <charset val="1"/>
      <family val="0"/>
      <b val="1"/>
      <color rgb="FF1F3A3D"/>
      <sz val="12"/>
    </font>
    <font>
      <name val="Arial"/>
      <charset val="1"/>
      <family val="0"/>
      <sz val="10"/>
    </font>
    <font>
      <name val="Arial"/>
      <charset val="1"/>
      <family val="0"/>
      <i val="1"/>
      <color rgb="FF5F6A68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1F3A3D"/>
      <sz val="13"/>
    </font>
    <font>
      <name val="Arial"/>
      <charset val="1"/>
      <family val="0"/>
      <b val="1"/>
      <color rgb="FFC2562F"/>
      <sz val="10"/>
    </font>
  </fonts>
  <fills count="5">
    <fill>
      <patternFill/>
    </fill>
    <fill>
      <patternFill patternType="gray125"/>
    </fill>
    <fill>
      <patternFill patternType="solid">
        <fgColor rgb="FFC2562F"/>
        <bgColor rgb="FF993366"/>
      </patternFill>
    </fill>
    <fill>
      <patternFill patternType="solid">
        <fgColor rgb="FF1F3A3D"/>
        <bgColor rgb="FF003366"/>
      </patternFill>
    </fill>
    <fill>
      <patternFill patternType="solid">
        <fgColor rgb="FFFFF7D6"/>
        <bgColor rgb="FFFFFFFF"/>
      </patternFill>
    </fill>
  </fills>
  <borders count="2">
    <border>
      <left/>
      <right/>
      <top/>
      <bottom/>
      <diagonal/>
    </border>
    <border>
      <left style="thin">
        <color rgb="FFE0DCD2"/>
      </left>
      <right style="thin">
        <color rgb="FFE0DCD2"/>
      </right>
      <top style="thin">
        <color rgb="FFE0DCD2"/>
      </top>
      <bottom style="thin">
        <color rgb="FFE0DCD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center" indent="1"/>
    </xf>
    <xf numFmtId="0" fontId="5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general" vertical="bottom"/>
    </xf>
    <xf numFmtId="164" fontId="11" fillId="4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5" fontId="11" fillId="4" borderId="1" applyAlignment="1" pivotButton="0" quotePrefix="0" xfId="0">
      <alignment horizontal="general" vertical="bottom"/>
    </xf>
    <xf numFmtId="0" fontId="11" fillId="4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center" indent="1"/>
    </xf>
    <xf numFmtId="0" fontId="5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general" vertical="bottom"/>
    </xf>
    <xf numFmtId="164" fontId="11" fillId="4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5" fontId="11" fillId="4" borderId="1" applyAlignment="1" pivotButton="0" quotePrefix="0" xfId="0">
      <alignment horizontal="general" vertical="bottom"/>
    </xf>
    <xf numFmtId="0" fontId="11" fillId="4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name val="Arial"/>
        <charset val="1"/>
        <family val="0"/>
        <b val="1"/>
        <color rgb="FFFFFFFF"/>
      </font>
      <fill>
        <patternFill>
          <bgColor rgb="FFB42318"/>
        </patternFill>
      </fill>
    </dxf>
    <dxf>
      <font>
        <name val="Arial"/>
        <charset val="1"/>
        <family val="0"/>
        <b val="1"/>
        <color rgb="FF1F7A4D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D"/>
      <rgbColor rgb="FFC0C0C0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E0DC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2562F"/>
      <rgbColor rgb="FF5F6A68"/>
      <rgbColor rgb="FF969696"/>
      <rgbColor rgb="FF003366"/>
      <rgbColor rgb="FF339966"/>
      <rgbColor rgb="FF003300"/>
      <rgbColor rgb="FF333300"/>
      <rgbColor rgb="FFB42318"/>
      <rgbColor rgb="FF993366"/>
      <rgbColor rgb="FF333399"/>
      <rgbColor rgb="FF1F3A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0" min="1" max="1"/>
    <col width="95" customWidth="1" style="20" min="2" max="2"/>
  </cols>
  <sheetData>
    <row r="1"/>
    <row r="2" ht="19.7" customHeight="1" s="21">
      <c r="B2" s="22" t="inlineStr">
        <is>
          <t>Stock y ventas para tu negocio</t>
        </is>
      </c>
    </row>
    <row r="3" ht="23.85" customHeight="1" s="21">
      <c r="B3" s="23" t="inlineStr">
        <is>
          <t>Para kioscos, almacenes, ferreterías, tiendas o emprendimientos: cuánto te queda de cada producto, qué tenés que reponer y cuánto ganaste.</t>
        </is>
      </c>
    </row>
    <row r="4"/>
    <row r="5" ht="15" customHeight="1" s="21">
      <c r="B5" s="24" t="inlineStr">
        <is>
          <t>Cómo se usa</t>
        </is>
      </c>
    </row>
    <row r="6" ht="15" customHeight="1" s="21">
      <c r="B6" s="25" t="inlineStr">
        <is>
          <t>• Hoja "Productos": cargá cada producto con su código, costo, precio de venta, stock inicial y stock mínimo.</t>
        </is>
      </c>
    </row>
    <row r="7" ht="23.85" customHeight="1" s="21">
      <c r="B7" s="25" t="inlineStr">
        <is>
          <t>• Hoja "Movimientos": cada vez que entra mercadería o vendés, una fila con el código, el tipo (Entrada o Venta) y la cantidad.</t>
        </is>
      </c>
    </row>
    <row r="8" ht="15" customHeight="1" s="21">
      <c r="B8" s="25" t="inlineStr">
        <is>
          <t>• En "Productos" se calcula solo el stock actual, y aparece "REPONER" cuando baja del mínimo.</t>
        </is>
      </c>
    </row>
    <row r="9" ht="15" customHeight="1" s="21">
      <c r="B9" s="25" t="inlineStr">
        <is>
          <t>• Hoja "Ventas del mes": elegí mes y año, y ves cuánto vendiste y cuánto ganaste.</t>
        </is>
      </c>
    </row>
    <row r="10"/>
    <row r="11" ht="15" customHeight="1" s="21">
      <c r="B11" s="26" t="inlineStr">
        <is>
          <t>Celdas amarillas con texto azul = las completás vos. El resto se calcula solo: no lo borres.</t>
        </is>
      </c>
    </row>
    <row r="12"/>
    <row r="13" ht="30" customHeight="1" s="21">
      <c r="B13" s="27" t="inlineStr">
        <is>
          <t>Si te sirvió y querés colaborar, mi alias de Mercado Pago es igna.pelliza. Gracias.</t>
        </is>
      </c>
    </row>
    <row r="14" ht="15" customHeight="1" s="21">
      <c r="B14" s="28" t="inlineStr">
        <is>
          <t>Plantilla gratuita hecha en San Juan, Argentina. Podés usarla y compartirla. Revisá siempre tus números: es una herramienta de ayuda.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5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0" min="1" max="1"/>
    <col width="30" customWidth="1" style="20" min="2" max="2"/>
    <col width="12" customWidth="1" style="20" min="3" max="3"/>
    <col width="14" customWidth="1" style="20" min="4" max="5"/>
    <col width="11" customWidth="1" style="20" min="6" max="7"/>
    <col width="10" customWidth="1" style="20" min="8" max="9"/>
    <col width="11" customWidth="1" style="20" min="10" max="10"/>
    <col width="12" customWidth="1" style="20" min="11" max="11"/>
  </cols>
  <sheetData>
    <row r="1" ht="30" customHeight="1" s="21">
      <c r="A1" s="29" t="inlineStr">
        <is>
          <t>Código</t>
        </is>
      </c>
      <c r="B1" s="29" t="inlineStr">
        <is>
          <t>Producto</t>
        </is>
      </c>
      <c r="C1" s="29" t="inlineStr">
        <is>
          <t>Costo ($)</t>
        </is>
      </c>
      <c r="D1" s="29" t="inlineStr">
        <is>
          <t>Precio de venta ($)</t>
        </is>
      </c>
      <c r="E1" s="29" t="inlineStr">
        <is>
          <t>Ganancia por unidad</t>
        </is>
      </c>
      <c r="F1" s="29" t="inlineStr">
        <is>
          <t>Stock inicial</t>
        </is>
      </c>
      <c r="G1" s="29" t="inlineStr">
        <is>
          <t>Stock mínimo</t>
        </is>
      </c>
      <c r="H1" s="29" t="inlineStr">
        <is>
          <t>Entradas</t>
        </is>
      </c>
      <c r="I1" s="29" t="inlineStr">
        <is>
          <t>Vendidos</t>
        </is>
      </c>
      <c r="J1" s="29" t="inlineStr">
        <is>
          <t>Stock actual</t>
        </is>
      </c>
      <c r="K1" s="29" t="inlineStr">
        <is>
          <t>Estado</t>
        </is>
      </c>
    </row>
    <row r="2" ht="15" customHeight="1" s="21">
      <c r="A2" s="30" t="inlineStr">
        <is>
          <t>A001</t>
        </is>
      </c>
      <c r="B2" s="30" t="inlineStr">
        <is>
          <t>Gaseosa 2,25 L (ejemplo)</t>
        </is>
      </c>
      <c r="C2" s="31" t="n">
        <v>1800</v>
      </c>
      <c r="D2" s="31" t="n">
        <v>2600</v>
      </c>
      <c r="E2" s="32">
        <f>IF(A2="","",D2-C2)</f>
        <v/>
      </c>
      <c r="F2" s="30" t="n">
        <v>24</v>
      </c>
      <c r="G2" s="30" t="n">
        <v>6</v>
      </c>
      <c r="H2" s="33">
        <f>IF(A2="","",SUMIFS(Movimientos!$D$2:$D$3001,Movimientos!$B$2:$B$3001,A2,Movimientos!$C$2:$C$3001,"Entrada"))</f>
        <v/>
      </c>
      <c r="I2" s="33">
        <f>IF(A2="","",SUMIFS(Movimientos!$D$2:$D$3001,Movimientos!$B$2:$B$3001,A2,Movimientos!$C$2:$C$3001,"Venta"))</f>
        <v/>
      </c>
      <c r="J2" s="33">
        <f>IF(A2="","",F2+H2-I2)</f>
        <v/>
      </c>
      <c r="K2" s="33">
        <f>IF(A2="","",IF(J2&lt;=G2,"REPONER","OK"))</f>
        <v/>
      </c>
    </row>
    <row r="3" ht="15" customHeight="1" s="21">
      <c r="A3" s="30" t="n"/>
      <c r="B3" s="30" t="n"/>
      <c r="C3" s="31" t="n"/>
      <c r="D3" s="31" t="n"/>
      <c r="E3" s="32">
        <f>IF(A3="","",D3-C3)</f>
        <v/>
      </c>
      <c r="F3" s="30" t="n"/>
      <c r="G3" s="30" t="n"/>
      <c r="H3" s="33">
        <f>IF(A3="","",SUMIFS(Movimientos!$D$2:$D$3001,Movimientos!$B$2:$B$3001,A3,Movimientos!$C$2:$C$3001,"Entrada"))</f>
        <v/>
      </c>
      <c r="I3" s="33">
        <f>IF(A3="","",SUMIFS(Movimientos!$D$2:$D$3001,Movimientos!$B$2:$B$3001,A3,Movimientos!$C$2:$C$3001,"Venta"))</f>
        <v/>
      </c>
      <c r="J3" s="33">
        <f>IF(A3="","",F3+H3-I3)</f>
        <v/>
      </c>
      <c r="K3" s="33">
        <f>IF(A3="","",IF(J3&lt;=G3,"REPONER","OK"))</f>
        <v/>
      </c>
    </row>
    <row r="4" ht="15" customHeight="1" s="21">
      <c r="A4" s="30" t="n"/>
      <c r="B4" s="30" t="n"/>
      <c r="C4" s="31" t="n"/>
      <c r="D4" s="31" t="n"/>
      <c r="E4" s="32">
        <f>IF(A4="","",D4-C4)</f>
        <v/>
      </c>
      <c r="F4" s="30" t="n"/>
      <c r="G4" s="30" t="n"/>
      <c r="H4" s="33">
        <f>IF(A4="","",SUMIFS(Movimientos!$D$2:$D$3001,Movimientos!$B$2:$B$3001,A4,Movimientos!$C$2:$C$3001,"Entrada"))</f>
        <v/>
      </c>
      <c r="I4" s="33">
        <f>IF(A4="","",SUMIFS(Movimientos!$D$2:$D$3001,Movimientos!$B$2:$B$3001,A4,Movimientos!$C$2:$C$3001,"Venta"))</f>
        <v/>
      </c>
      <c r="J4" s="33">
        <f>IF(A4="","",F4+H4-I4)</f>
        <v/>
      </c>
      <c r="K4" s="33">
        <f>IF(A4="","",IF(J4&lt;=G4,"REPONER","OK"))</f>
        <v/>
      </c>
    </row>
    <row r="5" ht="15" customHeight="1" s="21">
      <c r="A5" s="30" t="n"/>
      <c r="B5" s="30" t="n"/>
      <c r="C5" s="31" t="n"/>
      <c r="D5" s="31" t="n"/>
      <c r="E5" s="32">
        <f>IF(A5="","",D5-C5)</f>
        <v/>
      </c>
      <c r="F5" s="30" t="n"/>
      <c r="G5" s="30" t="n"/>
      <c r="H5" s="33">
        <f>IF(A5="","",SUMIFS(Movimientos!$D$2:$D$3001,Movimientos!$B$2:$B$3001,A5,Movimientos!$C$2:$C$3001,"Entrada"))</f>
        <v/>
      </c>
      <c r="I5" s="33">
        <f>IF(A5="","",SUMIFS(Movimientos!$D$2:$D$3001,Movimientos!$B$2:$B$3001,A5,Movimientos!$C$2:$C$3001,"Venta"))</f>
        <v/>
      </c>
      <c r="J5" s="33">
        <f>IF(A5="","",F5+H5-I5)</f>
        <v/>
      </c>
      <c r="K5" s="33">
        <f>IF(A5="","",IF(J5&lt;=G5,"REPONER","OK"))</f>
        <v/>
      </c>
    </row>
    <row r="6" ht="15" customHeight="1" s="21">
      <c r="A6" s="30" t="n"/>
      <c r="B6" s="30" t="n"/>
      <c r="C6" s="31" t="n"/>
      <c r="D6" s="31" t="n"/>
      <c r="E6" s="32">
        <f>IF(A6="","",D6-C6)</f>
        <v/>
      </c>
      <c r="F6" s="30" t="n"/>
      <c r="G6" s="30" t="n"/>
      <c r="H6" s="33">
        <f>IF(A6="","",SUMIFS(Movimientos!$D$2:$D$3001,Movimientos!$B$2:$B$3001,A6,Movimientos!$C$2:$C$3001,"Entrada"))</f>
        <v/>
      </c>
      <c r="I6" s="33">
        <f>IF(A6="","",SUMIFS(Movimientos!$D$2:$D$3001,Movimientos!$B$2:$B$3001,A6,Movimientos!$C$2:$C$3001,"Venta"))</f>
        <v/>
      </c>
      <c r="J6" s="33">
        <f>IF(A6="","",F6+H6-I6)</f>
        <v/>
      </c>
      <c r="K6" s="33">
        <f>IF(A6="","",IF(J6&lt;=G6,"REPONER","OK"))</f>
        <v/>
      </c>
    </row>
    <row r="7" ht="15" customHeight="1" s="21">
      <c r="A7" s="30" t="n"/>
      <c r="B7" s="30" t="n"/>
      <c r="C7" s="31" t="n"/>
      <c r="D7" s="31" t="n"/>
      <c r="E7" s="32">
        <f>IF(A7="","",D7-C7)</f>
        <v/>
      </c>
      <c r="F7" s="30" t="n"/>
      <c r="G7" s="30" t="n"/>
      <c r="H7" s="33">
        <f>IF(A7="","",SUMIFS(Movimientos!$D$2:$D$3001,Movimientos!$B$2:$B$3001,A7,Movimientos!$C$2:$C$3001,"Entrada"))</f>
        <v/>
      </c>
      <c r="I7" s="33">
        <f>IF(A7="","",SUMIFS(Movimientos!$D$2:$D$3001,Movimientos!$B$2:$B$3001,A7,Movimientos!$C$2:$C$3001,"Venta"))</f>
        <v/>
      </c>
      <c r="J7" s="33">
        <f>IF(A7="","",F7+H7-I7)</f>
        <v/>
      </c>
      <c r="K7" s="33">
        <f>IF(A7="","",IF(J7&lt;=G7,"REPONER","OK"))</f>
        <v/>
      </c>
    </row>
    <row r="8" ht="15" customHeight="1" s="21">
      <c r="A8" s="30" t="n"/>
      <c r="B8" s="30" t="n"/>
      <c r="C8" s="31" t="n"/>
      <c r="D8" s="31" t="n"/>
      <c r="E8" s="32">
        <f>IF(A8="","",D8-C8)</f>
        <v/>
      </c>
      <c r="F8" s="30" t="n"/>
      <c r="G8" s="30" t="n"/>
      <c r="H8" s="33">
        <f>IF(A8="","",SUMIFS(Movimientos!$D$2:$D$3001,Movimientos!$B$2:$B$3001,A8,Movimientos!$C$2:$C$3001,"Entrada"))</f>
        <v/>
      </c>
      <c r="I8" s="33">
        <f>IF(A8="","",SUMIFS(Movimientos!$D$2:$D$3001,Movimientos!$B$2:$B$3001,A8,Movimientos!$C$2:$C$3001,"Venta"))</f>
        <v/>
      </c>
      <c r="J8" s="33">
        <f>IF(A8="","",F8+H8-I8)</f>
        <v/>
      </c>
      <c r="K8" s="33">
        <f>IF(A8="","",IF(J8&lt;=G8,"REPONER","OK"))</f>
        <v/>
      </c>
    </row>
    <row r="9" ht="15" customHeight="1" s="21">
      <c r="A9" s="30" t="n"/>
      <c r="B9" s="30" t="n"/>
      <c r="C9" s="31" t="n"/>
      <c r="D9" s="31" t="n"/>
      <c r="E9" s="32">
        <f>IF(A9="","",D9-C9)</f>
        <v/>
      </c>
      <c r="F9" s="30" t="n"/>
      <c r="G9" s="30" t="n"/>
      <c r="H9" s="33">
        <f>IF(A9="","",SUMIFS(Movimientos!$D$2:$D$3001,Movimientos!$B$2:$B$3001,A9,Movimientos!$C$2:$C$3001,"Entrada"))</f>
        <v/>
      </c>
      <c r="I9" s="33">
        <f>IF(A9="","",SUMIFS(Movimientos!$D$2:$D$3001,Movimientos!$B$2:$B$3001,A9,Movimientos!$C$2:$C$3001,"Venta"))</f>
        <v/>
      </c>
      <c r="J9" s="33">
        <f>IF(A9="","",F9+H9-I9)</f>
        <v/>
      </c>
      <c r="K9" s="33">
        <f>IF(A9="","",IF(J9&lt;=G9,"REPONER","OK"))</f>
        <v/>
      </c>
    </row>
    <row r="10" ht="15" customHeight="1" s="21">
      <c r="A10" s="30" t="n"/>
      <c r="B10" s="30" t="n"/>
      <c r="C10" s="31" t="n"/>
      <c r="D10" s="31" t="n"/>
      <c r="E10" s="32">
        <f>IF(A10="","",D10-C10)</f>
        <v/>
      </c>
      <c r="F10" s="30" t="n"/>
      <c r="G10" s="30" t="n"/>
      <c r="H10" s="33">
        <f>IF(A10="","",SUMIFS(Movimientos!$D$2:$D$3001,Movimientos!$B$2:$B$3001,A10,Movimientos!$C$2:$C$3001,"Entrada"))</f>
        <v/>
      </c>
      <c r="I10" s="33">
        <f>IF(A10="","",SUMIFS(Movimientos!$D$2:$D$3001,Movimientos!$B$2:$B$3001,A10,Movimientos!$C$2:$C$3001,"Venta"))</f>
        <v/>
      </c>
      <c r="J10" s="33">
        <f>IF(A10="","",F10+H10-I10)</f>
        <v/>
      </c>
      <c r="K10" s="33">
        <f>IF(A10="","",IF(J10&lt;=G10,"REPONER","OK"))</f>
        <v/>
      </c>
    </row>
    <row r="11" ht="15" customHeight="1" s="21">
      <c r="A11" s="30" t="n"/>
      <c r="B11" s="30" t="n"/>
      <c r="C11" s="31" t="n"/>
      <c r="D11" s="31" t="n"/>
      <c r="E11" s="32">
        <f>IF(A11="","",D11-C11)</f>
        <v/>
      </c>
      <c r="F11" s="30" t="n"/>
      <c r="G11" s="30" t="n"/>
      <c r="H11" s="33">
        <f>IF(A11="","",SUMIFS(Movimientos!$D$2:$D$3001,Movimientos!$B$2:$B$3001,A11,Movimientos!$C$2:$C$3001,"Entrada"))</f>
        <v/>
      </c>
      <c r="I11" s="33">
        <f>IF(A11="","",SUMIFS(Movimientos!$D$2:$D$3001,Movimientos!$B$2:$B$3001,A11,Movimientos!$C$2:$C$3001,"Venta"))</f>
        <v/>
      </c>
      <c r="J11" s="33">
        <f>IF(A11="","",F11+H11-I11)</f>
        <v/>
      </c>
      <c r="K11" s="33">
        <f>IF(A11="","",IF(J11&lt;=G11,"REPONER","OK"))</f>
        <v/>
      </c>
    </row>
    <row r="12" ht="15" customHeight="1" s="21">
      <c r="A12" s="30" t="n"/>
      <c r="B12" s="30" t="n"/>
      <c r="C12" s="31" t="n"/>
      <c r="D12" s="31" t="n"/>
      <c r="E12" s="32">
        <f>IF(A12="","",D12-C12)</f>
        <v/>
      </c>
      <c r="F12" s="30" t="n"/>
      <c r="G12" s="30" t="n"/>
      <c r="H12" s="33">
        <f>IF(A12="","",SUMIFS(Movimientos!$D$2:$D$3001,Movimientos!$B$2:$B$3001,A12,Movimientos!$C$2:$C$3001,"Entrada"))</f>
        <v/>
      </c>
      <c r="I12" s="33">
        <f>IF(A12="","",SUMIFS(Movimientos!$D$2:$D$3001,Movimientos!$B$2:$B$3001,A12,Movimientos!$C$2:$C$3001,"Venta"))</f>
        <v/>
      </c>
      <c r="J12" s="33">
        <f>IF(A12="","",F12+H12-I12)</f>
        <v/>
      </c>
      <c r="K12" s="33">
        <f>IF(A12="","",IF(J12&lt;=G12,"REPONER","OK"))</f>
        <v/>
      </c>
    </row>
    <row r="13" ht="15" customHeight="1" s="21">
      <c r="A13" s="30" t="n"/>
      <c r="B13" s="30" t="n"/>
      <c r="C13" s="31" t="n"/>
      <c r="D13" s="31" t="n"/>
      <c r="E13" s="32">
        <f>IF(A13="","",D13-C13)</f>
        <v/>
      </c>
      <c r="F13" s="30" t="n"/>
      <c r="G13" s="30" t="n"/>
      <c r="H13" s="33">
        <f>IF(A13="","",SUMIFS(Movimientos!$D$2:$D$3001,Movimientos!$B$2:$B$3001,A13,Movimientos!$C$2:$C$3001,"Entrada"))</f>
        <v/>
      </c>
      <c r="I13" s="33">
        <f>IF(A13="","",SUMIFS(Movimientos!$D$2:$D$3001,Movimientos!$B$2:$B$3001,A13,Movimientos!$C$2:$C$3001,"Venta"))</f>
        <v/>
      </c>
      <c r="J13" s="33">
        <f>IF(A13="","",F13+H13-I13)</f>
        <v/>
      </c>
      <c r="K13" s="33">
        <f>IF(A13="","",IF(J13&lt;=G13,"REPONER","OK"))</f>
        <v/>
      </c>
    </row>
    <row r="14" ht="15" customHeight="1" s="21">
      <c r="A14" s="30" t="n"/>
      <c r="B14" s="30" t="n"/>
      <c r="C14" s="31" t="n"/>
      <c r="D14" s="31" t="n"/>
      <c r="E14" s="32">
        <f>IF(A14="","",D14-C14)</f>
        <v/>
      </c>
      <c r="F14" s="30" t="n"/>
      <c r="G14" s="30" t="n"/>
      <c r="H14" s="33">
        <f>IF(A14="","",SUMIFS(Movimientos!$D$2:$D$3001,Movimientos!$B$2:$B$3001,A14,Movimientos!$C$2:$C$3001,"Entrada"))</f>
        <v/>
      </c>
      <c r="I14" s="33">
        <f>IF(A14="","",SUMIFS(Movimientos!$D$2:$D$3001,Movimientos!$B$2:$B$3001,A14,Movimientos!$C$2:$C$3001,"Venta"))</f>
        <v/>
      </c>
      <c r="J14" s="33">
        <f>IF(A14="","",F14+H14-I14)</f>
        <v/>
      </c>
      <c r="K14" s="33">
        <f>IF(A14="","",IF(J14&lt;=G14,"REPONER","OK"))</f>
        <v/>
      </c>
    </row>
    <row r="15" ht="15" customHeight="1" s="21">
      <c r="A15" s="30" t="n"/>
      <c r="B15" s="30" t="n"/>
      <c r="C15" s="31" t="n"/>
      <c r="D15" s="31" t="n"/>
      <c r="E15" s="32">
        <f>IF(A15="","",D15-C15)</f>
        <v/>
      </c>
      <c r="F15" s="30" t="n"/>
      <c r="G15" s="30" t="n"/>
      <c r="H15" s="33">
        <f>IF(A15="","",SUMIFS(Movimientos!$D$2:$D$3001,Movimientos!$B$2:$B$3001,A15,Movimientos!$C$2:$C$3001,"Entrada"))</f>
        <v/>
      </c>
      <c r="I15" s="33">
        <f>IF(A15="","",SUMIFS(Movimientos!$D$2:$D$3001,Movimientos!$B$2:$B$3001,A15,Movimientos!$C$2:$C$3001,"Venta"))</f>
        <v/>
      </c>
      <c r="J15" s="33">
        <f>IF(A15="","",F15+H15-I15)</f>
        <v/>
      </c>
      <c r="K15" s="33">
        <f>IF(A15="","",IF(J15&lt;=G15,"REPONER","OK"))</f>
        <v/>
      </c>
    </row>
    <row r="16" ht="15" customHeight="1" s="21">
      <c r="A16" s="30" t="n"/>
      <c r="B16" s="30" t="n"/>
      <c r="C16" s="31" t="n"/>
      <c r="D16" s="31" t="n"/>
      <c r="E16" s="32">
        <f>IF(A16="","",D16-C16)</f>
        <v/>
      </c>
      <c r="F16" s="30" t="n"/>
      <c r="G16" s="30" t="n"/>
      <c r="H16" s="33">
        <f>IF(A16="","",SUMIFS(Movimientos!$D$2:$D$3001,Movimientos!$B$2:$B$3001,A16,Movimientos!$C$2:$C$3001,"Entrada"))</f>
        <v/>
      </c>
      <c r="I16" s="33">
        <f>IF(A16="","",SUMIFS(Movimientos!$D$2:$D$3001,Movimientos!$B$2:$B$3001,A16,Movimientos!$C$2:$C$3001,"Venta"))</f>
        <v/>
      </c>
      <c r="J16" s="33">
        <f>IF(A16="","",F16+H16-I16)</f>
        <v/>
      </c>
      <c r="K16" s="33">
        <f>IF(A16="","",IF(J16&lt;=G16,"REPONER","OK"))</f>
        <v/>
      </c>
    </row>
    <row r="17" ht="15" customHeight="1" s="21">
      <c r="A17" s="30" t="n"/>
      <c r="B17" s="30" t="n"/>
      <c r="C17" s="31" t="n"/>
      <c r="D17" s="31" t="n"/>
      <c r="E17" s="32">
        <f>IF(A17="","",D17-C17)</f>
        <v/>
      </c>
      <c r="F17" s="30" t="n"/>
      <c r="G17" s="30" t="n"/>
      <c r="H17" s="33">
        <f>IF(A17="","",SUMIFS(Movimientos!$D$2:$D$3001,Movimientos!$B$2:$B$3001,A17,Movimientos!$C$2:$C$3001,"Entrada"))</f>
        <v/>
      </c>
      <c r="I17" s="33">
        <f>IF(A17="","",SUMIFS(Movimientos!$D$2:$D$3001,Movimientos!$B$2:$B$3001,A17,Movimientos!$C$2:$C$3001,"Venta"))</f>
        <v/>
      </c>
      <c r="J17" s="33">
        <f>IF(A17="","",F17+H17-I17)</f>
        <v/>
      </c>
      <c r="K17" s="33">
        <f>IF(A17="","",IF(J17&lt;=G17,"REPONER","OK"))</f>
        <v/>
      </c>
    </row>
    <row r="18" ht="15" customHeight="1" s="21">
      <c r="A18" s="30" t="n"/>
      <c r="B18" s="30" t="n"/>
      <c r="C18" s="31" t="n"/>
      <c r="D18" s="31" t="n"/>
      <c r="E18" s="32">
        <f>IF(A18="","",D18-C18)</f>
        <v/>
      </c>
      <c r="F18" s="30" t="n"/>
      <c r="G18" s="30" t="n"/>
      <c r="H18" s="33">
        <f>IF(A18="","",SUMIFS(Movimientos!$D$2:$D$3001,Movimientos!$B$2:$B$3001,A18,Movimientos!$C$2:$C$3001,"Entrada"))</f>
        <v/>
      </c>
      <c r="I18" s="33">
        <f>IF(A18="","",SUMIFS(Movimientos!$D$2:$D$3001,Movimientos!$B$2:$B$3001,A18,Movimientos!$C$2:$C$3001,"Venta"))</f>
        <v/>
      </c>
      <c r="J18" s="33">
        <f>IF(A18="","",F18+H18-I18)</f>
        <v/>
      </c>
      <c r="K18" s="33">
        <f>IF(A18="","",IF(J18&lt;=G18,"REPONER","OK"))</f>
        <v/>
      </c>
    </row>
    <row r="19" ht="15" customHeight="1" s="21">
      <c r="A19" s="30" t="n"/>
      <c r="B19" s="30" t="n"/>
      <c r="C19" s="31" t="n"/>
      <c r="D19" s="31" t="n"/>
      <c r="E19" s="32">
        <f>IF(A19="","",D19-C19)</f>
        <v/>
      </c>
      <c r="F19" s="30" t="n"/>
      <c r="G19" s="30" t="n"/>
      <c r="H19" s="33">
        <f>IF(A19="","",SUMIFS(Movimientos!$D$2:$D$3001,Movimientos!$B$2:$B$3001,A19,Movimientos!$C$2:$C$3001,"Entrada"))</f>
        <v/>
      </c>
      <c r="I19" s="33">
        <f>IF(A19="","",SUMIFS(Movimientos!$D$2:$D$3001,Movimientos!$B$2:$B$3001,A19,Movimientos!$C$2:$C$3001,"Venta"))</f>
        <v/>
      </c>
      <c r="J19" s="33">
        <f>IF(A19="","",F19+H19-I19)</f>
        <v/>
      </c>
      <c r="K19" s="33">
        <f>IF(A19="","",IF(J19&lt;=G19,"REPONER","OK"))</f>
        <v/>
      </c>
    </row>
    <row r="20" ht="15" customHeight="1" s="21">
      <c r="A20" s="30" t="n"/>
      <c r="B20" s="30" t="n"/>
      <c r="C20" s="31" t="n"/>
      <c r="D20" s="31" t="n"/>
      <c r="E20" s="32">
        <f>IF(A20="","",D20-C20)</f>
        <v/>
      </c>
      <c r="F20" s="30" t="n"/>
      <c r="G20" s="30" t="n"/>
      <c r="H20" s="33">
        <f>IF(A20="","",SUMIFS(Movimientos!$D$2:$D$3001,Movimientos!$B$2:$B$3001,A20,Movimientos!$C$2:$C$3001,"Entrada"))</f>
        <v/>
      </c>
      <c r="I20" s="33">
        <f>IF(A20="","",SUMIFS(Movimientos!$D$2:$D$3001,Movimientos!$B$2:$B$3001,A20,Movimientos!$C$2:$C$3001,"Venta"))</f>
        <v/>
      </c>
      <c r="J20" s="33">
        <f>IF(A20="","",F20+H20-I20)</f>
        <v/>
      </c>
      <c r="K20" s="33">
        <f>IF(A20="","",IF(J20&lt;=G20,"REPONER","OK"))</f>
        <v/>
      </c>
    </row>
    <row r="21" ht="15" customHeight="1" s="21">
      <c r="A21" s="30" t="n"/>
      <c r="B21" s="30" t="n"/>
      <c r="C21" s="31" t="n"/>
      <c r="D21" s="31" t="n"/>
      <c r="E21" s="32">
        <f>IF(A21="","",D21-C21)</f>
        <v/>
      </c>
      <c r="F21" s="30" t="n"/>
      <c r="G21" s="30" t="n"/>
      <c r="H21" s="33">
        <f>IF(A21="","",SUMIFS(Movimientos!$D$2:$D$3001,Movimientos!$B$2:$B$3001,A21,Movimientos!$C$2:$C$3001,"Entrada"))</f>
        <v/>
      </c>
      <c r="I21" s="33">
        <f>IF(A21="","",SUMIFS(Movimientos!$D$2:$D$3001,Movimientos!$B$2:$B$3001,A21,Movimientos!$C$2:$C$3001,"Venta"))</f>
        <v/>
      </c>
      <c r="J21" s="33">
        <f>IF(A21="","",F21+H21-I21)</f>
        <v/>
      </c>
      <c r="K21" s="33">
        <f>IF(A21="","",IF(J21&lt;=G21,"REPONER","OK"))</f>
        <v/>
      </c>
    </row>
    <row r="22" ht="15" customHeight="1" s="21">
      <c r="A22" s="30" t="n"/>
      <c r="B22" s="30" t="n"/>
      <c r="C22" s="31" t="n"/>
      <c r="D22" s="31" t="n"/>
      <c r="E22" s="32">
        <f>IF(A22="","",D22-C22)</f>
        <v/>
      </c>
      <c r="F22" s="30" t="n"/>
      <c r="G22" s="30" t="n"/>
      <c r="H22" s="33">
        <f>IF(A22="","",SUMIFS(Movimientos!$D$2:$D$3001,Movimientos!$B$2:$B$3001,A22,Movimientos!$C$2:$C$3001,"Entrada"))</f>
        <v/>
      </c>
      <c r="I22" s="33">
        <f>IF(A22="","",SUMIFS(Movimientos!$D$2:$D$3001,Movimientos!$B$2:$B$3001,A22,Movimientos!$C$2:$C$3001,"Venta"))</f>
        <v/>
      </c>
      <c r="J22" s="33">
        <f>IF(A22="","",F22+H22-I22)</f>
        <v/>
      </c>
      <c r="K22" s="33">
        <f>IF(A22="","",IF(J22&lt;=G22,"REPONER","OK"))</f>
        <v/>
      </c>
    </row>
    <row r="23" ht="15" customHeight="1" s="21">
      <c r="A23" s="30" t="n"/>
      <c r="B23" s="30" t="n"/>
      <c r="C23" s="31" t="n"/>
      <c r="D23" s="31" t="n"/>
      <c r="E23" s="32">
        <f>IF(A23="","",D23-C23)</f>
        <v/>
      </c>
      <c r="F23" s="30" t="n"/>
      <c r="G23" s="30" t="n"/>
      <c r="H23" s="33">
        <f>IF(A23="","",SUMIFS(Movimientos!$D$2:$D$3001,Movimientos!$B$2:$B$3001,A23,Movimientos!$C$2:$C$3001,"Entrada"))</f>
        <v/>
      </c>
      <c r="I23" s="33">
        <f>IF(A23="","",SUMIFS(Movimientos!$D$2:$D$3001,Movimientos!$B$2:$B$3001,A23,Movimientos!$C$2:$C$3001,"Venta"))</f>
        <v/>
      </c>
      <c r="J23" s="33">
        <f>IF(A23="","",F23+H23-I23)</f>
        <v/>
      </c>
      <c r="K23" s="33">
        <f>IF(A23="","",IF(J23&lt;=G23,"REPONER","OK"))</f>
        <v/>
      </c>
    </row>
    <row r="24" ht="15" customHeight="1" s="21">
      <c r="A24" s="30" t="n"/>
      <c r="B24" s="30" t="n"/>
      <c r="C24" s="31" t="n"/>
      <c r="D24" s="31" t="n"/>
      <c r="E24" s="32">
        <f>IF(A24="","",D24-C24)</f>
        <v/>
      </c>
      <c r="F24" s="30" t="n"/>
      <c r="G24" s="30" t="n"/>
      <c r="H24" s="33">
        <f>IF(A24="","",SUMIFS(Movimientos!$D$2:$D$3001,Movimientos!$B$2:$B$3001,A24,Movimientos!$C$2:$C$3001,"Entrada"))</f>
        <v/>
      </c>
      <c r="I24" s="33">
        <f>IF(A24="","",SUMIFS(Movimientos!$D$2:$D$3001,Movimientos!$B$2:$B$3001,A24,Movimientos!$C$2:$C$3001,"Venta"))</f>
        <v/>
      </c>
      <c r="J24" s="33">
        <f>IF(A24="","",F24+H24-I24)</f>
        <v/>
      </c>
      <c r="K24" s="33">
        <f>IF(A24="","",IF(J24&lt;=G24,"REPONER","OK"))</f>
        <v/>
      </c>
    </row>
    <row r="25" ht="15" customHeight="1" s="21">
      <c r="A25" s="30" t="n"/>
      <c r="B25" s="30" t="n"/>
      <c r="C25" s="31" t="n"/>
      <c r="D25" s="31" t="n"/>
      <c r="E25" s="32">
        <f>IF(A25="","",D25-C25)</f>
        <v/>
      </c>
      <c r="F25" s="30" t="n"/>
      <c r="G25" s="30" t="n"/>
      <c r="H25" s="33">
        <f>IF(A25="","",SUMIFS(Movimientos!$D$2:$D$3001,Movimientos!$B$2:$B$3001,A25,Movimientos!$C$2:$C$3001,"Entrada"))</f>
        <v/>
      </c>
      <c r="I25" s="33">
        <f>IF(A25="","",SUMIFS(Movimientos!$D$2:$D$3001,Movimientos!$B$2:$B$3001,A25,Movimientos!$C$2:$C$3001,"Venta"))</f>
        <v/>
      </c>
      <c r="J25" s="33">
        <f>IF(A25="","",F25+H25-I25)</f>
        <v/>
      </c>
      <c r="K25" s="33">
        <f>IF(A25="","",IF(J25&lt;=G25,"REPONER","OK"))</f>
        <v/>
      </c>
    </row>
    <row r="26" ht="15" customHeight="1" s="21">
      <c r="A26" s="30" t="n"/>
      <c r="B26" s="30" t="n"/>
      <c r="C26" s="31" t="n"/>
      <c r="D26" s="31" t="n"/>
      <c r="E26" s="32">
        <f>IF(A26="","",D26-C26)</f>
        <v/>
      </c>
      <c r="F26" s="30" t="n"/>
      <c r="G26" s="30" t="n"/>
      <c r="H26" s="33">
        <f>IF(A26="","",SUMIFS(Movimientos!$D$2:$D$3001,Movimientos!$B$2:$B$3001,A26,Movimientos!$C$2:$C$3001,"Entrada"))</f>
        <v/>
      </c>
      <c r="I26" s="33">
        <f>IF(A26="","",SUMIFS(Movimientos!$D$2:$D$3001,Movimientos!$B$2:$B$3001,A26,Movimientos!$C$2:$C$3001,"Venta"))</f>
        <v/>
      </c>
      <c r="J26" s="33">
        <f>IF(A26="","",F26+H26-I26)</f>
        <v/>
      </c>
      <c r="K26" s="33">
        <f>IF(A26="","",IF(J26&lt;=G26,"REPONER","OK"))</f>
        <v/>
      </c>
    </row>
    <row r="27" ht="15" customHeight="1" s="21">
      <c r="A27" s="30" t="n"/>
      <c r="B27" s="30" t="n"/>
      <c r="C27" s="31" t="n"/>
      <c r="D27" s="31" t="n"/>
      <c r="E27" s="32">
        <f>IF(A27="","",D27-C27)</f>
        <v/>
      </c>
      <c r="F27" s="30" t="n"/>
      <c r="G27" s="30" t="n"/>
      <c r="H27" s="33">
        <f>IF(A27="","",SUMIFS(Movimientos!$D$2:$D$3001,Movimientos!$B$2:$B$3001,A27,Movimientos!$C$2:$C$3001,"Entrada"))</f>
        <v/>
      </c>
      <c r="I27" s="33">
        <f>IF(A27="","",SUMIFS(Movimientos!$D$2:$D$3001,Movimientos!$B$2:$B$3001,A27,Movimientos!$C$2:$C$3001,"Venta"))</f>
        <v/>
      </c>
      <c r="J27" s="33">
        <f>IF(A27="","",F27+H27-I27)</f>
        <v/>
      </c>
      <c r="K27" s="33">
        <f>IF(A27="","",IF(J27&lt;=G27,"REPONER","OK"))</f>
        <v/>
      </c>
    </row>
    <row r="28" ht="15" customHeight="1" s="21">
      <c r="A28" s="30" t="n"/>
      <c r="B28" s="30" t="n"/>
      <c r="C28" s="31" t="n"/>
      <c r="D28" s="31" t="n"/>
      <c r="E28" s="32">
        <f>IF(A28="","",D28-C28)</f>
        <v/>
      </c>
      <c r="F28" s="30" t="n"/>
      <c r="G28" s="30" t="n"/>
      <c r="H28" s="33">
        <f>IF(A28="","",SUMIFS(Movimientos!$D$2:$D$3001,Movimientos!$B$2:$B$3001,A28,Movimientos!$C$2:$C$3001,"Entrada"))</f>
        <v/>
      </c>
      <c r="I28" s="33">
        <f>IF(A28="","",SUMIFS(Movimientos!$D$2:$D$3001,Movimientos!$B$2:$B$3001,A28,Movimientos!$C$2:$C$3001,"Venta"))</f>
        <v/>
      </c>
      <c r="J28" s="33">
        <f>IF(A28="","",F28+H28-I28)</f>
        <v/>
      </c>
      <c r="K28" s="33">
        <f>IF(A28="","",IF(J28&lt;=G28,"REPONER","OK"))</f>
        <v/>
      </c>
    </row>
    <row r="29" ht="15" customHeight="1" s="21">
      <c r="A29" s="30" t="n"/>
      <c r="B29" s="30" t="n"/>
      <c r="C29" s="31" t="n"/>
      <c r="D29" s="31" t="n"/>
      <c r="E29" s="32">
        <f>IF(A29="","",D29-C29)</f>
        <v/>
      </c>
      <c r="F29" s="30" t="n"/>
      <c r="G29" s="30" t="n"/>
      <c r="H29" s="33">
        <f>IF(A29="","",SUMIFS(Movimientos!$D$2:$D$3001,Movimientos!$B$2:$B$3001,A29,Movimientos!$C$2:$C$3001,"Entrada"))</f>
        <v/>
      </c>
      <c r="I29" s="33">
        <f>IF(A29="","",SUMIFS(Movimientos!$D$2:$D$3001,Movimientos!$B$2:$B$3001,A29,Movimientos!$C$2:$C$3001,"Venta"))</f>
        <v/>
      </c>
      <c r="J29" s="33">
        <f>IF(A29="","",F29+H29-I29)</f>
        <v/>
      </c>
      <c r="K29" s="33">
        <f>IF(A29="","",IF(J29&lt;=G29,"REPONER","OK"))</f>
        <v/>
      </c>
    </row>
    <row r="30" ht="15" customHeight="1" s="21">
      <c r="A30" s="30" t="n"/>
      <c r="B30" s="30" t="n"/>
      <c r="C30" s="31" t="n"/>
      <c r="D30" s="31" t="n"/>
      <c r="E30" s="32">
        <f>IF(A30="","",D30-C30)</f>
        <v/>
      </c>
      <c r="F30" s="30" t="n"/>
      <c r="G30" s="30" t="n"/>
      <c r="H30" s="33">
        <f>IF(A30="","",SUMIFS(Movimientos!$D$2:$D$3001,Movimientos!$B$2:$B$3001,A30,Movimientos!$C$2:$C$3001,"Entrada"))</f>
        <v/>
      </c>
      <c r="I30" s="33">
        <f>IF(A30="","",SUMIFS(Movimientos!$D$2:$D$3001,Movimientos!$B$2:$B$3001,A30,Movimientos!$C$2:$C$3001,"Venta"))</f>
        <v/>
      </c>
      <c r="J30" s="33">
        <f>IF(A30="","",F30+H30-I30)</f>
        <v/>
      </c>
      <c r="K30" s="33">
        <f>IF(A30="","",IF(J30&lt;=G30,"REPONER","OK"))</f>
        <v/>
      </c>
    </row>
    <row r="31" ht="15" customHeight="1" s="21">
      <c r="A31" s="30" t="n"/>
      <c r="B31" s="30" t="n"/>
      <c r="C31" s="31" t="n"/>
      <c r="D31" s="31" t="n"/>
      <c r="E31" s="32">
        <f>IF(A31="","",D31-C31)</f>
        <v/>
      </c>
      <c r="F31" s="30" t="n"/>
      <c r="G31" s="30" t="n"/>
      <c r="H31" s="33">
        <f>IF(A31="","",SUMIFS(Movimientos!$D$2:$D$3001,Movimientos!$B$2:$B$3001,A31,Movimientos!$C$2:$C$3001,"Entrada"))</f>
        <v/>
      </c>
      <c r="I31" s="33">
        <f>IF(A31="","",SUMIFS(Movimientos!$D$2:$D$3001,Movimientos!$B$2:$B$3001,A31,Movimientos!$C$2:$C$3001,"Venta"))</f>
        <v/>
      </c>
      <c r="J31" s="33">
        <f>IF(A31="","",F31+H31-I31)</f>
        <v/>
      </c>
      <c r="K31" s="33">
        <f>IF(A31="","",IF(J31&lt;=G31,"REPONER","OK"))</f>
        <v/>
      </c>
    </row>
    <row r="32" ht="15" customHeight="1" s="21">
      <c r="A32" s="30" t="n"/>
      <c r="B32" s="30" t="n"/>
      <c r="C32" s="31" t="n"/>
      <c r="D32" s="31" t="n"/>
      <c r="E32" s="32">
        <f>IF(A32="","",D32-C32)</f>
        <v/>
      </c>
      <c r="F32" s="30" t="n"/>
      <c r="G32" s="30" t="n"/>
      <c r="H32" s="33">
        <f>IF(A32="","",SUMIFS(Movimientos!$D$2:$D$3001,Movimientos!$B$2:$B$3001,A32,Movimientos!$C$2:$C$3001,"Entrada"))</f>
        <v/>
      </c>
      <c r="I32" s="33">
        <f>IF(A32="","",SUMIFS(Movimientos!$D$2:$D$3001,Movimientos!$B$2:$B$3001,A32,Movimientos!$C$2:$C$3001,"Venta"))</f>
        <v/>
      </c>
      <c r="J32" s="33">
        <f>IF(A32="","",F32+H32-I32)</f>
        <v/>
      </c>
      <c r="K32" s="33">
        <f>IF(A32="","",IF(J32&lt;=G32,"REPONER","OK"))</f>
        <v/>
      </c>
    </row>
    <row r="33" ht="15" customHeight="1" s="21">
      <c r="A33" s="30" t="n"/>
      <c r="B33" s="30" t="n"/>
      <c r="C33" s="31" t="n"/>
      <c r="D33" s="31" t="n"/>
      <c r="E33" s="32">
        <f>IF(A33="","",D33-C33)</f>
        <v/>
      </c>
      <c r="F33" s="30" t="n"/>
      <c r="G33" s="30" t="n"/>
      <c r="H33" s="33">
        <f>IF(A33="","",SUMIFS(Movimientos!$D$2:$D$3001,Movimientos!$B$2:$B$3001,A33,Movimientos!$C$2:$C$3001,"Entrada"))</f>
        <v/>
      </c>
      <c r="I33" s="33">
        <f>IF(A33="","",SUMIFS(Movimientos!$D$2:$D$3001,Movimientos!$B$2:$B$3001,A33,Movimientos!$C$2:$C$3001,"Venta"))</f>
        <v/>
      </c>
      <c r="J33" s="33">
        <f>IF(A33="","",F33+H33-I33)</f>
        <v/>
      </c>
      <c r="K33" s="33">
        <f>IF(A33="","",IF(J33&lt;=G33,"REPONER","OK"))</f>
        <v/>
      </c>
    </row>
    <row r="34" ht="15" customHeight="1" s="21">
      <c r="A34" s="30" t="n"/>
      <c r="B34" s="30" t="n"/>
      <c r="C34" s="31" t="n"/>
      <c r="D34" s="31" t="n"/>
      <c r="E34" s="32">
        <f>IF(A34="","",D34-C34)</f>
        <v/>
      </c>
      <c r="F34" s="30" t="n"/>
      <c r="G34" s="30" t="n"/>
      <c r="H34" s="33">
        <f>IF(A34="","",SUMIFS(Movimientos!$D$2:$D$3001,Movimientos!$B$2:$B$3001,A34,Movimientos!$C$2:$C$3001,"Entrada"))</f>
        <v/>
      </c>
      <c r="I34" s="33">
        <f>IF(A34="","",SUMIFS(Movimientos!$D$2:$D$3001,Movimientos!$B$2:$B$3001,A34,Movimientos!$C$2:$C$3001,"Venta"))</f>
        <v/>
      </c>
      <c r="J34" s="33">
        <f>IF(A34="","",F34+H34-I34)</f>
        <v/>
      </c>
      <c r="K34" s="33">
        <f>IF(A34="","",IF(J34&lt;=G34,"REPONER","OK"))</f>
        <v/>
      </c>
    </row>
    <row r="35" ht="15" customHeight="1" s="21">
      <c r="A35" s="30" t="n"/>
      <c r="B35" s="30" t="n"/>
      <c r="C35" s="31" t="n"/>
      <c r="D35" s="31" t="n"/>
      <c r="E35" s="32">
        <f>IF(A35="","",D35-C35)</f>
        <v/>
      </c>
      <c r="F35" s="30" t="n"/>
      <c r="G35" s="30" t="n"/>
      <c r="H35" s="33">
        <f>IF(A35="","",SUMIFS(Movimientos!$D$2:$D$3001,Movimientos!$B$2:$B$3001,A35,Movimientos!$C$2:$C$3001,"Entrada"))</f>
        <v/>
      </c>
      <c r="I35" s="33">
        <f>IF(A35="","",SUMIFS(Movimientos!$D$2:$D$3001,Movimientos!$B$2:$B$3001,A35,Movimientos!$C$2:$C$3001,"Venta"))</f>
        <v/>
      </c>
      <c r="J35" s="33">
        <f>IF(A35="","",F35+H35-I35)</f>
        <v/>
      </c>
      <c r="K35" s="33">
        <f>IF(A35="","",IF(J35&lt;=G35,"REPONER","OK"))</f>
        <v/>
      </c>
    </row>
    <row r="36" ht="15" customHeight="1" s="21">
      <c r="A36" s="30" t="n"/>
      <c r="B36" s="30" t="n"/>
      <c r="C36" s="31" t="n"/>
      <c r="D36" s="31" t="n"/>
      <c r="E36" s="32">
        <f>IF(A36="","",D36-C36)</f>
        <v/>
      </c>
      <c r="F36" s="30" t="n"/>
      <c r="G36" s="30" t="n"/>
      <c r="H36" s="33">
        <f>IF(A36="","",SUMIFS(Movimientos!$D$2:$D$3001,Movimientos!$B$2:$B$3001,A36,Movimientos!$C$2:$C$3001,"Entrada"))</f>
        <v/>
      </c>
      <c r="I36" s="33">
        <f>IF(A36="","",SUMIFS(Movimientos!$D$2:$D$3001,Movimientos!$B$2:$B$3001,A36,Movimientos!$C$2:$C$3001,"Venta"))</f>
        <v/>
      </c>
      <c r="J36" s="33">
        <f>IF(A36="","",F36+H36-I36)</f>
        <v/>
      </c>
      <c r="K36" s="33">
        <f>IF(A36="","",IF(J36&lt;=G36,"REPONER","OK"))</f>
        <v/>
      </c>
    </row>
    <row r="37" ht="15" customHeight="1" s="21">
      <c r="A37" s="30" t="n"/>
      <c r="B37" s="30" t="n"/>
      <c r="C37" s="31" t="n"/>
      <c r="D37" s="31" t="n"/>
      <c r="E37" s="32">
        <f>IF(A37="","",D37-C37)</f>
        <v/>
      </c>
      <c r="F37" s="30" t="n"/>
      <c r="G37" s="30" t="n"/>
      <c r="H37" s="33">
        <f>IF(A37="","",SUMIFS(Movimientos!$D$2:$D$3001,Movimientos!$B$2:$B$3001,A37,Movimientos!$C$2:$C$3001,"Entrada"))</f>
        <v/>
      </c>
      <c r="I37" s="33">
        <f>IF(A37="","",SUMIFS(Movimientos!$D$2:$D$3001,Movimientos!$B$2:$B$3001,A37,Movimientos!$C$2:$C$3001,"Venta"))</f>
        <v/>
      </c>
      <c r="J37" s="33">
        <f>IF(A37="","",F37+H37-I37)</f>
        <v/>
      </c>
      <c r="K37" s="33">
        <f>IF(A37="","",IF(J37&lt;=G37,"REPONER","OK"))</f>
        <v/>
      </c>
    </row>
    <row r="38" ht="15" customHeight="1" s="21">
      <c r="A38" s="30" t="n"/>
      <c r="B38" s="30" t="n"/>
      <c r="C38" s="31" t="n"/>
      <c r="D38" s="31" t="n"/>
      <c r="E38" s="32">
        <f>IF(A38="","",D38-C38)</f>
        <v/>
      </c>
      <c r="F38" s="30" t="n"/>
      <c r="G38" s="30" t="n"/>
      <c r="H38" s="33">
        <f>IF(A38="","",SUMIFS(Movimientos!$D$2:$D$3001,Movimientos!$B$2:$B$3001,A38,Movimientos!$C$2:$C$3001,"Entrada"))</f>
        <v/>
      </c>
      <c r="I38" s="33">
        <f>IF(A38="","",SUMIFS(Movimientos!$D$2:$D$3001,Movimientos!$B$2:$B$3001,A38,Movimientos!$C$2:$C$3001,"Venta"))</f>
        <v/>
      </c>
      <c r="J38" s="33">
        <f>IF(A38="","",F38+H38-I38)</f>
        <v/>
      </c>
      <c r="K38" s="33">
        <f>IF(A38="","",IF(J38&lt;=G38,"REPONER","OK"))</f>
        <v/>
      </c>
    </row>
    <row r="39" ht="15" customHeight="1" s="21">
      <c r="A39" s="30" t="n"/>
      <c r="B39" s="30" t="n"/>
      <c r="C39" s="31" t="n"/>
      <c r="D39" s="31" t="n"/>
      <c r="E39" s="32">
        <f>IF(A39="","",D39-C39)</f>
        <v/>
      </c>
      <c r="F39" s="30" t="n"/>
      <c r="G39" s="30" t="n"/>
      <c r="H39" s="33">
        <f>IF(A39="","",SUMIFS(Movimientos!$D$2:$D$3001,Movimientos!$B$2:$B$3001,A39,Movimientos!$C$2:$C$3001,"Entrada"))</f>
        <v/>
      </c>
      <c r="I39" s="33">
        <f>IF(A39="","",SUMIFS(Movimientos!$D$2:$D$3001,Movimientos!$B$2:$B$3001,A39,Movimientos!$C$2:$C$3001,"Venta"))</f>
        <v/>
      </c>
      <c r="J39" s="33">
        <f>IF(A39="","",F39+H39-I39)</f>
        <v/>
      </c>
      <c r="K39" s="33">
        <f>IF(A39="","",IF(J39&lt;=G39,"REPONER","OK"))</f>
        <v/>
      </c>
    </row>
    <row r="40" ht="15" customHeight="1" s="21">
      <c r="A40" s="30" t="n"/>
      <c r="B40" s="30" t="n"/>
      <c r="C40" s="31" t="n"/>
      <c r="D40" s="31" t="n"/>
      <c r="E40" s="32">
        <f>IF(A40="","",D40-C40)</f>
        <v/>
      </c>
      <c r="F40" s="30" t="n"/>
      <c r="G40" s="30" t="n"/>
      <c r="H40" s="33">
        <f>IF(A40="","",SUMIFS(Movimientos!$D$2:$D$3001,Movimientos!$B$2:$B$3001,A40,Movimientos!$C$2:$C$3001,"Entrada"))</f>
        <v/>
      </c>
      <c r="I40" s="33">
        <f>IF(A40="","",SUMIFS(Movimientos!$D$2:$D$3001,Movimientos!$B$2:$B$3001,A40,Movimientos!$C$2:$C$3001,"Venta"))</f>
        <v/>
      </c>
      <c r="J40" s="33">
        <f>IF(A40="","",F40+H40-I40)</f>
        <v/>
      </c>
      <c r="K40" s="33">
        <f>IF(A40="","",IF(J40&lt;=G40,"REPONER","OK"))</f>
        <v/>
      </c>
    </row>
    <row r="41" ht="15" customHeight="1" s="21">
      <c r="A41" s="30" t="n"/>
      <c r="B41" s="30" t="n"/>
      <c r="C41" s="31" t="n"/>
      <c r="D41" s="31" t="n"/>
      <c r="E41" s="32">
        <f>IF(A41="","",D41-C41)</f>
        <v/>
      </c>
      <c r="F41" s="30" t="n"/>
      <c r="G41" s="30" t="n"/>
      <c r="H41" s="33">
        <f>IF(A41="","",SUMIFS(Movimientos!$D$2:$D$3001,Movimientos!$B$2:$B$3001,A41,Movimientos!$C$2:$C$3001,"Entrada"))</f>
        <v/>
      </c>
      <c r="I41" s="33">
        <f>IF(A41="","",SUMIFS(Movimientos!$D$2:$D$3001,Movimientos!$B$2:$B$3001,A41,Movimientos!$C$2:$C$3001,"Venta"))</f>
        <v/>
      </c>
      <c r="J41" s="33">
        <f>IF(A41="","",F41+H41-I41)</f>
        <v/>
      </c>
      <c r="K41" s="33">
        <f>IF(A41="","",IF(J41&lt;=G41,"REPONER","OK"))</f>
        <v/>
      </c>
    </row>
    <row r="42" ht="15" customHeight="1" s="21">
      <c r="A42" s="30" t="n"/>
      <c r="B42" s="30" t="n"/>
      <c r="C42" s="31" t="n"/>
      <c r="D42" s="31" t="n"/>
      <c r="E42" s="32">
        <f>IF(A42="","",D42-C42)</f>
        <v/>
      </c>
      <c r="F42" s="30" t="n"/>
      <c r="G42" s="30" t="n"/>
      <c r="H42" s="33">
        <f>IF(A42="","",SUMIFS(Movimientos!$D$2:$D$3001,Movimientos!$B$2:$B$3001,A42,Movimientos!$C$2:$C$3001,"Entrada"))</f>
        <v/>
      </c>
      <c r="I42" s="33">
        <f>IF(A42="","",SUMIFS(Movimientos!$D$2:$D$3001,Movimientos!$B$2:$B$3001,A42,Movimientos!$C$2:$C$3001,"Venta"))</f>
        <v/>
      </c>
      <c r="J42" s="33">
        <f>IF(A42="","",F42+H42-I42)</f>
        <v/>
      </c>
      <c r="K42" s="33">
        <f>IF(A42="","",IF(J42&lt;=G42,"REPONER","OK"))</f>
        <v/>
      </c>
    </row>
    <row r="43" ht="15" customHeight="1" s="21">
      <c r="A43" s="30" t="n"/>
      <c r="B43" s="30" t="n"/>
      <c r="C43" s="31" t="n"/>
      <c r="D43" s="31" t="n"/>
      <c r="E43" s="32">
        <f>IF(A43="","",D43-C43)</f>
        <v/>
      </c>
      <c r="F43" s="30" t="n"/>
      <c r="G43" s="30" t="n"/>
      <c r="H43" s="33">
        <f>IF(A43="","",SUMIFS(Movimientos!$D$2:$D$3001,Movimientos!$B$2:$B$3001,A43,Movimientos!$C$2:$C$3001,"Entrada"))</f>
        <v/>
      </c>
      <c r="I43" s="33">
        <f>IF(A43="","",SUMIFS(Movimientos!$D$2:$D$3001,Movimientos!$B$2:$B$3001,A43,Movimientos!$C$2:$C$3001,"Venta"))</f>
        <v/>
      </c>
      <c r="J43" s="33">
        <f>IF(A43="","",F43+H43-I43)</f>
        <v/>
      </c>
      <c r="K43" s="33">
        <f>IF(A43="","",IF(J43&lt;=G43,"REPONER","OK"))</f>
        <v/>
      </c>
    </row>
    <row r="44" ht="15" customHeight="1" s="21">
      <c r="A44" s="30" t="n"/>
      <c r="B44" s="30" t="n"/>
      <c r="C44" s="31" t="n"/>
      <c r="D44" s="31" t="n"/>
      <c r="E44" s="32">
        <f>IF(A44="","",D44-C44)</f>
        <v/>
      </c>
      <c r="F44" s="30" t="n"/>
      <c r="G44" s="30" t="n"/>
      <c r="H44" s="33">
        <f>IF(A44="","",SUMIFS(Movimientos!$D$2:$D$3001,Movimientos!$B$2:$B$3001,A44,Movimientos!$C$2:$C$3001,"Entrada"))</f>
        <v/>
      </c>
      <c r="I44" s="33">
        <f>IF(A44="","",SUMIFS(Movimientos!$D$2:$D$3001,Movimientos!$B$2:$B$3001,A44,Movimientos!$C$2:$C$3001,"Venta"))</f>
        <v/>
      </c>
      <c r="J44" s="33">
        <f>IF(A44="","",F44+H44-I44)</f>
        <v/>
      </c>
      <c r="K44" s="33">
        <f>IF(A44="","",IF(J44&lt;=G44,"REPONER","OK"))</f>
        <v/>
      </c>
    </row>
    <row r="45" ht="15" customHeight="1" s="21">
      <c r="A45" s="30" t="n"/>
      <c r="B45" s="30" t="n"/>
      <c r="C45" s="31" t="n"/>
      <c r="D45" s="31" t="n"/>
      <c r="E45" s="32">
        <f>IF(A45="","",D45-C45)</f>
        <v/>
      </c>
      <c r="F45" s="30" t="n"/>
      <c r="G45" s="30" t="n"/>
      <c r="H45" s="33">
        <f>IF(A45="","",SUMIFS(Movimientos!$D$2:$D$3001,Movimientos!$B$2:$B$3001,A45,Movimientos!$C$2:$C$3001,"Entrada"))</f>
        <v/>
      </c>
      <c r="I45" s="33">
        <f>IF(A45="","",SUMIFS(Movimientos!$D$2:$D$3001,Movimientos!$B$2:$B$3001,A45,Movimientos!$C$2:$C$3001,"Venta"))</f>
        <v/>
      </c>
      <c r="J45" s="33">
        <f>IF(A45="","",F45+H45-I45)</f>
        <v/>
      </c>
      <c r="K45" s="33">
        <f>IF(A45="","",IF(J45&lt;=G45,"REPONER","OK"))</f>
        <v/>
      </c>
    </row>
    <row r="46" ht="15" customHeight="1" s="21">
      <c r="A46" s="30" t="n"/>
      <c r="B46" s="30" t="n"/>
      <c r="C46" s="31" t="n"/>
      <c r="D46" s="31" t="n"/>
      <c r="E46" s="32">
        <f>IF(A46="","",D46-C46)</f>
        <v/>
      </c>
      <c r="F46" s="30" t="n"/>
      <c r="G46" s="30" t="n"/>
      <c r="H46" s="33">
        <f>IF(A46="","",SUMIFS(Movimientos!$D$2:$D$3001,Movimientos!$B$2:$B$3001,A46,Movimientos!$C$2:$C$3001,"Entrada"))</f>
        <v/>
      </c>
      <c r="I46" s="33">
        <f>IF(A46="","",SUMIFS(Movimientos!$D$2:$D$3001,Movimientos!$B$2:$B$3001,A46,Movimientos!$C$2:$C$3001,"Venta"))</f>
        <v/>
      </c>
      <c r="J46" s="33">
        <f>IF(A46="","",F46+H46-I46)</f>
        <v/>
      </c>
      <c r="K46" s="33">
        <f>IF(A46="","",IF(J46&lt;=G46,"REPONER","OK"))</f>
        <v/>
      </c>
    </row>
    <row r="47" ht="15" customHeight="1" s="21">
      <c r="A47" s="30" t="n"/>
      <c r="B47" s="30" t="n"/>
      <c r="C47" s="31" t="n"/>
      <c r="D47" s="31" t="n"/>
      <c r="E47" s="32">
        <f>IF(A47="","",D47-C47)</f>
        <v/>
      </c>
      <c r="F47" s="30" t="n"/>
      <c r="G47" s="30" t="n"/>
      <c r="H47" s="33">
        <f>IF(A47="","",SUMIFS(Movimientos!$D$2:$D$3001,Movimientos!$B$2:$B$3001,A47,Movimientos!$C$2:$C$3001,"Entrada"))</f>
        <v/>
      </c>
      <c r="I47" s="33">
        <f>IF(A47="","",SUMIFS(Movimientos!$D$2:$D$3001,Movimientos!$B$2:$B$3001,A47,Movimientos!$C$2:$C$3001,"Venta"))</f>
        <v/>
      </c>
      <c r="J47" s="33">
        <f>IF(A47="","",F47+H47-I47)</f>
        <v/>
      </c>
      <c r="K47" s="33">
        <f>IF(A47="","",IF(J47&lt;=G47,"REPONER","OK"))</f>
        <v/>
      </c>
    </row>
    <row r="48" ht="15" customHeight="1" s="21">
      <c r="A48" s="30" t="n"/>
      <c r="B48" s="30" t="n"/>
      <c r="C48" s="31" t="n"/>
      <c r="D48" s="31" t="n"/>
      <c r="E48" s="32">
        <f>IF(A48="","",D48-C48)</f>
        <v/>
      </c>
      <c r="F48" s="30" t="n"/>
      <c r="G48" s="30" t="n"/>
      <c r="H48" s="33">
        <f>IF(A48="","",SUMIFS(Movimientos!$D$2:$D$3001,Movimientos!$B$2:$B$3001,A48,Movimientos!$C$2:$C$3001,"Entrada"))</f>
        <v/>
      </c>
      <c r="I48" s="33">
        <f>IF(A48="","",SUMIFS(Movimientos!$D$2:$D$3001,Movimientos!$B$2:$B$3001,A48,Movimientos!$C$2:$C$3001,"Venta"))</f>
        <v/>
      </c>
      <c r="J48" s="33">
        <f>IF(A48="","",F48+H48-I48)</f>
        <v/>
      </c>
      <c r="K48" s="33">
        <f>IF(A48="","",IF(J48&lt;=G48,"REPONER","OK"))</f>
        <v/>
      </c>
    </row>
    <row r="49" ht="15" customHeight="1" s="21">
      <c r="A49" s="30" t="n"/>
      <c r="B49" s="30" t="n"/>
      <c r="C49" s="31" t="n"/>
      <c r="D49" s="31" t="n"/>
      <c r="E49" s="32">
        <f>IF(A49="","",D49-C49)</f>
        <v/>
      </c>
      <c r="F49" s="30" t="n"/>
      <c r="G49" s="30" t="n"/>
      <c r="H49" s="33">
        <f>IF(A49="","",SUMIFS(Movimientos!$D$2:$D$3001,Movimientos!$B$2:$B$3001,A49,Movimientos!$C$2:$C$3001,"Entrada"))</f>
        <v/>
      </c>
      <c r="I49" s="33">
        <f>IF(A49="","",SUMIFS(Movimientos!$D$2:$D$3001,Movimientos!$B$2:$B$3001,A49,Movimientos!$C$2:$C$3001,"Venta"))</f>
        <v/>
      </c>
      <c r="J49" s="33">
        <f>IF(A49="","",F49+H49-I49)</f>
        <v/>
      </c>
      <c r="K49" s="33">
        <f>IF(A49="","",IF(J49&lt;=G49,"REPONER","OK"))</f>
        <v/>
      </c>
    </row>
    <row r="50" ht="15" customHeight="1" s="21">
      <c r="A50" s="30" t="n"/>
      <c r="B50" s="30" t="n"/>
      <c r="C50" s="31" t="n"/>
      <c r="D50" s="31" t="n"/>
      <c r="E50" s="32">
        <f>IF(A50="","",D50-C50)</f>
        <v/>
      </c>
      <c r="F50" s="30" t="n"/>
      <c r="G50" s="30" t="n"/>
      <c r="H50" s="33">
        <f>IF(A50="","",SUMIFS(Movimientos!$D$2:$D$3001,Movimientos!$B$2:$B$3001,A50,Movimientos!$C$2:$C$3001,"Entrada"))</f>
        <v/>
      </c>
      <c r="I50" s="33">
        <f>IF(A50="","",SUMIFS(Movimientos!$D$2:$D$3001,Movimientos!$B$2:$B$3001,A50,Movimientos!$C$2:$C$3001,"Venta"))</f>
        <v/>
      </c>
      <c r="J50" s="33">
        <f>IF(A50="","",F50+H50-I50)</f>
        <v/>
      </c>
      <c r="K50" s="33">
        <f>IF(A50="","",IF(J50&lt;=G50,"REPONER","OK"))</f>
        <v/>
      </c>
    </row>
    <row r="51" ht="15" customHeight="1" s="21">
      <c r="A51" s="30" t="n"/>
      <c r="B51" s="30" t="n"/>
      <c r="C51" s="31" t="n"/>
      <c r="D51" s="31" t="n"/>
      <c r="E51" s="32">
        <f>IF(A51="","",D51-C51)</f>
        <v/>
      </c>
      <c r="F51" s="30" t="n"/>
      <c r="G51" s="30" t="n"/>
      <c r="H51" s="33">
        <f>IF(A51="","",SUMIFS(Movimientos!$D$2:$D$3001,Movimientos!$B$2:$B$3001,A51,Movimientos!$C$2:$C$3001,"Entrada"))</f>
        <v/>
      </c>
      <c r="I51" s="33">
        <f>IF(A51="","",SUMIFS(Movimientos!$D$2:$D$3001,Movimientos!$B$2:$B$3001,A51,Movimientos!$C$2:$C$3001,"Venta"))</f>
        <v/>
      </c>
      <c r="J51" s="33">
        <f>IF(A51="","",F51+H51-I51)</f>
        <v/>
      </c>
      <c r="K51" s="33">
        <f>IF(A51="","",IF(J51&lt;=G51,"REPONER","OK"))</f>
        <v/>
      </c>
    </row>
    <row r="52" ht="15" customHeight="1" s="21">
      <c r="A52" s="30" t="n"/>
      <c r="B52" s="30" t="n"/>
      <c r="C52" s="31" t="n"/>
      <c r="D52" s="31" t="n"/>
      <c r="E52" s="32">
        <f>IF(A52="","",D52-C52)</f>
        <v/>
      </c>
      <c r="F52" s="30" t="n"/>
      <c r="G52" s="30" t="n"/>
      <c r="H52" s="33">
        <f>IF(A52="","",SUMIFS(Movimientos!$D$2:$D$3001,Movimientos!$B$2:$B$3001,A52,Movimientos!$C$2:$C$3001,"Entrada"))</f>
        <v/>
      </c>
      <c r="I52" s="33">
        <f>IF(A52="","",SUMIFS(Movimientos!$D$2:$D$3001,Movimientos!$B$2:$B$3001,A52,Movimientos!$C$2:$C$3001,"Venta"))</f>
        <v/>
      </c>
      <c r="J52" s="33">
        <f>IF(A52="","",F52+H52-I52)</f>
        <v/>
      </c>
      <c r="K52" s="33">
        <f>IF(A52="","",IF(J52&lt;=G52,"REPONER","OK"))</f>
        <v/>
      </c>
    </row>
    <row r="53" ht="15" customHeight="1" s="21">
      <c r="A53" s="30" t="n"/>
      <c r="B53" s="30" t="n"/>
      <c r="C53" s="31" t="n"/>
      <c r="D53" s="31" t="n"/>
      <c r="E53" s="32">
        <f>IF(A53="","",D53-C53)</f>
        <v/>
      </c>
      <c r="F53" s="30" t="n"/>
      <c r="G53" s="30" t="n"/>
      <c r="H53" s="33">
        <f>IF(A53="","",SUMIFS(Movimientos!$D$2:$D$3001,Movimientos!$B$2:$B$3001,A53,Movimientos!$C$2:$C$3001,"Entrada"))</f>
        <v/>
      </c>
      <c r="I53" s="33">
        <f>IF(A53="","",SUMIFS(Movimientos!$D$2:$D$3001,Movimientos!$B$2:$B$3001,A53,Movimientos!$C$2:$C$3001,"Venta"))</f>
        <v/>
      </c>
      <c r="J53" s="33">
        <f>IF(A53="","",F53+H53-I53)</f>
        <v/>
      </c>
      <c r="K53" s="33">
        <f>IF(A53="","",IF(J53&lt;=G53,"REPONER","OK"))</f>
        <v/>
      </c>
    </row>
    <row r="54" ht="15" customHeight="1" s="21">
      <c r="A54" s="30" t="n"/>
      <c r="B54" s="30" t="n"/>
      <c r="C54" s="31" t="n"/>
      <c r="D54" s="31" t="n"/>
      <c r="E54" s="32">
        <f>IF(A54="","",D54-C54)</f>
        <v/>
      </c>
      <c r="F54" s="30" t="n"/>
      <c r="G54" s="30" t="n"/>
      <c r="H54" s="33">
        <f>IF(A54="","",SUMIFS(Movimientos!$D$2:$D$3001,Movimientos!$B$2:$B$3001,A54,Movimientos!$C$2:$C$3001,"Entrada"))</f>
        <v/>
      </c>
      <c r="I54" s="33">
        <f>IF(A54="","",SUMIFS(Movimientos!$D$2:$D$3001,Movimientos!$B$2:$B$3001,A54,Movimientos!$C$2:$C$3001,"Venta"))</f>
        <v/>
      </c>
      <c r="J54" s="33">
        <f>IF(A54="","",F54+H54-I54)</f>
        <v/>
      </c>
      <c r="K54" s="33">
        <f>IF(A54="","",IF(J54&lt;=G54,"REPONER","OK"))</f>
        <v/>
      </c>
    </row>
    <row r="55" ht="15" customHeight="1" s="21">
      <c r="A55" s="30" t="n"/>
      <c r="B55" s="30" t="n"/>
      <c r="C55" s="31" t="n"/>
      <c r="D55" s="31" t="n"/>
      <c r="E55" s="32">
        <f>IF(A55="","",D55-C55)</f>
        <v/>
      </c>
      <c r="F55" s="30" t="n"/>
      <c r="G55" s="30" t="n"/>
      <c r="H55" s="33">
        <f>IF(A55="","",SUMIFS(Movimientos!$D$2:$D$3001,Movimientos!$B$2:$B$3001,A55,Movimientos!$C$2:$C$3001,"Entrada"))</f>
        <v/>
      </c>
      <c r="I55" s="33">
        <f>IF(A55="","",SUMIFS(Movimientos!$D$2:$D$3001,Movimientos!$B$2:$B$3001,A55,Movimientos!$C$2:$C$3001,"Venta"))</f>
        <v/>
      </c>
      <c r="J55" s="33">
        <f>IF(A55="","",F55+H55-I55)</f>
        <v/>
      </c>
      <c r="K55" s="33">
        <f>IF(A55="","",IF(J55&lt;=G55,"REPONER","OK"))</f>
        <v/>
      </c>
    </row>
    <row r="56" ht="15" customHeight="1" s="21">
      <c r="A56" s="30" t="n"/>
      <c r="B56" s="30" t="n"/>
      <c r="C56" s="31" t="n"/>
      <c r="D56" s="31" t="n"/>
      <c r="E56" s="32">
        <f>IF(A56="","",D56-C56)</f>
        <v/>
      </c>
      <c r="F56" s="30" t="n"/>
      <c r="G56" s="30" t="n"/>
      <c r="H56" s="33">
        <f>IF(A56="","",SUMIFS(Movimientos!$D$2:$D$3001,Movimientos!$B$2:$B$3001,A56,Movimientos!$C$2:$C$3001,"Entrada"))</f>
        <v/>
      </c>
      <c r="I56" s="33">
        <f>IF(A56="","",SUMIFS(Movimientos!$D$2:$D$3001,Movimientos!$B$2:$B$3001,A56,Movimientos!$C$2:$C$3001,"Venta"))</f>
        <v/>
      </c>
      <c r="J56" s="33">
        <f>IF(A56="","",F56+H56-I56)</f>
        <v/>
      </c>
      <c r="K56" s="33">
        <f>IF(A56="","",IF(J56&lt;=G56,"REPONER","OK"))</f>
        <v/>
      </c>
    </row>
    <row r="57" ht="15" customHeight="1" s="21">
      <c r="A57" s="30" t="n"/>
      <c r="B57" s="30" t="n"/>
      <c r="C57" s="31" t="n"/>
      <c r="D57" s="31" t="n"/>
      <c r="E57" s="32">
        <f>IF(A57="","",D57-C57)</f>
        <v/>
      </c>
      <c r="F57" s="30" t="n"/>
      <c r="G57" s="30" t="n"/>
      <c r="H57" s="33">
        <f>IF(A57="","",SUMIFS(Movimientos!$D$2:$D$3001,Movimientos!$B$2:$B$3001,A57,Movimientos!$C$2:$C$3001,"Entrada"))</f>
        <v/>
      </c>
      <c r="I57" s="33">
        <f>IF(A57="","",SUMIFS(Movimientos!$D$2:$D$3001,Movimientos!$B$2:$B$3001,A57,Movimientos!$C$2:$C$3001,"Venta"))</f>
        <v/>
      </c>
      <c r="J57" s="33">
        <f>IF(A57="","",F57+H57-I57)</f>
        <v/>
      </c>
      <c r="K57" s="33">
        <f>IF(A57="","",IF(J57&lt;=G57,"REPONER","OK"))</f>
        <v/>
      </c>
    </row>
    <row r="58" ht="15" customHeight="1" s="21">
      <c r="A58" s="30" t="n"/>
      <c r="B58" s="30" t="n"/>
      <c r="C58" s="31" t="n"/>
      <c r="D58" s="31" t="n"/>
      <c r="E58" s="32">
        <f>IF(A58="","",D58-C58)</f>
        <v/>
      </c>
      <c r="F58" s="30" t="n"/>
      <c r="G58" s="30" t="n"/>
      <c r="H58" s="33">
        <f>IF(A58="","",SUMIFS(Movimientos!$D$2:$D$3001,Movimientos!$B$2:$B$3001,A58,Movimientos!$C$2:$C$3001,"Entrada"))</f>
        <v/>
      </c>
      <c r="I58" s="33">
        <f>IF(A58="","",SUMIFS(Movimientos!$D$2:$D$3001,Movimientos!$B$2:$B$3001,A58,Movimientos!$C$2:$C$3001,"Venta"))</f>
        <v/>
      </c>
      <c r="J58" s="33">
        <f>IF(A58="","",F58+H58-I58)</f>
        <v/>
      </c>
      <c r="K58" s="33">
        <f>IF(A58="","",IF(J58&lt;=G58,"REPONER","OK"))</f>
        <v/>
      </c>
    </row>
    <row r="59" ht="15" customHeight="1" s="21">
      <c r="A59" s="30" t="n"/>
      <c r="B59" s="30" t="n"/>
      <c r="C59" s="31" t="n"/>
      <c r="D59" s="31" t="n"/>
      <c r="E59" s="32">
        <f>IF(A59="","",D59-C59)</f>
        <v/>
      </c>
      <c r="F59" s="30" t="n"/>
      <c r="G59" s="30" t="n"/>
      <c r="H59" s="33">
        <f>IF(A59="","",SUMIFS(Movimientos!$D$2:$D$3001,Movimientos!$B$2:$B$3001,A59,Movimientos!$C$2:$C$3001,"Entrada"))</f>
        <v/>
      </c>
      <c r="I59" s="33">
        <f>IF(A59="","",SUMIFS(Movimientos!$D$2:$D$3001,Movimientos!$B$2:$B$3001,A59,Movimientos!$C$2:$C$3001,"Venta"))</f>
        <v/>
      </c>
      <c r="J59" s="33">
        <f>IF(A59="","",F59+H59-I59)</f>
        <v/>
      </c>
      <c r="K59" s="33">
        <f>IF(A59="","",IF(J59&lt;=G59,"REPONER","OK"))</f>
        <v/>
      </c>
    </row>
    <row r="60" ht="15" customHeight="1" s="21">
      <c r="A60" s="30" t="n"/>
      <c r="B60" s="30" t="n"/>
      <c r="C60" s="31" t="n"/>
      <c r="D60" s="31" t="n"/>
      <c r="E60" s="32">
        <f>IF(A60="","",D60-C60)</f>
        <v/>
      </c>
      <c r="F60" s="30" t="n"/>
      <c r="G60" s="30" t="n"/>
      <c r="H60" s="33">
        <f>IF(A60="","",SUMIFS(Movimientos!$D$2:$D$3001,Movimientos!$B$2:$B$3001,A60,Movimientos!$C$2:$C$3001,"Entrada"))</f>
        <v/>
      </c>
      <c r="I60" s="33">
        <f>IF(A60="","",SUMIFS(Movimientos!$D$2:$D$3001,Movimientos!$B$2:$B$3001,A60,Movimientos!$C$2:$C$3001,"Venta"))</f>
        <v/>
      </c>
      <c r="J60" s="33">
        <f>IF(A60="","",F60+H60-I60)</f>
        <v/>
      </c>
      <c r="K60" s="33">
        <f>IF(A60="","",IF(J60&lt;=G60,"REPONER","OK"))</f>
        <v/>
      </c>
    </row>
    <row r="61" ht="15" customHeight="1" s="21">
      <c r="A61" s="30" t="n"/>
      <c r="B61" s="30" t="n"/>
      <c r="C61" s="31" t="n"/>
      <c r="D61" s="31" t="n"/>
      <c r="E61" s="32">
        <f>IF(A61="","",D61-C61)</f>
        <v/>
      </c>
      <c r="F61" s="30" t="n"/>
      <c r="G61" s="30" t="n"/>
      <c r="H61" s="33">
        <f>IF(A61="","",SUMIFS(Movimientos!$D$2:$D$3001,Movimientos!$B$2:$B$3001,A61,Movimientos!$C$2:$C$3001,"Entrada"))</f>
        <v/>
      </c>
      <c r="I61" s="33">
        <f>IF(A61="","",SUMIFS(Movimientos!$D$2:$D$3001,Movimientos!$B$2:$B$3001,A61,Movimientos!$C$2:$C$3001,"Venta"))</f>
        <v/>
      </c>
      <c r="J61" s="33">
        <f>IF(A61="","",F61+H61-I61)</f>
        <v/>
      </c>
      <c r="K61" s="33">
        <f>IF(A61="","",IF(J61&lt;=G61,"REPONER","OK"))</f>
        <v/>
      </c>
    </row>
    <row r="62" ht="15" customHeight="1" s="21">
      <c r="A62" s="30" t="n"/>
      <c r="B62" s="30" t="n"/>
      <c r="C62" s="31" t="n"/>
      <c r="D62" s="31" t="n"/>
      <c r="E62" s="32">
        <f>IF(A62="","",D62-C62)</f>
        <v/>
      </c>
      <c r="F62" s="30" t="n"/>
      <c r="G62" s="30" t="n"/>
      <c r="H62" s="33">
        <f>IF(A62="","",SUMIFS(Movimientos!$D$2:$D$3001,Movimientos!$B$2:$B$3001,A62,Movimientos!$C$2:$C$3001,"Entrada"))</f>
        <v/>
      </c>
      <c r="I62" s="33">
        <f>IF(A62="","",SUMIFS(Movimientos!$D$2:$D$3001,Movimientos!$B$2:$B$3001,A62,Movimientos!$C$2:$C$3001,"Venta"))</f>
        <v/>
      </c>
      <c r="J62" s="33">
        <f>IF(A62="","",F62+H62-I62)</f>
        <v/>
      </c>
      <c r="K62" s="33">
        <f>IF(A62="","",IF(J62&lt;=G62,"REPONER","OK"))</f>
        <v/>
      </c>
    </row>
    <row r="63" ht="15" customHeight="1" s="21">
      <c r="A63" s="30" t="n"/>
      <c r="B63" s="30" t="n"/>
      <c r="C63" s="31" t="n"/>
      <c r="D63" s="31" t="n"/>
      <c r="E63" s="32">
        <f>IF(A63="","",D63-C63)</f>
        <v/>
      </c>
      <c r="F63" s="30" t="n"/>
      <c r="G63" s="30" t="n"/>
      <c r="H63" s="33">
        <f>IF(A63="","",SUMIFS(Movimientos!$D$2:$D$3001,Movimientos!$B$2:$B$3001,A63,Movimientos!$C$2:$C$3001,"Entrada"))</f>
        <v/>
      </c>
      <c r="I63" s="33">
        <f>IF(A63="","",SUMIFS(Movimientos!$D$2:$D$3001,Movimientos!$B$2:$B$3001,A63,Movimientos!$C$2:$C$3001,"Venta"))</f>
        <v/>
      </c>
      <c r="J63" s="33">
        <f>IF(A63="","",F63+H63-I63)</f>
        <v/>
      </c>
      <c r="K63" s="33">
        <f>IF(A63="","",IF(J63&lt;=G63,"REPONER","OK"))</f>
        <v/>
      </c>
    </row>
    <row r="64" ht="15" customHeight="1" s="21">
      <c r="A64" s="30" t="n"/>
      <c r="B64" s="30" t="n"/>
      <c r="C64" s="31" t="n"/>
      <c r="D64" s="31" t="n"/>
      <c r="E64" s="32">
        <f>IF(A64="","",D64-C64)</f>
        <v/>
      </c>
      <c r="F64" s="30" t="n"/>
      <c r="G64" s="30" t="n"/>
      <c r="H64" s="33">
        <f>IF(A64="","",SUMIFS(Movimientos!$D$2:$D$3001,Movimientos!$B$2:$B$3001,A64,Movimientos!$C$2:$C$3001,"Entrada"))</f>
        <v/>
      </c>
      <c r="I64" s="33">
        <f>IF(A64="","",SUMIFS(Movimientos!$D$2:$D$3001,Movimientos!$B$2:$B$3001,A64,Movimientos!$C$2:$C$3001,"Venta"))</f>
        <v/>
      </c>
      <c r="J64" s="33">
        <f>IF(A64="","",F64+H64-I64)</f>
        <v/>
      </c>
      <c r="K64" s="33">
        <f>IF(A64="","",IF(J64&lt;=G64,"REPONER","OK"))</f>
        <v/>
      </c>
    </row>
    <row r="65" ht="15" customHeight="1" s="21">
      <c r="A65" s="30" t="n"/>
      <c r="B65" s="30" t="n"/>
      <c r="C65" s="31" t="n"/>
      <c r="D65" s="31" t="n"/>
      <c r="E65" s="32">
        <f>IF(A65="","",D65-C65)</f>
        <v/>
      </c>
      <c r="F65" s="30" t="n"/>
      <c r="G65" s="30" t="n"/>
      <c r="H65" s="33">
        <f>IF(A65="","",SUMIFS(Movimientos!$D$2:$D$3001,Movimientos!$B$2:$B$3001,A65,Movimientos!$C$2:$C$3001,"Entrada"))</f>
        <v/>
      </c>
      <c r="I65" s="33">
        <f>IF(A65="","",SUMIFS(Movimientos!$D$2:$D$3001,Movimientos!$B$2:$B$3001,A65,Movimientos!$C$2:$C$3001,"Venta"))</f>
        <v/>
      </c>
      <c r="J65" s="33">
        <f>IF(A65="","",F65+H65-I65)</f>
        <v/>
      </c>
      <c r="K65" s="33">
        <f>IF(A65="","",IF(J65&lt;=G65,"REPONER","OK"))</f>
        <v/>
      </c>
    </row>
    <row r="66" ht="15" customHeight="1" s="21">
      <c r="A66" s="30" t="n"/>
      <c r="B66" s="30" t="n"/>
      <c r="C66" s="31" t="n"/>
      <c r="D66" s="31" t="n"/>
      <c r="E66" s="32">
        <f>IF(A66="","",D66-C66)</f>
        <v/>
      </c>
      <c r="F66" s="30" t="n"/>
      <c r="G66" s="30" t="n"/>
      <c r="H66" s="33">
        <f>IF(A66="","",SUMIFS(Movimientos!$D$2:$D$3001,Movimientos!$B$2:$B$3001,A66,Movimientos!$C$2:$C$3001,"Entrada"))</f>
        <v/>
      </c>
      <c r="I66" s="33">
        <f>IF(A66="","",SUMIFS(Movimientos!$D$2:$D$3001,Movimientos!$B$2:$B$3001,A66,Movimientos!$C$2:$C$3001,"Venta"))</f>
        <v/>
      </c>
      <c r="J66" s="33">
        <f>IF(A66="","",F66+H66-I66)</f>
        <v/>
      </c>
      <c r="K66" s="33">
        <f>IF(A66="","",IF(J66&lt;=G66,"REPONER","OK"))</f>
        <v/>
      </c>
    </row>
    <row r="67" ht="15" customHeight="1" s="21">
      <c r="A67" s="30" t="n"/>
      <c r="B67" s="30" t="n"/>
      <c r="C67" s="31" t="n"/>
      <c r="D67" s="31" t="n"/>
      <c r="E67" s="32">
        <f>IF(A67="","",D67-C67)</f>
        <v/>
      </c>
      <c r="F67" s="30" t="n"/>
      <c r="G67" s="30" t="n"/>
      <c r="H67" s="33">
        <f>IF(A67="","",SUMIFS(Movimientos!$D$2:$D$3001,Movimientos!$B$2:$B$3001,A67,Movimientos!$C$2:$C$3001,"Entrada"))</f>
        <v/>
      </c>
      <c r="I67" s="33">
        <f>IF(A67="","",SUMIFS(Movimientos!$D$2:$D$3001,Movimientos!$B$2:$B$3001,A67,Movimientos!$C$2:$C$3001,"Venta"))</f>
        <v/>
      </c>
      <c r="J67" s="33">
        <f>IF(A67="","",F67+H67-I67)</f>
        <v/>
      </c>
      <c r="K67" s="33">
        <f>IF(A67="","",IF(J67&lt;=G67,"REPONER","OK"))</f>
        <v/>
      </c>
    </row>
    <row r="68" ht="15" customHeight="1" s="21">
      <c r="A68" s="30" t="n"/>
      <c r="B68" s="30" t="n"/>
      <c r="C68" s="31" t="n"/>
      <c r="D68" s="31" t="n"/>
      <c r="E68" s="32">
        <f>IF(A68="","",D68-C68)</f>
        <v/>
      </c>
      <c r="F68" s="30" t="n"/>
      <c r="G68" s="30" t="n"/>
      <c r="H68" s="33">
        <f>IF(A68="","",SUMIFS(Movimientos!$D$2:$D$3001,Movimientos!$B$2:$B$3001,A68,Movimientos!$C$2:$C$3001,"Entrada"))</f>
        <v/>
      </c>
      <c r="I68" s="33">
        <f>IF(A68="","",SUMIFS(Movimientos!$D$2:$D$3001,Movimientos!$B$2:$B$3001,A68,Movimientos!$C$2:$C$3001,"Venta"))</f>
        <v/>
      </c>
      <c r="J68" s="33">
        <f>IF(A68="","",F68+H68-I68)</f>
        <v/>
      </c>
      <c r="K68" s="33">
        <f>IF(A68="","",IF(J68&lt;=G68,"REPONER","OK"))</f>
        <v/>
      </c>
    </row>
    <row r="69" ht="15" customHeight="1" s="21">
      <c r="A69" s="30" t="n"/>
      <c r="B69" s="30" t="n"/>
      <c r="C69" s="31" t="n"/>
      <c r="D69" s="31" t="n"/>
      <c r="E69" s="32">
        <f>IF(A69="","",D69-C69)</f>
        <v/>
      </c>
      <c r="F69" s="30" t="n"/>
      <c r="G69" s="30" t="n"/>
      <c r="H69" s="33">
        <f>IF(A69="","",SUMIFS(Movimientos!$D$2:$D$3001,Movimientos!$B$2:$B$3001,A69,Movimientos!$C$2:$C$3001,"Entrada"))</f>
        <v/>
      </c>
      <c r="I69" s="33">
        <f>IF(A69="","",SUMIFS(Movimientos!$D$2:$D$3001,Movimientos!$B$2:$B$3001,A69,Movimientos!$C$2:$C$3001,"Venta"))</f>
        <v/>
      </c>
      <c r="J69" s="33">
        <f>IF(A69="","",F69+H69-I69)</f>
        <v/>
      </c>
      <c r="K69" s="33">
        <f>IF(A69="","",IF(J69&lt;=G69,"REPONER","OK"))</f>
        <v/>
      </c>
    </row>
    <row r="70" ht="15" customHeight="1" s="21">
      <c r="A70" s="30" t="n"/>
      <c r="B70" s="30" t="n"/>
      <c r="C70" s="31" t="n"/>
      <c r="D70" s="31" t="n"/>
      <c r="E70" s="32">
        <f>IF(A70="","",D70-C70)</f>
        <v/>
      </c>
      <c r="F70" s="30" t="n"/>
      <c r="G70" s="30" t="n"/>
      <c r="H70" s="33">
        <f>IF(A70="","",SUMIFS(Movimientos!$D$2:$D$3001,Movimientos!$B$2:$B$3001,A70,Movimientos!$C$2:$C$3001,"Entrada"))</f>
        <v/>
      </c>
      <c r="I70" s="33">
        <f>IF(A70="","",SUMIFS(Movimientos!$D$2:$D$3001,Movimientos!$B$2:$B$3001,A70,Movimientos!$C$2:$C$3001,"Venta"))</f>
        <v/>
      </c>
      <c r="J70" s="33">
        <f>IF(A70="","",F70+H70-I70)</f>
        <v/>
      </c>
      <c r="K70" s="33">
        <f>IF(A70="","",IF(J70&lt;=G70,"REPONER","OK"))</f>
        <v/>
      </c>
    </row>
    <row r="71" ht="15" customHeight="1" s="21">
      <c r="A71" s="30" t="n"/>
      <c r="B71" s="30" t="n"/>
      <c r="C71" s="31" t="n"/>
      <c r="D71" s="31" t="n"/>
      <c r="E71" s="32">
        <f>IF(A71="","",D71-C71)</f>
        <v/>
      </c>
      <c r="F71" s="30" t="n"/>
      <c r="G71" s="30" t="n"/>
      <c r="H71" s="33">
        <f>IF(A71="","",SUMIFS(Movimientos!$D$2:$D$3001,Movimientos!$B$2:$B$3001,A71,Movimientos!$C$2:$C$3001,"Entrada"))</f>
        <v/>
      </c>
      <c r="I71" s="33">
        <f>IF(A71="","",SUMIFS(Movimientos!$D$2:$D$3001,Movimientos!$B$2:$B$3001,A71,Movimientos!$C$2:$C$3001,"Venta"))</f>
        <v/>
      </c>
      <c r="J71" s="33">
        <f>IF(A71="","",F71+H71-I71)</f>
        <v/>
      </c>
      <c r="K71" s="33">
        <f>IF(A71="","",IF(J71&lt;=G71,"REPONER","OK"))</f>
        <v/>
      </c>
    </row>
    <row r="72" ht="15" customHeight="1" s="21">
      <c r="A72" s="30" t="n"/>
      <c r="B72" s="30" t="n"/>
      <c r="C72" s="31" t="n"/>
      <c r="D72" s="31" t="n"/>
      <c r="E72" s="32">
        <f>IF(A72="","",D72-C72)</f>
        <v/>
      </c>
      <c r="F72" s="30" t="n"/>
      <c r="G72" s="30" t="n"/>
      <c r="H72" s="33">
        <f>IF(A72="","",SUMIFS(Movimientos!$D$2:$D$3001,Movimientos!$B$2:$B$3001,A72,Movimientos!$C$2:$C$3001,"Entrada"))</f>
        <v/>
      </c>
      <c r="I72" s="33">
        <f>IF(A72="","",SUMIFS(Movimientos!$D$2:$D$3001,Movimientos!$B$2:$B$3001,A72,Movimientos!$C$2:$C$3001,"Venta"))</f>
        <v/>
      </c>
      <c r="J72" s="33">
        <f>IF(A72="","",F72+H72-I72)</f>
        <v/>
      </c>
      <c r="K72" s="33">
        <f>IF(A72="","",IF(J72&lt;=G72,"REPONER","OK"))</f>
        <v/>
      </c>
    </row>
    <row r="73" ht="15" customHeight="1" s="21">
      <c r="A73" s="30" t="n"/>
      <c r="B73" s="30" t="n"/>
      <c r="C73" s="31" t="n"/>
      <c r="D73" s="31" t="n"/>
      <c r="E73" s="32">
        <f>IF(A73="","",D73-C73)</f>
        <v/>
      </c>
      <c r="F73" s="30" t="n"/>
      <c r="G73" s="30" t="n"/>
      <c r="H73" s="33">
        <f>IF(A73="","",SUMIFS(Movimientos!$D$2:$D$3001,Movimientos!$B$2:$B$3001,A73,Movimientos!$C$2:$C$3001,"Entrada"))</f>
        <v/>
      </c>
      <c r="I73" s="33">
        <f>IF(A73="","",SUMIFS(Movimientos!$D$2:$D$3001,Movimientos!$B$2:$B$3001,A73,Movimientos!$C$2:$C$3001,"Venta"))</f>
        <v/>
      </c>
      <c r="J73" s="33">
        <f>IF(A73="","",F73+H73-I73)</f>
        <v/>
      </c>
      <c r="K73" s="33">
        <f>IF(A73="","",IF(J73&lt;=G73,"REPONER","OK"))</f>
        <v/>
      </c>
    </row>
    <row r="74" ht="15" customHeight="1" s="21">
      <c r="A74" s="30" t="n"/>
      <c r="B74" s="30" t="n"/>
      <c r="C74" s="31" t="n"/>
      <c r="D74" s="31" t="n"/>
      <c r="E74" s="32">
        <f>IF(A74="","",D74-C74)</f>
        <v/>
      </c>
      <c r="F74" s="30" t="n"/>
      <c r="G74" s="30" t="n"/>
      <c r="H74" s="33">
        <f>IF(A74="","",SUMIFS(Movimientos!$D$2:$D$3001,Movimientos!$B$2:$B$3001,A74,Movimientos!$C$2:$C$3001,"Entrada"))</f>
        <v/>
      </c>
      <c r="I74" s="33">
        <f>IF(A74="","",SUMIFS(Movimientos!$D$2:$D$3001,Movimientos!$B$2:$B$3001,A74,Movimientos!$C$2:$C$3001,"Venta"))</f>
        <v/>
      </c>
      <c r="J74" s="33">
        <f>IF(A74="","",F74+H74-I74)</f>
        <v/>
      </c>
      <c r="K74" s="33">
        <f>IF(A74="","",IF(J74&lt;=G74,"REPONER","OK"))</f>
        <v/>
      </c>
    </row>
    <row r="75" ht="15" customHeight="1" s="21">
      <c r="A75" s="30" t="n"/>
      <c r="B75" s="30" t="n"/>
      <c r="C75" s="31" t="n"/>
      <c r="D75" s="31" t="n"/>
      <c r="E75" s="32">
        <f>IF(A75="","",D75-C75)</f>
        <v/>
      </c>
      <c r="F75" s="30" t="n"/>
      <c r="G75" s="30" t="n"/>
      <c r="H75" s="33">
        <f>IF(A75="","",SUMIFS(Movimientos!$D$2:$D$3001,Movimientos!$B$2:$B$3001,A75,Movimientos!$C$2:$C$3001,"Entrada"))</f>
        <v/>
      </c>
      <c r="I75" s="33">
        <f>IF(A75="","",SUMIFS(Movimientos!$D$2:$D$3001,Movimientos!$B$2:$B$3001,A75,Movimientos!$C$2:$C$3001,"Venta"))</f>
        <v/>
      </c>
      <c r="J75" s="33">
        <f>IF(A75="","",F75+H75-I75)</f>
        <v/>
      </c>
      <c r="K75" s="33">
        <f>IF(A75="","",IF(J75&lt;=G75,"REPONER","OK"))</f>
        <v/>
      </c>
    </row>
    <row r="76" ht="15" customHeight="1" s="21">
      <c r="A76" s="30" t="n"/>
      <c r="B76" s="30" t="n"/>
      <c r="C76" s="31" t="n"/>
      <c r="D76" s="31" t="n"/>
      <c r="E76" s="32">
        <f>IF(A76="","",D76-C76)</f>
        <v/>
      </c>
      <c r="F76" s="30" t="n"/>
      <c r="G76" s="30" t="n"/>
      <c r="H76" s="33">
        <f>IF(A76="","",SUMIFS(Movimientos!$D$2:$D$3001,Movimientos!$B$2:$B$3001,A76,Movimientos!$C$2:$C$3001,"Entrada"))</f>
        <v/>
      </c>
      <c r="I76" s="33">
        <f>IF(A76="","",SUMIFS(Movimientos!$D$2:$D$3001,Movimientos!$B$2:$B$3001,A76,Movimientos!$C$2:$C$3001,"Venta"))</f>
        <v/>
      </c>
      <c r="J76" s="33">
        <f>IF(A76="","",F76+H76-I76)</f>
        <v/>
      </c>
      <c r="K76" s="33">
        <f>IF(A76="","",IF(J76&lt;=G76,"REPONER","OK"))</f>
        <v/>
      </c>
    </row>
    <row r="77" ht="15" customHeight="1" s="21">
      <c r="A77" s="30" t="n"/>
      <c r="B77" s="30" t="n"/>
      <c r="C77" s="31" t="n"/>
      <c r="D77" s="31" t="n"/>
      <c r="E77" s="32">
        <f>IF(A77="","",D77-C77)</f>
        <v/>
      </c>
      <c r="F77" s="30" t="n"/>
      <c r="G77" s="30" t="n"/>
      <c r="H77" s="33">
        <f>IF(A77="","",SUMIFS(Movimientos!$D$2:$D$3001,Movimientos!$B$2:$B$3001,A77,Movimientos!$C$2:$C$3001,"Entrada"))</f>
        <v/>
      </c>
      <c r="I77" s="33">
        <f>IF(A77="","",SUMIFS(Movimientos!$D$2:$D$3001,Movimientos!$B$2:$B$3001,A77,Movimientos!$C$2:$C$3001,"Venta"))</f>
        <v/>
      </c>
      <c r="J77" s="33">
        <f>IF(A77="","",F77+H77-I77)</f>
        <v/>
      </c>
      <c r="K77" s="33">
        <f>IF(A77="","",IF(J77&lt;=G77,"REPONER","OK"))</f>
        <v/>
      </c>
    </row>
    <row r="78" ht="15" customHeight="1" s="21">
      <c r="A78" s="30" t="n"/>
      <c r="B78" s="30" t="n"/>
      <c r="C78" s="31" t="n"/>
      <c r="D78" s="31" t="n"/>
      <c r="E78" s="32">
        <f>IF(A78="","",D78-C78)</f>
        <v/>
      </c>
      <c r="F78" s="30" t="n"/>
      <c r="G78" s="30" t="n"/>
      <c r="H78" s="33">
        <f>IF(A78="","",SUMIFS(Movimientos!$D$2:$D$3001,Movimientos!$B$2:$B$3001,A78,Movimientos!$C$2:$C$3001,"Entrada"))</f>
        <v/>
      </c>
      <c r="I78" s="33">
        <f>IF(A78="","",SUMIFS(Movimientos!$D$2:$D$3001,Movimientos!$B$2:$B$3001,A78,Movimientos!$C$2:$C$3001,"Venta"))</f>
        <v/>
      </c>
      <c r="J78" s="33">
        <f>IF(A78="","",F78+H78-I78)</f>
        <v/>
      </c>
      <c r="K78" s="33">
        <f>IF(A78="","",IF(J78&lt;=G78,"REPONER","OK"))</f>
        <v/>
      </c>
    </row>
    <row r="79" ht="15" customHeight="1" s="21">
      <c r="A79" s="30" t="n"/>
      <c r="B79" s="30" t="n"/>
      <c r="C79" s="31" t="n"/>
      <c r="D79" s="31" t="n"/>
      <c r="E79" s="32">
        <f>IF(A79="","",D79-C79)</f>
        <v/>
      </c>
      <c r="F79" s="30" t="n"/>
      <c r="G79" s="30" t="n"/>
      <c r="H79" s="33">
        <f>IF(A79="","",SUMIFS(Movimientos!$D$2:$D$3001,Movimientos!$B$2:$B$3001,A79,Movimientos!$C$2:$C$3001,"Entrada"))</f>
        <v/>
      </c>
      <c r="I79" s="33">
        <f>IF(A79="","",SUMIFS(Movimientos!$D$2:$D$3001,Movimientos!$B$2:$B$3001,A79,Movimientos!$C$2:$C$3001,"Venta"))</f>
        <v/>
      </c>
      <c r="J79" s="33">
        <f>IF(A79="","",F79+H79-I79)</f>
        <v/>
      </c>
      <c r="K79" s="33">
        <f>IF(A79="","",IF(J79&lt;=G79,"REPONER","OK"))</f>
        <v/>
      </c>
    </row>
    <row r="80" ht="15" customHeight="1" s="21">
      <c r="A80" s="30" t="n"/>
      <c r="B80" s="30" t="n"/>
      <c r="C80" s="31" t="n"/>
      <c r="D80" s="31" t="n"/>
      <c r="E80" s="32">
        <f>IF(A80="","",D80-C80)</f>
        <v/>
      </c>
      <c r="F80" s="30" t="n"/>
      <c r="G80" s="30" t="n"/>
      <c r="H80" s="33">
        <f>IF(A80="","",SUMIFS(Movimientos!$D$2:$D$3001,Movimientos!$B$2:$B$3001,A80,Movimientos!$C$2:$C$3001,"Entrada"))</f>
        <v/>
      </c>
      <c r="I80" s="33">
        <f>IF(A80="","",SUMIFS(Movimientos!$D$2:$D$3001,Movimientos!$B$2:$B$3001,A80,Movimientos!$C$2:$C$3001,"Venta"))</f>
        <v/>
      </c>
      <c r="J80" s="33">
        <f>IF(A80="","",F80+H80-I80)</f>
        <v/>
      </c>
      <c r="K80" s="33">
        <f>IF(A80="","",IF(J80&lt;=G80,"REPONER","OK"))</f>
        <v/>
      </c>
    </row>
    <row r="81" ht="15" customHeight="1" s="21">
      <c r="A81" s="30" t="n"/>
      <c r="B81" s="30" t="n"/>
      <c r="C81" s="31" t="n"/>
      <c r="D81" s="31" t="n"/>
      <c r="E81" s="32">
        <f>IF(A81="","",D81-C81)</f>
        <v/>
      </c>
      <c r="F81" s="30" t="n"/>
      <c r="G81" s="30" t="n"/>
      <c r="H81" s="33">
        <f>IF(A81="","",SUMIFS(Movimientos!$D$2:$D$3001,Movimientos!$B$2:$B$3001,A81,Movimientos!$C$2:$C$3001,"Entrada"))</f>
        <v/>
      </c>
      <c r="I81" s="33">
        <f>IF(A81="","",SUMIFS(Movimientos!$D$2:$D$3001,Movimientos!$B$2:$B$3001,A81,Movimientos!$C$2:$C$3001,"Venta"))</f>
        <v/>
      </c>
      <c r="J81" s="33">
        <f>IF(A81="","",F81+H81-I81)</f>
        <v/>
      </c>
      <c r="K81" s="33">
        <f>IF(A81="","",IF(J81&lt;=G81,"REPONER","OK"))</f>
        <v/>
      </c>
    </row>
    <row r="82" ht="15" customHeight="1" s="21">
      <c r="A82" s="30" t="n"/>
      <c r="B82" s="30" t="n"/>
      <c r="C82" s="31" t="n"/>
      <c r="D82" s="31" t="n"/>
      <c r="E82" s="32">
        <f>IF(A82="","",D82-C82)</f>
        <v/>
      </c>
      <c r="F82" s="30" t="n"/>
      <c r="G82" s="30" t="n"/>
      <c r="H82" s="33">
        <f>IF(A82="","",SUMIFS(Movimientos!$D$2:$D$3001,Movimientos!$B$2:$B$3001,A82,Movimientos!$C$2:$C$3001,"Entrada"))</f>
        <v/>
      </c>
      <c r="I82" s="33">
        <f>IF(A82="","",SUMIFS(Movimientos!$D$2:$D$3001,Movimientos!$B$2:$B$3001,A82,Movimientos!$C$2:$C$3001,"Venta"))</f>
        <v/>
      </c>
      <c r="J82" s="33">
        <f>IF(A82="","",F82+H82-I82)</f>
        <v/>
      </c>
      <c r="K82" s="33">
        <f>IF(A82="","",IF(J82&lt;=G82,"REPONER","OK"))</f>
        <v/>
      </c>
    </row>
    <row r="83" ht="15" customHeight="1" s="21">
      <c r="A83" s="30" t="n"/>
      <c r="B83" s="30" t="n"/>
      <c r="C83" s="31" t="n"/>
      <c r="D83" s="31" t="n"/>
      <c r="E83" s="32">
        <f>IF(A83="","",D83-C83)</f>
        <v/>
      </c>
      <c r="F83" s="30" t="n"/>
      <c r="G83" s="30" t="n"/>
      <c r="H83" s="33">
        <f>IF(A83="","",SUMIFS(Movimientos!$D$2:$D$3001,Movimientos!$B$2:$B$3001,A83,Movimientos!$C$2:$C$3001,"Entrada"))</f>
        <v/>
      </c>
      <c r="I83" s="33">
        <f>IF(A83="","",SUMIFS(Movimientos!$D$2:$D$3001,Movimientos!$B$2:$B$3001,A83,Movimientos!$C$2:$C$3001,"Venta"))</f>
        <v/>
      </c>
      <c r="J83" s="33">
        <f>IF(A83="","",F83+H83-I83)</f>
        <v/>
      </c>
      <c r="K83" s="33">
        <f>IF(A83="","",IF(J83&lt;=G83,"REPONER","OK"))</f>
        <v/>
      </c>
    </row>
    <row r="84" ht="15" customHeight="1" s="21">
      <c r="A84" s="30" t="n"/>
      <c r="B84" s="30" t="n"/>
      <c r="C84" s="31" t="n"/>
      <c r="D84" s="31" t="n"/>
      <c r="E84" s="32">
        <f>IF(A84="","",D84-C84)</f>
        <v/>
      </c>
      <c r="F84" s="30" t="n"/>
      <c r="G84" s="30" t="n"/>
      <c r="H84" s="33">
        <f>IF(A84="","",SUMIFS(Movimientos!$D$2:$D$3001,Movimientos!$B$2:$B$3001,A84,Movimientos!$C$2:$C$3001,"Entrada"))</f>
        <v/>
      </c>
      <c r="I84" s="33">
        <f>IF(A84="","",SUMIFS(Movimientos!$D$2:$D$3001,Movimientos!$B$2:$B$3001,A84,Movimientos!$C$2:$C$3001,"Venta"))</f>
        <v/>
      </c>
      <c r="J84" s="33">
        <f>IF(A84="","",F84+H84-I84)</f>
        <v/>
      </c>
      <c r="K84" s="33">
        <f>IF(A84="","",IF(J84&lt;=G84,"REPONER","OK"))</f>
        <v/>
      </c>
    </row>
    <row r="85" ht="15" customHeight="1" s="21">
      <c r="A85" s="30" t="n"/>
      <c r="B85" s="30" t="n"/>
      <c r="C85" s="31" t="n"/>
      <c r="D85" s="31" t="n"/>
      <c r="E85" s="32">
        <f>IF(A85="","",D85-C85)</f>
        <v/>
      </c>
      <c r="F85" s="30" t="n"/>
      <c r="G85" s="30" t="n"/>
      <c r="H85" s="33">
        <f>IF(A85="","",SUMIFS(Movimientos!$D$2:$D$3001,Movimientos!$B$2:$B$3001,A85,Movimientos!$C$2:$C$3001,"Entrada"))</f>
        <v/>
      </c>
      <c r="I85" s="33">
        <f>IF(A85="","",SUMIFS(Movimientos!$D$2:$D$3001,Movimientos!$B$2:$B$3001,A85,Movimientos!$C$2:$C$3001,"Venta"))</f>
        <v/>
      </c>
      <c r="J85" s="33">
        <f>IF(A85="","",F85+H85-I85)</f>
        <v/>
      </c>
      <c r="K85" s="33">
        <f>IF(A85="","",IF(J85&lt;=G85,"REPONER","OK"))</f>
        <v/>
      </c>
    </row>
    <row r="86" ht="15" customHeight="1" s="21">
      <c r="A86" s="30" t="n"/>
      <c r="B86" s="30" t="n"/>
      <c r="C86" s="31" t="n"/>
      <c r="D86" s="31" t="n"/>
      <c r="E86" s="32">
        <f>IF(A86="","",D86-C86)</f>
        <v/>
      </c>
      <c r="F86" s="30" t="n"/>
      <c r="G86" s="30" t="n"/>
      <c r="H86" s="33">
        <f>IF(A86="","",SUMIFS(Movimientos!$D$2:$D$3001,Movimientos!$B$2:$B$3001,A86,Movimientos!$C$2:$C$3001,"Entrada"))</f>
        <v/>
      </c>
      <c r="I86" s="33">
        <f>IF(A86="","",SUMIFS(Movimientos!$D$2:$D$3001,Movimientos!$B$2:$B$3001,A86,Movimientos!$C$2:$C$3001,"Venta"))</f>
        <v/>
      </c>
      <c r="J86" s="33">
        <f>IF(A86="","",F86+H86-I86)</f>
        <v/>
      </c>
      <c r="K86" s="33">
        <f>IF(A86="","",IF(J86&lt;=G86,"REPONER","OK"))</f>
        <v/>
      </c>
    </row>
    <row r="87" ht="15" customHeight="1" s="21">
      <c r="A87" s="30" t="n"/>
      <c r="B87" s="30" t="n"/>
      <c r="C87" s="31" t="n"/>
      <c r="D87" s="31" t="n"/>
      <c r="E87" s="32">
        <f>IF(A87="","",D87-C87)</f>
        <v/>
      </c>
      <c r="F87" s="30" t="n"/>
      <c r="G87" s="30" t="n"/>
      <c r="H87" s="33">
        <f>IF(A87="","",SUMIFS(Movimientos!$D$2:$D$3001,Movimientos!$B$2:$B$3001,A87,Movimientos!$C$2:$C$3001,"Entrada"))</f>
        <v/>
      </c>
      <c r="I87" s="33">
        <f>IF(A87="","",SUMIFS(Movimientos!$D$2:$D$3001,Movimientos!$B$2:$B$3001,A87,Movimientos!$C$2:$C$3001,"Venta"))</f>
        <v/>
      </c>
      <c r="J87" s="33">
        <f>IF(A87="","",F87+H87-I87)</f>
        <v/>
      </c>
      <c r="K87" s="33">
        <f>IF(A87="","",IF(J87&lt;=G87,"REPONER","OK"))</f>
        <v/>
      </c>
    </row>
    <row r="88" ht="15" customHeight="1" s="21">
      <c r="A88" s="30" t="n"/>
      <c r="B88" s="30" t="n"/>
      <c r="C88" s="31" t="n"/>
      <c r="D88" s="31" t="n"/>
      <c r="E88" s="32">
        <f>IF(A88="","",D88-C88)</f>
        <v/>
      </c>
      <c r="F88" s="30" t="n"/>
      <c r="G88" s="30" t="n"/>
      <c r="H88" s="33">
        <f>IF(A88="","",SUMIFS(Movimientos!$D$2:$D$3001,Movimientos!$B$2:$B$3001,A88,Movimientos!$C$2:$C$3001,"Entrada"))</f>
        <v/>
      </c>
      <c r="I88" s="33">
        <f>IF(A88="","",SUMIFS(Movimientos!$D$2:$D$3001,Movimientos!$B$2:$B$3001,A88,Movimientos!$C$2:$C$3001,"Venta"))</f>
        <v/>
      </c>
      <c r="J88" s="33">
        <f>IF(A88="","",F88+H88-I88)</f>
        <v/>
      </c>
      <c r="K88" s="33">
        <f>IF(A88="","",IF(J88&lt;=G88,"REPONER","OK"))</f>
        <v/>
      </c>
    </row>
    <row r="89" ht="15" customHeight="1" s="21">
      <c r="A89" s="30" t="n"/>
      <c r="B89" s="30" t="n"/>
      <c r="C89" s="31" t="n"/>
      <c r="D89" s="31" t="n"/>
      <c r="E89" s="32">
        <f>IF(A89="","",D89-C89)</f>
        <v/>
      </c>
      <c r="F89" s="30" t="n"/>
      <c r="G89" s="30" t="n"/>
      <c r="H89" s="33">
        <f>IF(A89="","",SUMIFS(Movimientos!$D$2:$D$3001,Movimientos!$B$2:$B$3001,A89,Movimientos!$C$2:$C$3001,"Entrada"))</f>
        <v/>
      </c>
      <c r="I89" s="33">
        <f>IF(A89="","",SUMIFS(Movimientos!$D$2:$D$3001,Movimientos!$B$2:$B$3001,A89,Movimientos!$C$2:$C$3001,"Venta"))</f>
        <v/>
      </c>
      <c r="J89" s="33">
        <f>IF(A89="","",F89+H89-I89)</f>
        <v/>
      </c>
      <c r="K89" s="33">
        <f>IF(A89="","",IF(J89&lt;=G89,"REPONER","OK"))</f>
        <v/>
      </c>
    </row>
    <row r="90" ht="15" customHeight="1" s="21">
      <c r="A90" s="30" t="n"/>
      <c r="B90" s="30" t="n"/>
      <c r="C90" s="31" t="n"/>
      <c r="D90" s="31" t="n"/>
      <c r="E90" s="32">
        <f>IF(A90="","",D90-C90)</f>
        <v/>
      </c>
      <c r="F90" s="30" t="n"/>
      <c r="G90" s="30" t="n"/>
      <c r="H90" s="33">
        <f>IF(A90="","",SUMIFS(Movimientos!$D$2:$D$3001,Movimientos!$B$2:$B$3001,A90,Movimientos!$C$2:$C$3001,"Entrada"))</f>
        <v/>
      </c>
      <c r="I90" s="33">
        <f>IF(A90="","",SUMIFS(Movimientos!$D$2:$D$3001,Movimientos!$B$2:$B$3001,A90,Movimientos!$C$2:$C$3001,"Venta"))</f>
        <v/>
      </c>
      <c r="J90" s="33">
        <f>IF(A90="","",F90+H90-I90)</f>
        <v/>
      </c>
      <c r="K90" s="33">
        <f>IF(A90="","",IF(J90&lt;=G90,"REPONER","OK"))</f>
        <v/>
      </c>
    </row>
    <row r="91" ht="15" customHeight="1" s="21">
      <c r="A91" s="30" t="n"/>
      <c r="B91" s="30" t="n"/>
      <c r="C91" s="31" t="n"/>
      <c r="D91" s="31" t="n"/>
      <c r="E91" s="32">
        <f>IF(A91="","",D91-C91)</f>
        <v/>
      </c>
      <c r="F91" s="30" t="n"/>
      <c r="G91" s="30" t="n"/>
      <c r="H91" s="33">
        <f>IF(A91="","",SUMIFS(Movimientos!$D$2:$D$3001,Movimientos!$B$2:$B$3001,A91,Movimientos!$C$2:$C$3001,"Entrada"))</f>
        <v/>
      </c>
      <c r="I91" s="33">
        <f>IF(A91="","",SUMIFS(Movimientos!$D$2:$D$3001,Movimientos!$B$2:$B$3001,A91,Movimientos!$C$2:$C$3001,"Venta"))</f>
        <v/>
      </c>
      <c r="J91" s="33">
        <f>IF(A91="","",F91+H91-I91)</f>
        <v/>
      </c>
      <c r="K91" s="33">
        <f>IF(A91="","",IF(J91&lt;=G91,"REPONER","OK"))</f>
        <v/>
      </c>
    </row>
    <row r="92" ht="15" customHeight="1" s="21">
      <c r="A92" s="30" t="n"/>
      <c r="B92" s="30" t="n"/>
      <c r="C92" s="31" t="n"/>
      <c r="D92" s="31" t="n"/>
      <c r="E92" s="32">
        <f>IF(A92="","",D92-C92)</f>
        <v/>
      </c>
      <c r="F92" s="30" t="n"/>
      <c r="G92" s="30" t="n"/>
      <c r="H92" s="33">
        <f>IF(A92="","",SUMIFS(Movimientos!$D$2:$D$3001,Movimientos!$B$2:$B$3001,A92,Movimientos!$C$2:$C$3001,"Entrada"))</f>
        <v/>
      </c>
      <c r="I92" s="33">
        <f>IF(A92="","",SUMIFS(Movimientos!$D$2:$D$3001,Movimientos!$B$2:$B$3001,A92,Movimientos!$C$2:$C$3001,"Venta"))</f>
        <v/>
      </c>
      <c r="J92" s="33">
        <f>IF(A92="","",F92+H92-I92)</f>
        <v/>
      </c>
      <c r="K92" s="33">
        <f>IF(A92="","",IF(J92&lt;=G92,"REPONER","OK"))</f>
        <v/>
      </c>
    </row>
    <row r="93" ht="15" customHeight="1" s="21">
      <c r="A93" s="30" t="n"/>
      <c r="B93" s="30" t="n"/>
      <c r="C93" s="31" t="n"/>
      <c r="D93" s="31" t="n"/>
      <c r="E93" s="32">
        <f>IF(A93="","",D93-C93)</f>
        <v/>
      </c>
      <c r="F93" s="30" t="n"/>
      <c r="G93" s="30" t="n"/>
      <c r="H93" s="33">
        <f>IF(A93="","",SUMIFS(Movimientos!$D$2:$D$3001,Movimientos!$B$2:$B$3001,A93,Movimientos!$C$2:$C$3001,"Entrada"))</f>
        <v/>
      </c>
      <c r="I93" s="33">
        <f>IF(A93="","",SUMIFS(Movimientos!$D$2:$D$3001,Movimientos!$B$2:$B$3001,A93,Movimientos!$C$2:$C$3001,"Venta"))</f>
        <v/>
      </c>
      <c r="J93" s="33">
        <f>IF(A93="","",F93+H93-I93)</f>
        <v/>
      </c>
      <c r="K93" s="33">
        <f>IF(A93="","",IF(J93&lt;=G93,"REPONER","OK"))</f>
        <v/>
      </c>
    </row>
    <row r="94" ht="15" customHeight="1" s="21">
      <c r="A94" s="30" t="n"/>
      <c r="B94" s="30" t="n"/>
      <c r="C94" s="31" t="n"/>
      <c r="D94" s="31" t="n"/>
      <c r="E94" s="32">
        <f>IF(A94="","",D94-C94)</f>
        <v/>
      </c>
      <c r="F94" s="30" t="n"/>
      <c r="G94" s="30" t="n"/>
      <c r="H94" s="33">
        <f>IF(A94="","",SUMIFS(Movimientos!$D$2:$D$3001,Movimientos!$B$2:$B$3001,A94,Movimientos!$C$2:$C$3001,"Entrada"))</f>
        <v/>
      </c>
      <c r="I94" s="33">
        <f>IF(A94="","",SUMIFS(Movimientos!$D$2:$D$3001,Movimientos!$B$2:$B$3001,A94,Movimientos!$C$2:$C$3001,"Venta"))</f>
        <v/>
      </c>
      <c r="J94" s="33">
        <f>IF(A94="","",F94+H94-I94)</f>
        <v/>
      </c>
      <c r="K94" s="33">
        <f>IF(A94="","",IF(J94&lt;=G94,"REPONER","OK"))</f>
        <v/>
      </c>
    </row>
    <row r="95" ht="15" customHeight="1" s="21">
      <c r="A95" s="30" t="n"/>
      <c r="B95" s="30" t="n"/>
      <c r="C95" s="31" t="n"/>
      <c r="D95" s="31" t="n"/>
      <c r="E95" s="32">
        <f>IF(A95="","",D95-C95)</f>
        <v/>
      </c>
      <c r="F95" s="30" t="n"/>
      <c r="G95" s="30" t="n"/>
      <c r="H95" s="33">
        <f>IF(A95="","",SUMIFS(Movimientos!$D$2:$D$3001,Movimientos!$B$2:$B$3001,A95,Movimientos!$C$2:$C$3001,"Entrada"))</f>
        <v/>
      </c>
      <c r="I95" s="33">
        <f>IF(A95="","",SUMIFS(Movimientos!$D$2:$D$3001,Movimientos!$B$2:$B$3001,A95,Movimientos!$C$2:$C$3001,"Venta"))</f>
        <v/>
      </c>
      <c r="J95" s="33">
        <f>IF(A95="","",F95+H95-I95)</f>
        <v/>
      </c>
      <c r="K95" s="33">
        <f>IF(A95="","",IF(J95&lt;=G95,"REPONER","OK"))</f>
        <v/>
      </c>
    </row>
    <row r="96" ht="15" customHeight="1" s="21">
      <c r="A96" s="30" t="n"/>
      <c r="B96" s="30" t="n"/>
      <c r="C96" s="31" t="n"/>
      <c r="D96" s="31" t="n"/>
      <c r="E96" s="32">
        <f>IF(A96="","",D96-C96)</f>
        <v/>
      </c>
      <c r="F96" s="30" t="n"/>
      <c r="G96" s="30" t="n"/>
      <c r="H96" s="33">
        <f>IF(A96="","",SUMIFS(Movimientos!$D$2:$D$3001,Movimientos!$B$2:$B$3001,A96,Movimientos!$C$2:$C$3001,"Entrada"))</f>
        <v/>
      </c>
      <c r="I96" s="33">
        <f>IF(A96="","",SUMIFS(Movimientos!$D$2:$D$3001,Movimientos!$B$2:$B$3001,A96,Movimientos!$C$2:$C$3001,"Venta"))</f>
        <v/>
      </c>
      <c r="J96" s="33">
        <f>IF(A96="","",F96+H96-I96)</f>
        <v/>
      </c>
      <c r="K96" s="33">
        <f>IF(A96="","",IF(J96&lt;=G96,"REPONER","OK"))</f>
        <v/>
      </c>
    </row>
    <row r="97" ht="15" customHeight="1" s="21">
      <c r="A97" s="30" t="n"/>
      <c r="B97" s="30" t="n"/>
      <c r="C97" s="31" t="n"/>
      <c r="D97" s="31" t="n"/>
      <c r="E97" s="32">
        <f>IF(A97="","",D97-C97)</f>
        <v/>
      </c>
      <c r="F97" s="30" t="n"/>
      <c r="G97" s="30" t="n"/>
      <c r="H97" s="33">
        <f>IF(A97="","",SUMIFS(Movimientos!$D$2:$D$3001,Movimientos!$B$2:$B$3001,A97,Movimientos!$C$2:$C$3001,"Entrada"))</f>
        <v/>
      </c>
      <c r="I97" s="33">
        <f>IF(A97="","",SUMIFS(Movimientos!$D$2:$D$3001,Movimientos!$B$2:$B$3001,A97,Movimientos!$C$2:$C$3001,"Venta"))</f>
        <v/>
      </c>
      <c r="J97" s="33">
        <f>IF(A97="","",F97+H97-I97)</f>
        <v/>
      </c>
      <c r="K97" s="33">
        <f>IF(A97="","",IF(J97&lt;=G97,"REPONER","OK"))</f>
        <v/>
      </c>
    </row>
    <row r="98" ht="15" customHeight="1" s="21">
      <c r="A98" s="30" t="n"/>
      <c r="B98" s="30" t="n"/>
      <c r="C98" s="31" t="n"/>
      <c r="D98" s="31" t="n"/>
      <c r="E98" s="32">
        <f>IF(A98="","",D98-C98)</f>
        <v/>
      </c>
      <c r="F98" s="30" t="n"/>
      <c r="G98" s="30" t="n"/>
      <c r="H98" s="33">
        <f>IF(A98="","",SUMIFS(Movimientos!$D$2:$D$3001,Movimientos!$B$2:$B$3001,A98,Movimientos!$C$2:$C$3001,"Entrada"))</f>
        <v/>
      </c>
      <c r="I98" s="33">
        <f>IF(A98="","",SUMIFS(Movimientos!$D$2:$D$3001,Movimientos!$B$2:$B$3001,A98,Movimientos!$C$2:$C$3001,"Venta"))</f>
        <v/>
      </c>
      <c r="J98" s="33">
        <f>IF(A98="","",F98+H98-I98)</f>
        <v/>
      </c>
      <c r="K98" s="33">
        <f>IF(A98="","",IF(J98&lt;=G98,"REPONER","OK"))</f>
        <v/>
      </c>
    </row>
    <row r="99" ht="15" customHeight="1" s="21">
      <c r="A99" s="30" t="n"/>
      <c r="B99" s="30" t="n"/>
      <c r="C99" s="31" t="n"/>
      <c r="D99" s="31" t="n"/>
      <c r="E99" s="32">
        <f>IF(A99="","",D99-C99)</f>
        <v/>
      </c>
      <c r="F99" s="30" t="n"/>
      <c r="G99" s="30" t="n"/>
      <c r="H99" s="33">
        <f>IF(A99="","",SUMIFS(Movimientos!$D$2:$D$3001,Movimientos!$B$2:$B$3001,A99,Movimientos!$C$2:$C$3001,"Entrada"))</f>
        <v/>
      </c>
      <c r="I99" s="33">
        <f>IF(A99="","",SUMIFS(Movimientos!$D$2:$D$3001,Movimientos!$B$2:$B$3001,A99,Movimientos!$C$2:$C$3001,"Venta"))</f>
        <v/>
      </c>
      <c r="J99" s="33">
        <f>IF(A99="","",F99+H99-I99)</f>
        <v/>
      </c>
      <c r="K99" s="33">
        <f>IF(A99="","",IF(J99&lt;=G99,"REPONER","OK"))</f>
        <v/>
      </c>
    </row>
    <row r="100" ht="15" customHeight="1" s="21">
      <c r="A100" s="30" t="n"/>
      <c r="B100" s="30" t="n"/>
      <c r="C100" s="31" t="n"/>
      <c r="D100" s="31" t="n"/>
      <c r="E100" s="32">
        <f>IF(A100="","",D100-C100)</f>
        <v/>
      </c>
      <c r="F100" s="30" t="n"/>
      <c r="G100" s="30" t="n"/>
      <c r="H100" s="33">
        <f>IF(A100="","",SUMIFS(Movimientos!$D$2:$D$3001,Movimientos!$B$2:$B$3001,A100,Movimientos!$C$2:$C$3001,"Entrada"))</f>
        <v/>
      </c>
      <c r="I100" s="33">
        <f>IF(A100="","",SUMIFS(Movimientos!$D$2:$D$3001,Movimientos!$B$2:$B$3001,A100,Movimientos!$C$2:$C$3001,"Venta"))</f>
        <v/>
      </c>
      <c r="J100" s="33">
        <f>IF(A100="","",F100+H100-I100)</f>
        <v/>
      </c>
      <c r="K100" s="33">
        <f>IF(A100="","",IF(J100&lt;=G100,"REPONER","OK"))</f>
        <v/>
      </c>
    </row>
    <row r="101" ht="15" customHeight="1" s="21">
      <c r="A101" s="30" t="n"/>
      <c r="B101" s="30" t="n"/>
      <c r="C101" s="31" t="n"/>
      <c r="D101" s="31" t="n"/>
      <c r="E101" s="32">
        <f>IF(A101="","",D101-C101)</f>
        <v/>
      </c>
      <c r="F101" s="30" t="n"/>
      <c r="G101" s="30" t="n"/>
      <c r="H101" s="33">
        <f>IF(A101="","",SUMIFS(Movimientos!$D$2:$D$3001,Movimientos!$B$2:$B$3001,A101,Movimientos!$C$2:$C$3001,"Entrada"))</f>
        <v/>
      </c>
      <c r="I101" s="33">
        <f>IF(A101="","",SUMIFS(Movimientos!$D$2:$D$3001,Movimientos!$B$2:$B$3001,A101,Movimientos!$C$2:$C$3001,"Venta"))</f>
        <v/>
      </c>
      <c r="J101" s="33">
        <f>IF(A101="","",F101+H101-I101)</f>
        <v/>
      </c>
      <c r="K101" s="33">
        <f>IF(A101="","",IF(J101&lt;=G101,"REPONER","OK"))</f>
        <v/>
      </c>
    </row>
    <row r="102" ht="15" customHeight="1" s="21">
      <c r="A102" s="30" t="n"/>
      <c r="B102" s="30" t="n"/>
      <c r="C102" s="31" t="n"/>
      <c r="D102" s="31" t="n"/>
      <c r="E102" s="32">
        <f>IF(A102="","",D102-C102)</f>
        <v/>
      </c>
      <c r="F102" s="30" t="n"/>
      <c r="G102" s="30" t="n"/>
      <c r="H102" s="33">
        <f>IF(A102="","",SUMIFS(Movimientos!$D$2:$D$3001,Movimientos!$B$2:$B$3001,A102,Movimientos!$C$2:$C$3001,"Entrada"))</f>
        <v/>
      </c>
      <c r="I102" s="33">
        <f>IF(A102="","",SUMIFS(Movimientos!$D$2:$D$3001,Movimientos!$B$2:$B$3001,A102,Movimientos!$C$2:$C$3001,"Venta"))</f>
        <v/>
      </c>
      <c r="J102" s="33">
        <f>IF(A102="","",F102+H102-I102)</f>
        <v/>
      </c>
      <c r="K102" s="33">
        <f>IF(A102="","",IF(J102&lt;=G102,"REPONER","OK"))</f>
        <v/>
      </c>
    </row>
    <row r="103" ht="15" customHeight="1" s="21">
      <c r="A103" s="30" t="n"/>
      <c r="B103" s="30" t="n"/>
      <c r="C103" s="31" t="n"/>
      <c r="D103" s="31" t="n"/>
      <c r="E103" s="32">
        <f>IF(A103="","",D103-C103)</f>
        <v/>
      </c>
      <c r="F103" s="30" t="n"/>
      <c r="G103" s="30" t="n"/>
      <c r="H103" s="33">
        <f>IF(A103="","",SUMIFS(Movimientos!$D$2:$D$3001,Movimientos!$B$2:$B$3001,A103,Movimientos!$C$2:$C$3001,"Entrada"))</f>
        <v/>
      </c>
      <c r="I103" s="33">
        <f>IF(A103="","",SUMIFS(Movimientos!$D$2:$D$3001,Movimientos!$B$2:$B$3001,A103,Movimientos!$C$2:$C$3001,"Venta"))</f>
        <v/>
      </c>
      <c r="J103" s="33">
        <f>IF(A103="","",F103+H103-I103)</f>
        <v/>
      </c>
      <c r="K103" s="33">
        <f>IF(A103="","",IF(J103&lt;=G103,"REPONER","OK"))</f>
        <v/>
      </c>
    </row>
    <row r="104" ht="15" customHeight="1" s="21">
      <c r="A104" s="30" t="n"/>
      <c r="B104" s="30" t="n"/>
      <c r="C104" s="31" t="n"/>
      <c r="D104" s="31" t="n"/>
      <c r="E104" s="32">
        <f>IF(A104="","",D104-C104)</f>
        <v/>
      </c>
      <c r="F104" s="30" t="n"/>
      <c r="G104" s="30" t="n"/>
      <c r="H104" s="33">
        <f>IF(A104="","",SUMIFS(Movimientos!$D$2:$D$3001,Movimientos!$B$2:$B$3001,A104,Movimientos!$C$2:$C$3001,"Entrada"))</f>
        <v/>
      </c>
      <c r="I104" s="33">
        <f>IF(A104="","",SUMIFS(Movimientos!$D$2:$D$3001,Movimientos!$B$2:$B$3001,A104,Movimientos!$C$2:$C$3001,"Venta"))</f>
        <v/>
      </c>
      <c r="J104" s="33">
        <f>IF(A104="","",F104+H104-I104)</f>
        <v/>
      </c>
      <c r="K104" s="33">
        <f>IF(A104="","",IF(J104&lt;=G104,"REPONER","OK"))</f>
        <v/>
      </c>
    </row>
    <row r="105" ht="15" customHeight="1" s="21">
      <c r="A105" s="30" t="n"/>
      <c r="B105" s="30" t="n"/>
      <c r="C105" s="31" t="n"/>
      <c r="D105" s="31" t="n"/>
      <c r="E105" s="32">
        <f>IF(A105="","",D105-C105)</f>
        <v/>
      </c>
      <c r="F105" s="30" t="n"/>
      <c r="G105" s="30" t="n"/>
      <c r="H105" s="33">
        <f>IF(A105="","",SUMIFS(Movimientos!$D$2:$D$3001,Movimientos!$B$2:$B$3001,A105,Movimientos!$C$2:$C$3001,"Entrada"))</f>
        <v/>
      </c>
      <c r="I105" s="33">
        <f>IF(A105="","",SUMIFS(Movimientos!$D$2:$D$3001,Movimientos!$B$2:$B$3001,A105,Movimientos!$C$2:$C$3001,"Venta"))</f>
        <v/>
      </c>
      <c r="J105" s="33">
        <f>IF(A105="","",F105+H105-I105)</f>
        <v/>
      </c>
      <c r="K105" s="33">
        <f>IF(A105="","",IF(J105&lt;=G105,"REPONER","OK"))</f>
        <v/>
      </c>
    </row>
    <row r="106" ht="15" customHeight="1" s="21">
      <c r="A106" s="30" t="n"/>
      <c r="B106" s="30" t="n"/>
      <c r="C106" s="31" t="n"/>
      <c r="D106" s="31" t="n"/>
      <c r="E106" s="32">
        <f>IF(A106="","",D106-C106)</f>
        <v/>
      </c>
      <c r="F106" s="30" t="n"/>
      <c r="G106" s="30" t="n"/>
      <c r="H106" s="33">
        <f>IF(A106="","",SUMIFS(Movimientos!$D$2:$D$3001,Movimientos!$B$2:$B$3001,A106,Movimientos!$C$2:$C$3001,"Entrada"))</f>
        <v/>
      </c>
      <c r="I106" s="33">
        <f>IF(A106="","",SUMIFS(Movimientos!$D$2:$D$3001,Movimientos!$B$2:$B$3001,A106,Movimientos!$C$2:$C$3001,"Venta"))</f>
        <v/>
      </c>
      <c r="J106" s="33">
        <f>IF(A106="","",F106+H106-I106)</f>
        <v/>
      </c>
      <c r="K106" s="33">
        <f>IF(A106="","",IF(J106&lt;=G106,"REPONER","OK"))</f>
        <v/>
      </c>
    </row>
    <row r="107" ht="15" customHeight="1" s="21">
      <c r="A107" s="30" t="n"/>
      <c r="B107" s="30" t="n"/>
      <c r="C107" s="31" t="n"/>
      <c r="D107" s="31" t="n"/>
      <c r="E107" s="32">
        <f>IF(A107="","",D107-C107)</f>
        <v/>
      </c>
      <c r="F107" s="30" t="n"/>
      <c r="G107" s="30" t="n"/>
      <c r="H107" s="33">
        <f>IF(A107="","",SUMIFS(Movimientos!$D$2:$D$3001,Movimientos!$B$2:$B$3001,A107,Movimientos!$C$2:$C$3001,"Entrada"))</f>
        <v/>
      </c>
      <c r="I107" s="33">
        <f>IF(A107="","",SUMIFS(Movimientos!$D$2:$D$3001,Movimientos!$B$2:$B$3001,A107,Movimientos!$C$2:$C$3001,"Venta"))</f>
        <v/>
      </c>
      <c r="J107" s="33">
        <f>IF(A107="","",F107+H107-I107)</f>
        <v/>
      </c>
      <c r="K107" s="33">
        <f>IF(A107="","",IF(J107&lt;=G107,"REPONER","OK"))</f>
        <v/>
      </c>
    </row>
    <row r="108" ht="15" customHeight="1" s="21">
      <c r="A108" s="30" t="n"/>
      <c r="B108" s="30" t="n"/>
      <c r="C108" s="31" t="n"/>
      <c r="D108" s="31" t="n"/>
      <c r="E108" s="32">
        <f>IF(A108="","",D108-C108)</f>
        <v/>
      </c>
      <c r="F108" s="30" t="n"/>
      <c r="G108" s="30" t="n"/>
      <c r="H108" s="33">
        <f>IF(A108="","",SUMIFS(Movimientos!$D$2:$D$3001,Movimientos!$B$2:$B$3001,A108,Movimientos!$C$2:$C$3001,"Entrada"))</f>
        <v/>
      </c>
      <c r="I108" s="33">
        <f>IF(A108="","",SUMIFS(Movimientos!$D$2:$D$3001,Movimientos!$B$2:$B$3001,A108,Movimientos!$C$2:$C$3001,"Venta"))</f>
        <v/>
      </c>
      <c r="J108" s="33">
        <f>IF(A108="","",F108+H108-I108)</f>
        <v/>
      </c>
      <c r="K108" s="33">
        <f>IF(A108="","",IF(J108&lt;=G108,"REPONER","OK"))</f>
        <v/>
      </c>
    </row>
    <row r="109" ht="15" customHeight="1" s="21">
      <c r="A109" s="30" t="n"/>
      <c r="B109" s="30" t="n"/>
      <c r="C109" s="31" t="n"/>
      <c r="D109" s="31" t="n"/>
      <c r="E109" s="32">
        <f>IF(A109="","",D109-C109)</f>
        <v/>
      </c>
      <c r="F109" s="30" t="n"/>
      <c r="G109" s="30" t="n"/>
      <c r="H109" s="33">
        <f>IF(A109="","",SUMIFS(Movimientos!$D$2:$D$3001,Movimientos!$B$2:$B$3001,A109,Movimientos!$C$2:$C$3001,"Entrada"))</f>
        <v/>
      </c>
      <c r="I109" s="33">
        <f>IF(A109="","",SUMIFS(Movimientos!$D$2:$D$3001,Movimientos!$B$2:$B$3001,A109,Movimientos!$C$2:$C$3001,"Venta"))</f>
        <v/>
      </c>
      <c r="J109" s="33">
        <f>IF(A109="","",F109+H109-I109)</f>
        <v/>
      </c>
      <c r="K109" s="33">
        <f>IF(A109="","",IF(J109&lt;=G109,"REPONER","OK"))</f>
        <v/>
      </c>
    </row>
    <row r="110" ht="15" customHeight="1" s="21">
      <c r="A110" s="30" t="n"/>
      <c r="B110" s="30" t="n"/>
      <c r="C110" s="31" t="n"/>
      <c r="D110" s="31" t="n"/>
      <c r="E110" s="32">
        <f>IF(A110="","",D110-C110)</f>
        <v/>
      </c>
      <c r="F110" s="30" t="n"/>
      <c r="G110" s="30" t="n"/>
      <c r="H110" s="33">
        <f>IF(A110="","",SUMIFS(Movimientos!$D$2:$D$3001,Movimientos!$B$2:$B$3001,A110,Movimientos!$C$2:$C$3001,"Entrada"))</f>
        <v/>
      </c>
      <c r="I110" s="33">
        <f>IF(A110="","",SUMIFS(Movimientos!$D$2:$D$3001,Movimientos!$B$2:$B$3001,A110,Movimientos!$C$2:$C$3001,"Venta"))</f>
        <v/>
      </c>
      <c r="J110" s="33">
        <f>IF(A110="","",F110+H110-I110)</f>
        <v/>
      </c>
      <c r="K110" s="33">
        <f>IF(A110="","",IF(J110&lt;=G110,"REPONER","OK"))</f>
        <v/>
      </c>
    </row>
    <row r="111" ht="15" customHeight="1" s="21">
      <c r="A111" s="30" t="n"/>
      <c r="B111" s="30" t="n"/>
      <c r="C111" s="31" t="n"/>
      <c r="D111" s="31" t="n"/>
      <c r="E111" s="32">
        <f>IF(A111="","",D111-C111)</f>
        <v/>
      </c>
      <c r="F111" s="30" t="n"/>
      <c r="G111" s="30" t="n"/>
      <c r="H111" s="33">
        <f>IF(A111="","",SUMIFS(Movimientos!$D$2:$D$3001,Movimientos!$B$2:$B$3001,A111,Movimientos!$C$2:$C$3001,"Entrada"))</f>
        <v/>
      </c>
      <c r="I111" s="33">
        <f>IF(A111="","",SUMIFS(Movimientos!$D$2:$D$3001,Movimientos!$B$2:$B$3001,A111,Movimientos!$C$2:$C$3001,"Venta"))</f>
        <v/>
      </c>
      <c r="J111" s="33">
        <f>IF(A111="","",F111+H111-I111)</f>
        <v/>
      </c>
      <c r="K111" s="33">
        <f>IF(A111="","",IF(J111&lt;=G111,"REPONER","OK"))</f>
        <v/>
      </c>
    </row>
    <row r="112" ht="15" customHeight="1" s="21">
      <c r="A112" s="30" t="n"/>
      <c r="B112" s="30" t="n"/>
      <c r="C112" s="31" t="n"/>
      <c r="D112" s="31" t="n"/>
      <c r="E112" s="32">
        <f>IF(A112="","",D112-C112)</f>
        <v/>
      </c>
      <c r="F112" s="30" t="n"/>
      <c r="G112" s="30" t="n"/>
      <c r="H112" s="33">
        <f>IF(A112="","",SUMIFS(Movimientos!$D$2:$D$3001,Movimientos!$B$2:$B$3001,A112,Movimientos!$C$2:$C$3001,"Entrada"))</f>
        <v/>
      </c>
      <c r="I112" s="33">
        <f>IF(A112="","",SUMIFS(Movimientos!$D$2:$D$3001,Movimientos!$B$2:$B$3001,A112,Movimientos!$C$2:$C$3001,"Venta"))</f>
        <v/>
      </c>
      <c r="J112" s="33">
        <f>IF(A112="","",F112+H112-I112)</f>
        <v/>
      </c>
      <c r="K112" s="33">
        <f>IF(A112="","",IF(J112&lt;=G112,"REPONER","OK"))</f>
        <v/>
      </c>
    </row>
    <row r="113" ht="15" customHeight="1" s="21">
      <c r="A113" s="30" t="n"/>
      <c r="B113" s="30" t="n"/>
      <c r="C113" s="31" t="n"/>
      <c r="D113" s="31" t="n"/>
      <c r="E113" s="32">
        <f>IF(A113="","",D113-C113)</f>
        <v/>
      </c>
      <c r="F113" s="30" t="n"/>
      <c r="G113" s="30" t="n"/>
      <c r="H113" s="33">
        <f>IF(A113="","",SUMIFS(Movimientos!$D$2:$D$3001,Movimientos!$B$2:$B$3001,A113,Movimientos!$C$2:$C$3001,"Entrada"))</f>
        <v/>
      </c>
      <c r="I113" s="33">
        <f>IF(A113="","",SUMIFS(Movimientos!$D$2:$D$3001,Movimientos!$B$2:$B$3001,A113,Movimientos!$C$2:$C$3001,"Venta"))</f>
        <v/>
      </c>
      <c r="J113" s="33">
        <f>IF(A113="","",F113+H113-I113)</f>
        <v/>
      </c>
      <c r="K113" s="33">
        <f>IF(A113="","",IF(J113&lt;=G113,"REPONER","OK"))</f>
        <v/>
      </c>
    </row>
    <row r="114" ht="15" customHeight="1" s="21">
      <c r="A114" s="30" t="n"/>
      <c r="B114" s="30" t="n"/>
      <c r="C114" s="31" t="n"/>
      <c r="D114" s="31" t="n"/>
      <c r="E114" s="32">
        <f>IF(A114="","",D114-C114)</f>
        <v/>
      </c>
      <c r="F114" s="30" t="n"/>
      <c r="G114" s="30" t="n"/>
      <c r="H114" s="33">
        <f>IF(A114="","",SUMIFS(Movimientos!$D$2:$D$3001,Movimientos!$B$2:$B$3001,A114,Movimientos!$C$2:$C$3001,"Entrada"))</f>
        <v/>
      </c>
      <c r="I114" s="33">
        <f>IF(A114="","",SUMIFS(Movimientos!$D$2:$D$3001,Movimientos!$B$2:$B$3001,A114,Movimientos!$C$2:$C$3001,"Venta"))</f>
        <v/>
      </c>
      <c r="J114" s="33">
        <f>IF(A114="","",F114+H114-I114)</f>
        <v/>
      </c>
      <c r="K114" s="33">
        <f>IF(A114="","",IF(J114&lt;=G114,"REPONER","OK"))</f>
        <v/>
      </c>
    </row>
    <row r="115" ht="15" customHeight="1" s="21">
      <c r="A115" s="30" t="n"/>
      <c r="B115" s="30" t="n"/>
      <c r="C115" s="31" t="n"/>
      <c r="D115" s="31" t="n"/>
      <c r="E115" s="32">
        <f>IF(A115="","",D115-C115)</f>
        <v/>
      </c>
      <c r="F115" s="30" t="n"/>
      <c r="G115" s="30" t="n"/>
      <c r="H115" s="33">
        <f>IF(A115="","",SUMIFS(Movimientos!$D$2:$D$3001,Movimientos!$B$2:$B$3001,A115,Movimientos!$C$2:$C$3001,"Entrada"))</f>
        <v/>
      </c>
      <c r="I115" s="33">
        <f>IF(A115="","",SUMIFS(Movimientos!$D$2:$D$3001,Movimientos!$B$2:$B$3001,A115,Movimientos!$C$2:$C$3001,"Venta"))</f>
        <v/>
      </c>
      <c r="J115" s="33">
        <f>IF(A115="","",F115+H115-I115)</f>
        <v/>
      </c>
      <c r="K115" s="33">
        <f>IF(A115="","",IF(J115&lt;=G115,"REPONER","OK"))</f>
        <v/>
      </c>
    </row>
    <row r="116" ht="15" customHeight="1" s="21">
      <c r="A116" s="30" t="n"/>
      <c r="B116" s="30" t="n"/>
      <c r="C116" s="31" t="n"/>
      <c r="D116" s="31" t="n"/>
      <c r="E116" s="32">
        <f>IF(A116="","",D116-C116)</f>
        <v/>
      </c>
      <c r="F116" s="30" t="n"/>
      <c r="G116" s="30" t="n"/>
      <c r="H116" s="33">
        <f>IF(A116="","",SUMIFS(Movimientos!$D$2:$D$3001,Movimientos!$B$2:$B$3001,A116,Movimientos!$C$2:$C$3001,"Entrada"))</f>
        <v/>
      </c>
      <c r="I116" s="33">
        <f>IF(A116="","",SUMIFS(Movimientos!$D$2:$D$3001,Movimientos!$B$2:$B$3001,A116,Movimientos!$C$2:$C$3001,"Venta"))</f>
        <v/>
      </c>
      <c r="J116" s="33">
        <f>IF(A116="","",F116+H116-I116)</f>
        <v/>
      </c>
      <c r="K116" s="33">
        <f>IF(A116="","",IF(J116&lt;=G116,"REPONER","OK"))</f>
        <v/>
      </c>
    </row>
    <row r="117" ht="15" customHeight="1" s="21">
      <c r="A117" s="30" t="n"/>
      <c r="B117" s="30" t="n"/>
      <c r="C117" s="31" t="n"/>
      <c r="D117" s="31" t="n"/>
      <c r="E117" s="32">
        <f>IF(A117="","",D117-C117)</f>
        <v/>
      </c>
      <c r="F117" s="30" t="n"/>
      <c r="G117" s="30" t="n"/>
      <c r="H117" s="33">
        <f>IF(A117="","",SUMIFS(Movimientos!$D$2:$D$3001,Movimientos!$B$2:$B$3001,A117,Movimientos!$C$2:$C$3001,"Entrada"))</f>
        <v/>
      </c>
      <c r="I117" s="33">
        <f>IF(A117="","",SUMIFS(Movimientos!$D$2:$D$3001,Movimientos!$B$2:$B$3001,A117,Movimientos!$C$2:$C$3001,"Venta"))</f>
        <v/>
      </c>
      <c r="J117" s="33">
        <f>IF(A117="","",F117+H117-I117)</f>
        <v/>
      </c>
      <c r="K117" s="33">
        <f>IF(A117="","",IF(J117&lt;=G117,"REPONER","OK"))</f>
        <v/>
      </c>
    </row>
    <row r="118" ht="15" customHeight="1" s="21">
      <c r="A118" s="30" t="n"/>
      <c r="B118" s="30" t="n"/>
      <c r="C118" s="31" t="n"/>
      <c r="D118" s="31" t="n"/>
      <c r="E118" s="32">
        <f>IF(A118="","",D118-C118)</f>
        <v/>
      </c>
      <c r="F118" s="30" t="n"/>
      <c r="G118" s="30" t="n"/>
      <c r="H118" s="33">
        <f>IF(A118="","",SUMIFS(Movimientos!$D$2:$D$3001,Movimientos!$B$2:$B$3001,A118,Movimientos!$C$2:$C$3001,"Entrada"))</f>
        <v/>
      </c>
      <c r="I118" s="33">
        <f>IF(A118="","",SUMIFS(Movimientos!$D$2:$D$3001,Movimientos!$B$2:$B$3001,A118,Movimientos!$C$2:$C$3001,"Venta"))</f>
        <v/>
      </c>
      <c r="J118" s="33">
        <f>IF(A118="","",F118+H118-I118)</f>
        <v/>
      </c>
      <c r="K118" s="33">
        <f>IF(A118="","",IF(J118&lt;=G118,"REPONER","OK"))</f>
        <v/>
      </c>
    </row>
    <row r="119" ht="15" customHeight="1" s="21">
      <c r="A119" s="30" t="n"/>
      <c r="B119" s="30" t="n"/>
      <c r="C119" s="31" t="n"/>
      <c r="D119" s="31" t="n"/>
      <c r="E119" s="32">
        <f>IF(A119="","",D119-C119)</f>
        <v/>
      </c>
      <c r="F119" s="30" t="n"/>
      <c r="G119" s="30" t="n"/>
      <c r="H119" s="33">
        <f>IF(A119="","",SUMIFS(Movimientos!$D$2:$D$3001,Movimientos!$B$2:$B$3001,A119,Movimientos!$C$2:$C$3001,"Entrada"))</f>
        <v/>
      </c>
      <c r="I119" s="33">
        <f>IF(A119="","",SUMIFS(Movimientos!$D$2:$D$3001,Movimientos!$B$2:$B$3001,A119,Movimientos!$C$2:$C$3001,"Venta"))</f>
        <v/>
      </c>
      <c r="J119" s="33">
        <f>IF(A119="","",F119+H119-I119)</f>
        <v/>
      </c>
      <c r="K119" s="33">
        <f>IF(A119="","",IF(J119&lt;=G119,"REPONER","OK"))</f>
        <v/>
      </c>
    </row>
    <row r="120" ht="15" customHeight="1" s="21">
      <c r="A120" s="30" t="n"/>
      <c r="B120" s="30" t="n"/>
      <c r="C120" s="31" t="n"/>
      <c r="D120" s="31" t="n"/>
      <c r="E120" s="32">
        <f>IF(A120="","",D120-C120)</f>
        <v/>
      </c>
      <c r="F120" s="30" t="n"/>
      <c r="G120" s="30" t="n"/>
      <c r="H120" s="33">
        <f>IF(A120="","",SUMIFS(Movimientos!$D$2:$D$3001,Movimientos!$B$2:$B$3001,A120,Movimientos!$C$2:$C$3001,"Entrada"))</f>
        <v/>
      </c>
      <c r="I120" s="33">
        <f>IF(A120="","",SUMIFS(Movimientos!$D$2:$D$3001,Movimientos!$B$2:$B$3001,A120,Movimientos!$C$2:$C$3001,"Venta"))</f>
        <v/>
      </c>
      <c r="J120" s="33">
        <f>IF(A120="","",F120+H120-I120)</f>
        <v/>
      </c>
      <c r="K120" s="33">
        <f>IF(A120="","",IF(J120&lt;=G120,"REPONER","OK"))</f>
        <v/>
      </c>
    </row>
    <row r="121" ht="15" customHeight="1" s="21">
      <c r="A121" s="30" t="n"/>
      <c r="B121" s="30" t="n"/>
      <c r="C121" s="31" t="n"/>
      <c r="D121" s="31" t="n"/>
      <c r="E121" s="32">
        <f>IF(A121="","",D121-C121)</f>
        <v/>
      </c>
      <c r="F121" s="30" t="n"/>
      <c r="G121" s="30" t="n"/>
      <c r="H121" s="33">
        <f>IF(A121="","",SUMIFS(Movimientos!$D$2:$D$3001,Movimientos!$B$2:$B$3001,A121,Movimientos!$C$2:$C$3001,"Entrada"))</f>
        <v/>
      </c>
      <c r="I121" s="33">
        <f>IF(A121="","",SUMIFS(Movimientos!$D$2:$D$3001,Movimientos!$B$2:$B$3001,A121,Movimientos!$C$2:$C$3001,"Venta"))</f>
        <v/>
      </c>
      <c r="J121" s="33">
        <f>IF(A121="","",F121+H121-I121)</f>
        <v/>
      </c>
      <c r="K121" s="33">
        <f>IF(A121="","",IF(J121&lt;=G121,"REPONER","OK"))</f>
        <v/>
      </c>
    </row>
    <row r="122" ht="15" customHeight="1" s="21">
      <c r="A122" s="30" t="n"/>
      <c r="B122" s="30" t="n"/>
      <c r="C122" s="31" t="n"/>
      <c r="D122" s="31" t="n"/>
      <c r="E122" s="32">
        <f>IF(A122="","",D122-C122)</f>
        <v/>
      </c>
      <c r="F122" s="30" t="n"/>
      <c r="G122" s="30" t="n"/>
      <c r="H122" s="33">
        <f>IF(A122="","",SUMIFS(Movimientos!$D$2:$D$3001,Movimientos!$B$2:$B$3001,A122,Movimientos!$C$2:$C$3001,"Entrada"))</f>
        <v/>
      </c>
      <c r="I122" s="33">
        <f>IF(A122="","",SUMIFS(Movimientos!$D$2:$D$3001,Movimientos!$B$2:$B$3001,A122,Movimientos!$C$2:$C$3001,"Venta"))</f>
        <v/>
      </c>
      <c r="J122" s="33">
        <f>IF(A122="","",F122+H122-I122)</f>
        <v/>
      </c>
      <c r="K122" s="33">
        <f>IF(A122="","",IF(J122&lt;=G122,"REPONER","OK"))</f>
        <v/>
      </c>
    </row>
    <row r="123" ht="15" customHeight="1" s="21">
      <c r="A123" s="30" t="n"/>
      <c r="B123" s="30" t="n"/>
      <c r="C123" s="31" t="n"/>
      <c r="D123" s="31" t="n"/>
      <c r="E123" s="32">
        <f>IF(A123="","",D123-C123)</f>
        <v/>
      </c>
      <c r="F123" s="30" t="n"/>
      <c r="G123" s="30" t="n"/>
      <c r="H123" s="33">
        <f>IF(A123="","",SUMIFS(Movimientos!$D$2:$D$3001,Movimientos!$B$2:$B$3001,A123,Movimientos!$C$2:$C$3001,"Entrada"))</f>
        <v/>
      </c>
      <c r="I123" s="33">
        <f>IF(A123="","",SUMIFS(Movimientos!$D$2:$D$3001,Movimientos!$B$2:$B$3001,A123,Movimientos!$C$2:$C$3001,"Venta"))</f>
        <v/>
      </c>
      <c r="J123" s="33">
        <f>IF(A123="","",F123+H123-I123)</f>
        <v/>
      </c>
      <c r="K123" s="33">
        <f>IF(A123="","",IF(J123&lt;=G123,"REPONER","OK"))</f>
        <v/>
      </c>
    </row>
    <row r="124" ht="15" customHeight="1" s="21">
      <c r="A124" s="30" t="n"/>
      <c r="B124" s="30" t="n"/>
      <c r="C124" s="31" t="n"/>
      <c r="D124" s="31" t="n"/>
      <c r="E124" s="32">
        <f>IF(A124="","",D124-C124)</f>
        <v/>
      </c>
      <c r="F124" s="30" t="n"/>
      <c r="G124" s="30" t="n"/>
      <c r="H124" s="33">
        <f>IF(A124="","",SUMIFS(Movimientos!$D$2:$D$3001,Movimientos!$B$2:$B$3001,A124,Movimientos!$C$2:$C$3001,"Entrada"))</f>
        <v/>
      </c>
      <c r="I124" s="33">
        <f>IF(A124="","",SUMIFS(Movimientos!$D$2:$D$3001,Movimientos!$B$2:$B$3001,A124,Movimientos!$C$2:$C$3001,"Venta"))</f>
        <v/>
      </c>
      <c r="J124" s="33">
        <f>IF(A124="","",F124+H124-I124)</f>
        <v/>
      </c>
      <c r="K124" s="33">
        <f>IF(A124="","",IF(J124&lt;=G124,"REPONER","OK"))</f>
        <v/>
      </c>
    </row>
    <row r="125" ht="15" customHeight="1" s="21">
      <c r="A125" s="30" t="n"/>
      <c r="B125" s="30" t="n"/>
      <c r="C125" s="31" t="n"/>
      <c r="D125" s="31" t="n"/>
      <c r="E125" s="32">
        <f>IF(A125="","",D125-C125)</f>
        <v/>
      </c>
      <c r="F125" s="30" t="n"/>
      <c r="G125" s="30" t="n"/>
      <c r="H125" s="33">
        <f>IF(A125="","",SUMIFS(Movimientos!$D$2:$D$3001,Movimientos!$B$2:$B$3001,A125,Movimientos!$C$2:$C$3001,"Entrada"))</f>
        <v/>
      </c>
      <c r="I125" s="33">
        <f>IF(A125="","",SUMIFS(Movimientos!$D$2:$D$3001,Movimientos!$B$2:$B$3001,A125,Movimientos!$C$2:$C$3001,"Venta"))</f>
        <v/>
      </c>
      <c r="J125" s="33">
        <f>IF(A125="","",F125+H125-I125)</f>
        <v/>
      </c>
      <c r="K125" s="33">
        <f>IF(A125="","",IF(J125&lt;=G125,"REPONER","OK"))</f>
        <v/>
      </c>
    </row>
    <row r="126" ht="15" customHeight="1" s="21">
      <c r="A126" s="30" t="n"/>
      <c r="B126" s="30" t="n"/>
      <c r="C126" s="31" t="n"/>
      <c r="D126" s="31" t="n"/>
      <c r="E126" s="32">
        <f>IF(A126="","",D126-C126)</f>
        <v/>
      </c>
      <c r="F126" s="30" t="n"/>
      <c r="G126" s="30" t="n"/>
      <c r="H126" s="33">
        <f>IF(A126="","",SUMIFS(Movimientos!$D$2:$D$3001,Movimientos!$B$2:$B$3001,A126,Movimientos!$C$2:$C$3001,"Entrada"))</f>
        <v/>
      </c>
      <c r="I126" s="33">
        <f>IF(A126="","",SUMIFS(Movimientos!$D$2:$D$3001,Movimientos!$B$2:$B$3001,A126,Movimientos!$C$2:$C$3001,"Venta"))</f>
        <v/>
      </c>
      <c r="J126" s="33">
        <f>IF(A126="","",F126+H126-I126)</f>
        <v/>
      </c>
      <c r="K126" s="33">
        <f>IF(A126="","",IF(J126&lt;=G126,"REPONER","OK"))</f>
        <v/>
      </c>
    </row>
    <row r="127" ht="15" customHeight="1" s="21">
      <c r="A127" s="30" t="n"/>
      <c r="B127" s="30" t="n"/>
      <c r="C127" s="31" t="n"/>
      <c r="D127" s="31" t="n"/>
      <c r="E127" s="32">
        <f>IF(A127="","",D127-C127)</f>
        <v/>
      </c>
      <c r="F127" s="30" t="n"/>
      <c r="G127" s="30" t="n"/>
      <c r="H127" s="33">
        <f>IF(A127="","",SUMIFS(Movimientos!$D$2:$D$3001,Movimientos!$B$2:$B$3001,A127,Movimientos!$C$2:$C$3001,"Entrada"))</f>
        <v/>
      </c>
      <c r="I127" s="33">
        <f>IF(A127="","",SUMIFS(Movimientos!$D$2:$D$3001,Movimientos!$B$2:$B$3001,A127,Movimientos!$C$2:$C$3001,"Venta"))</f>
        <v/>
      </c>
      <c r="J127" s="33">
        <f>IF(A127="","",F127+H127-I127)</f>
        <v/>
      </c>
      <c r="K127" s="33">
        <f>IF(A127="","",IF(J127&lt;=G127,"REPONER","OK"))</f>
        <v/>
      </c>
    </row>
    <row r="128" ht="15" customHeight="1" s="21">
      <c r="A128" s="30" t="n"/>
      <c r="B128" s="30" t="n"/>
      <c r="C128" s="31" t="n"/>
      <c r="D128" s="31" t="n"/>
      <c r="E128" s="32">
        <f>IF(A128="","",D128-C128)</f>
        <v/>
      </c>
      <c r="F128" s="30" t="n"/>
      <c r="G128" s="30" t="n"/>
      <c r="H128" s="33">
        <f>IF(A128="","",SUMIFS(Movimientos!$D$2:$D$3001,Movimientos!$B$2:$B$3001,A128,Movimientos!$C$2:$C$3001,"Entrada"))</f>
        <v/>
      </c>
      <c r="I128" s="33">
        <f>IF(A128="","",SUMIFS(Movimientos!$D$2:$D$3001,Movimientos!$B$2:$B$3001,A128,Movimientos!$C$2:$C$3001,"Venta"))</f>
        <v/>
      </c>
      <c r="J128" s="33">
        <f>IF(A128="","",F128+H128-I128)</f>
        <v/>
      </c>
      <c r="K128" s="33">
        <f>IF(A128="","",IF(J128&lt;=G128,"REPONER","OK"))</f>
        <v/>
      </c>
    </row>
    <row r="129" ht="15" customHeight="1" s="21">
      <c r="A129" s="30" t="n"/>
      <c r="B129" s="30" t="n"/>
      <c r="C129" s="31" t="n"/>
      <c r="D129" s="31" t="n"/>
      <c r="E129" s="32">
        <f>IF(A129="","",D129-C129)</f>
        <v/>
      </c>
      <c r="F129" s="30" t="n"/>
      <c r="G129" s="30" t="n"/>
      <c r="H129" s="33">
        <f>IF(A129="","",SUMIFS(Movimientos!$D$2:$D$3001,Movimientos!$B$2:$B$3001,A129,Movimientos!$C$2:$C$3001,"Entrada"))</f>
        <v/>
      </c>
      <c r="I129" s="33">
        <f>IF(A129="","",SUMIFS(Movimientos!$D$2:$D$3001,Movimientos!$B$2:$B$3001,A129,Movimientos!$C$2:$C$3001,"Venta"))</f>
        <v/>
      </c>
      <c r="J129" s="33">
        <f>IF(A129="","",F129+H129-I129)</f>
        <v/>
      </c>
      <c r="K129" s="33">
        <f>IF(A129="","",IF(J129&lt;=G129,"REPONER","OK"))</f>
        <v/>
      </c>
    </row>
    <row r="130" ht="15" customHeight="1" s="21">
      <c r="A130" s="30" t="n"/>
      <c r="B130" s="30" t="n"/>
      <c r="C130" s="31" t="n"/>
      <c r="D130" s="31" t="n"/>
      <c r="E130" s="32">
        <f>IF(A130="","",D130-C130)</f>
        <v/>
      </c>
      <c r="F130" s="30" t="n"/>
      <c r="G130" s="30" t="n"/>
      <c r="H130" s="33">
        <f>IF(A130="","",SUMIFS(Movimientos!$D$2:$D$3001,Movimientos!$B$2:$B$3001,A130,Movimientos!$C$2:$C$3001,"Entrada"))</f>
        <v/>
      </c>
      <c r="I130" s="33">
        <f>IF(A130="","",SUMIFS(Movimientos!$D$2:$D$3001,Movimientos!$B$2:$B$3001,A130,Movimientos!$C$2:$C$3001,"Venta"))</f>
        <v/>
      </c>
      <c r="J130" s="33">
        <f>IF(A130="","",F130+H130-I130)</f>
        <v/>
      </c>
      <c r="K130" s="33">
        <f>IF(A130="","",IF(J130&lt;=G130,"REPONER","OK"))</f>
        <v/>
      </c>
    </row>
    <row r="131" ht="15" customHeight="1" s="21">
      <c r="A131" s="30" t="n"/>
      <c r="B131" s="30" t="n"/>
      <c r="C131" s="31" t="n"/>
      <c r="D131" s="31" t="n"/>
      <c r="E131" s="32">
        <f>IF(A131="","",D131-C131)</f>
        <v/>
      </c>
      <c r="F131" s="30" t="n"/>
      <c r="G131" s="30" t="n"/>
      <c r="H131" s="33">
        <f>IF(A131="","",SUMIFS(Movimientos!$D$2:$D$3001,Movimientos!$B$2:$B$3001,A131,Movimientos!$C$2:$C$3001,"Entrada"))</f>
        <v/>
      </c>
      <c r="I131" s="33">
        <f>IF(A131="","",SUMIFS(Movimientos!$D$2:$D$3001,Movimientos!$B$2:$B$3001,A131,Movimientos!$C$2:$C$3001,"Venta"))</f>
        <v/>
      </c>
      <c r="J131" s="33">
        <f>IF(A131="","",F131+H131-I131)</f>
        <v/>
      </c>
      <c r="K131" s="33">
        <f>IF(A131="","",IF(J131&lt;=G131,"REPONER","OK"))</f>
        <v/>
      </c>
    </row>
    <row r="132" ht="15" customHeight="1" s="21">
      <c r="A132" s="30" t="n"/>
      <c r="B132" s="30" t="n"/>
      <c r="C132" s="31" t="n"/>
      <c r="D132" s="31" t="n"/>
      <c r="E132" s="32">
        <f>IF(A132="","",D132-C132)</f>
        <v/>
      </c>
      <c r="F132" s="30" t="n"/>
      <c r="G132" s="30" t="n"/>
      <c r="H132" s="33">
        <f>IF(A132="","",SUMIFS(Movimientos!$D$2:$D$3001,Movimientos!$B$2:$B$3001,A132,Movimientos!$C$2:$C$3001,"Entrada"))</f>
        <v/>
      </c>
      <c r="I132" s="33">
        <f>IF(A132="","",SUMIFS(Movimientos!$D$2:$D$3001,Movimientos!$B$2:$B$3001,A132,Movimientos!$C$2:$C$3001,"Venta"))</f>
        <v/>
      </c>
      <c r="J132" s="33">
        <f>IF(A132="","",F132+H132-I132)</f>
        <v/>
      </c>
      <c r="K132" s="33">
        <f>IF(A132="","",IF(J132&lt;=G132,"REPONER","OK"))</f>
        <v/>
      </c>
    </row>
    <row r="133" ht="15" customHeight="1" s="21">
      <c r="A133" s="30" t="n"/>
      <c r="B133" s="30" t="n"/>
      <c r="C133" s="31" t="n"/>
      <c r="D133" s="31" t="n"/>
      <c r="E133" s="32">
        <f>IF(A133="","",D133-C133)</f>
        <v/>
      </c>
      <c r="F133" s="30" t="n"/>
      <c r="G133" s="30" t="n"/>
      <c r="H133" s="33">
        <f>IF(A133="","",SUMIFS(Movimientos!$D$2:$D$3001,Movimientos!$B$2:$B$3001,A133,Movimientos!$C$2:$C$3001,"Entrada"))</f>
        <v/>
      </c>
      <c r="I133" s="33">
        <f>IF(A133="","",SUMIFS(Movimientos!$D$2:$D$3001,Movimientos!$B$2:$B$3001,A133,Movimientos!$C$2:$C$3001,"Venta"))</f>
        <v/>
      </c>
      <c r="J133" s="33">
        <f>IF(A133="","",F133+H133-I133)</f>
        <v/>
      </c>
      <c r="K133" s="33">
        <f>IF(A133="","",IF(J133&lt;=G133,"REPONER","OK"))</f>
        <v/>
      </c>
    </row>
    <row r="134" ht="15" customHeight="1" s="21">
      <c r="A134" s="30" t="n"/>
      <c r="B134" s="30" t="n"/>
      <c r="C134" s="31" t="n"/>
      <c r="D134" s="31" t="n"/>
      <c r="E134" s="32">
        <f>IF(A134="","",D134-C134)</f>
        <v/>
      </c>
      <c r="F134" s="30" t="n"/>
      <c r="G134" s="30" t="n"/>
      <c r="H134" s="33">
        <f>IF(A134="","",SUMIFS(Movimientos!$D$2:$D$3001,Movimientos!$B$2:$B$3001,A134,Movimientos!$C$2:$C$3001,"Entrada"))</f>
        <v/>
      </c>
      <c r="I134" s="33">
        <f>IF(A134="","",SUMIFS(Movimientos!$D$2:$D$3001,Movimientos!$B$2:$B$3001,A134,Movimientos!$C$2:$C$3001,"Venta"))</f>
        <v/>
      </c>
      <c r="J134" s="33">
        <f>IF(A134="","",F134+H134-I134)</f>
        <v/>
      </c>
      <c r="K134" s="33">
        <f>IF(A134="","",IF(J134&lt;=G134,"REPONER","OK"))</f>
        <v/>
      </c>
    </row>
    <row r="135" ht="15" customHeight="1" s="21">
      <c r="A135" s="30" t="n"/>
      <c r="B135" s="30" t="n"/>
      <c r="C135" s="31" t="n"/>
      <c r="D135" s="31" t="n"/>
      <c r="E135" s="32">
        <f>IF(A135="","",D135-C135)</f>
        <v/>
      </c>
      <c r="F135" s="30" t="n"/>
      <c r="G135" s="30" t="n"/>
      <c r="H135" s="33">
        <f>IF(A135="","",SUMIFS(Movimientos!$D$2:$D$3001,Movimientos!$B$2:$B$3001,A135,Movimientos!$C$2:$C$3001,"Entrada"))</f>
        <v/>
      </c>
      <c r="I135" s="33">
        <f>IF(A135="","",SUMIFS(Movimientos!$D$2:$D$3001,Movimientos!$B$2:$B$3001,A135,Movimientos!$C$2:$C$3001,"Venta"))</f>
        <v/>
      </c>
      <c r="J135" s="33">
        <f>IF(A135="","",F135+H135-I135)</f>
        <v/>
      </c>
      <c r="K135" s="33">
        <f>IF(A135="","",IF(J135&lt;=G135,"REPONER","OK"))</f>
        <v/>
      </c>
    </row>
    <row r="136" ht="15" customHeight="1" s="21">
      <c r="A136" s="30" t="n"/>
      <c r="B136" s="30" t="n"/>
      <c r="C136" s="31" t="n"/>
      <c r="D136" s="31" t="n"/>
      <c r="E136" s="32">
        <f>IF(A136="","",D136-C136)</f>
        <v/>
      </c>
      <c r="F136" s="30" t="n"/>
      <c r="G136" s="30" t="n"/>
      <c r="H136" s="33">
        <f>IF(A136="","",SUMIFS(Movimientos!$D$2:$D$3001,Movimientos!$B$2:$B$3001,A136,Movimientos!$C$2:$C$3001,"Entrada"))</f>
        <v/>
      </c>
      <c r="I136" s="33">
        <f>IF(A136="","",SUMIFS(Movimientos!$D$2:$D$3001,Movimientos!$B$2:$B$3001,A136,Movimientos!$C$2:$C$3001,"Venta"))</f>
        <v/>
      </c>
      <c r="J136" s="33">
        <f>IF(A136="","",F136+H136-I136)</f>
        <v/>
      </c>
      <c r="K136" s="33">
        <f>IF(A136="","",IF(J136&lt;=G136,"REPONER","OK"))</f>
        <v/>
      </c>
    </row>
    <row r="137" ht="15" customHeight="1" s="21">
      <c r="A137" s="30" t="n"/>
      <c r="B137" s="30" t="n"/>
      <c r="C137" s="31" t="n"/>
      <c r="D137" s="31" t="n"/>
      <c r="E137" s="32">
        <f>IF(A137="","",D137-C137)</f>
        <v/>
      </c>
      <c r="F137" s="30" t="n"/>
      <c r="G137" s="30" t="n"/>
      <c r="H137" s="33">
        <f>IF(A137="","",SUMIFS(Movimientos!$D$2:$D$3001,Movimientos!$B$2:$B$3001,A137,Movimientos!$C$2:$C$3001,"Entrada"))</f>
        <v/>
      </c>
      <c r="I137" s="33">
        <f>IF(A137="","",SUMIFS(Movimientos!$D$2:$D$3001,Movimientos!$B$2:$B$3001,A137,Movimientos!$C$2:$C$3001,"Venta"))</f>
        <v/>
      </c>
      <c r="J137" s="33">
        <f>IF(A137="","",F137+H137-I137)</f>
        <v/>
      </c>
      <c r="K137" s="33">
        <f>IF(A137="","",IF(J137&lt;=G137,"REPONER","OK"))</f>
        <v/>
      </c>
    </row>
    <row r="138" ht="15" customHeight="1" s="21">
      <c r="A138" s="30" t="n"/>
      <c r="B138" s="30" t="n"/>
      <c r="C138" s="31" t="n"/>
      <c r="D138" s="31" t="n"/>
      <c r="E138" s="32">
        <f>IF(A138="","",D138-C138)</f>
        <v/>
      </c>
      <c r="F138" s="30" t="n"/>
      <c r="G138" s="30" t="n"/>
      <c r="H138" s="33">
        <f>IF(A138="","",SUMIFS(Movimientos!$D$2:$D$3001,Movimientos!$B$2:$B$3001,A138,Movimientos!$C$2:$C$3001,"Entrada"))</f>
        <v/>
      </c>
      <c r="I138" s="33">
        <f>IF(A138="","",SUMIFS(Movimientos!$D$2:$D$3001,Movimientos!$B$2:$B$3001,A138,Movimientos!$C$2:$C$3001,"Venta"))</f>
        <v/>
      </c>
      <c r="J138" s="33">
        <f>IF(A138="","",F138+H138-I138)</f>
        <v/>
      </c>
      <c r="K138" s="33">
        <f>IF(A138="","",IF(J138&lt;=G138,"REPONER","OK"))</f>
        <v/>
      </c>
    </row>
    <row r="139" ht="15" customHeight="1" s="21">
      <c r="A139" s="30" t="n"/>
      <c r="B139" s="30" t="n"/>
      <c r="C139" s="31" t="n"/>
      <c r="D139" s="31" t="n"/>
      <c r="E139" s="32">
        <f>IF(A139="","",D139-C139)</f>
        <v/>
      </c>
      <c r="F139" s="30" t="n"/>
      <c r="G139" s="30" t="n"/>
      <c r="H139" s="33">
        <f>IF(A139="","",SUMIFS(Movimientos!$D$2:$D$3001,Movimientos!$B$2:$B$3001,A139,Movimientos!$C$2:$C$3001,"Entrada"))</f>
        <v/>
      </c>
      <c r="I139" s="33">
        <f>IF(A139="","",SUMIFS(Movimientos!$D$2:$D$3001,Movimientos!$B$2:$B$3001,A139,Movimientos!$C$2:$C$3001,"Venta"))</f>
        <v/>
      </c>
      <c r="J139" s="33">
        <f>IF(A139="","",F139+H139-I139)</f>
        <v/>
      </c>
      <c r="K139" s="33">
        <f>IF(A139="","",IF(J139&lt;=G139,"REPONER","OK"))</f>
        <v/>
      </c>
    </row>
    <row r="140" ht="15" customHeight="1" s="21">
      <c r="A140" s="30" t="n"/>
      <c r="B140" s="30" t="n"/>
      <c r="C140" s="31" t="n"/>
      <c r="D140" s="31" t="n"/>
      <c r="E140" s="32">
        <f>IF(A140="","",D140-C140)</f>
        <v/>
      </c>
      <c r="F140" s="30" t="n"/>
      <c r="G140" s="30" t="n"/>
      <c r="H140" s="33">
        <f>IF(A140="","",SUMIFS(Movimientos!$D$2:$D$3001,Movimientos!$B$2:$B$3001,A140,Movimientos!$C$2:$C$3001,"Entrada"))</f>
        <v/>
      </c>
      <c r="I140" s="33">
        <f>IF(A140="","",SUMIFS(Movimientos!$D$2:$D$3001,Movimientos!$B$2:$B$3001,A140,Movimientos!$C$2:$C$3001,"Venta"))</f>
        <v/>
      </c>
      <c r="J140" s="33">
        <f>IF(A140="","",F140+H140-I140)</f>
        <v/>
      </c>
      <c r="K140" s="33">
        <f>IF(A140="","",IF(J140&lt;=G140,"REPONER","OK"))</f>
        <v/>
      </c>
    </row>
    <row r="141" ht="15" customHeight="1" s="21">
      <c r="A141" s="30" t="n"/>
      <c r="B141" s="30" t="n"/>
      <c r="C141" s="31" t="n"/>
      <c r="D141" s="31" t="n"/>
      <c r="E141" s="32">
        <f>IF(A141="","",D141-C141)</f>
        <v/>
      </c>
      <c r="F141" s="30" t="n"/>
      <c r="G141" s="30" t="n"/>
      <c r="H141" s="33">
        <f>IF(A141="","",SUMIFS(Movimientos!$D$2:$D$3001,Movimientos!$B$2:$B$3001,A141,Movimientos!$C$2:$C$3001,"Entrada"))</f>
        <v/>
      </c>
      <c r="I141" s="33">
        <f>IF(A141="","",SUMIFS(Movimientos!$D$2:$D$3001,Movimientos!$B$2:$B$3001,A141,Movimientos!$C$2:$C$3001,"Venta"))</f>
        <v/>
      </c>
      <c r="J141" s="33">
        <f>IF(A141="","",F141+H141-I141)</f>
        <v/>
      </c>
      <c r="K141" s="33">
        <f>IF(A141="","",IF(J141&lt;=G141,"REPONER","OK"))</f>
        <v/>
      </c>
    </row>
    <row r="142" ht="15" customHeight="1" s="21">
      <c r="A142" s="30" t="n"/>
      <c r="B142" s="30" t="n"/>
      <c r="C142" s="31" t="n"/>
      <c r="D142" s="31" t="n"/>
      <c r="E142" s="32">
        <f>IF(A142="","",D142-C142)</f>
        <v/>
      </c>
      <c r="F142" s="30" t="n"/>
      <c r="G142" s="30" t="n"/>
      <c r="H142" s="33">
        <f>IF(A142="","",SUMIFS(Movimientos!$D$2:$D$3001,Movimientos!$B$2:$B$3001,A142,Movimientos!$C$2:$C$3001,"Entrada"))</f>
        <v/>
      </c>
      <c r="I142" s="33">
        <f>IF(A142="","",SUMIFS(Movimientos!$D$2:$D$3001,Movimientos!$B$2:$B$3001,A142,Movimientos!$C$2:$C$3001,"Venta"))</f>
        <v/>
      </c>
      <c r="J142" s="33">
        <f>IF(A142="","",F142+H142-I142)</f>
        <v/>
      </c>
      <c r="K142" s="33">
        <f>IF(A142="","",IF(J142&lt;=G142,"REPONER","OK"))</f>
        <v/>
      </c>
    </row>
    <row r="143" ht="15" customHeight="1" s="21">
      <c r="A143" s="30" t="n"/>
      <c r="B143" s="30" t="n"/>
      <c r="C143" s="31" t="n"/>
      <c r="D143" s="31" t="n"/>
      <c r="E143" s="32">
        <f>IF(A143="","",D143-C143)</f>
        <v/>
      </c>
      <c r="F143" s="30" t="n"/>
      <c r="G143" s="30" t="n"/>
      <c r="H143" s="33">
        <f>IF(A143="","",SUMIFS(Movimientos!$D$2:$D$3001,Movimientos!$B$2:$B$3001,A143,Movimientos!$C$2:$C$3001,"Entrada"))</f>
        <v/>
      </c>
      <c r="I143" s="33">
        <f>IF(A143="","",SUMIFS(Movimientos!$D$2:$D$3001,Movimientos!$B$2:$B$3001,A143,Movimientos!$C$2:$C$3001,"Venta"))</f>
        <v/>
      </c>
      <c r="J143" s="33">
        <f>IF(A143="","",F143+H143-I143)</f>
        <v/>
      </c>
      <c r="K143" s="33">
        <f>IF(A143="","",IF(J143&lt;=G143,"REPONER","OK"))</f>
        <v/>
      </c>
    </row>
    <row r="144" ht="15" customHeight="1" s="21">
      <c r="A144" s="30" t="n"/>
      <c r="B144" s="30" t="n"/>
      <c r="C144" s="31" t="n"/>
      <c r="D144" s="31" t="n"/>
      <c r="E144" s="32">
        <f>IF(A144="","",D144-C144)</f>
        <v/>
      </c>
      <c r="F144" s="30" t="n"/>
      <c r="G144" s="30" t="n"/>
      <c r="H144" s="33">
        <f>IF(A144="","",SUMIFS(Movimientos!$D$2:$D$3001,Movimientos!$B$2:$B$3001,A144,Movimientos!$C$2:$C$3001,"Entrada"))</f>
        <v/>
      </c>
      <c r="I144" s="33">
        <f>IF(A144="","",SUMIFS(Movimientos!$D$2:$D$3001,Movimientos!$B$2:$B$3001,A144,Movimientos!$C$2:$C$3001,"Venta"))</f>
        <v/>
      </c>
      <c r="J144" s="33">
        <f>IF(A144="","",F144+H144-I144)</f>
        <v/>
      </c>
      <c r="K144" s="33">
        <f>IF(A144="","",IF(J144&lt;=G144,"REPONER","OK"))</f>
        <v/>
      </c>
    </row>
    <row r="145" ht="15" customHeight="1" s="21">
      <c r="A145" s="30" t="n"/>
      <c r="B145" s="30" t="n"/>
      <c r="C145" s="31" t="n"/>
      <c r="D145" s="31" t="n"/>
      <c r="E145" s="32">
        <f>IF(A145="","",D145-C145)</f>
        <v/>
      </c>
      <c r="F145" s="30" t="n"/>
      <c r="G145" s="30" t="n"/>
      <c r="H145" s="33">
        <f>IF(A145="","",SUMIFS(Movimientos!$D$2:$D$3001,Movimientos!$B$2:$B$3001,A145,Movimientos!$C$2:$C$3001,"Entrada"))</f>
        <v/>
      </c>
      <c r="I145" s="33">
        <f>IF(A145="","",SUMIFS(Movimientos!$D$2:$D$3001,Movimientos!$B$2:$B$3001,A145,Movimientos!$C$2:$C$3001,"Venta"))</f>
        <v/>
      </c>
      <c r="J145" s="33">
        <f>IF(A145="","",F145+H145-I145)</f>
        <v/>
      </c>
      <c r="K145" s="33">
        <f>IF(A145="","",IF(J145&lt;=G145,"REPONER","OK"))</f>
        <v/>
      </c>
    </row>
    <row r="146" ht="15" customHeight="1" s="21">
      <c r="A146" s="30" t="n"/>
      <c r="B146" s="30" t="n"/>
      <c r="C146" s="31" t="n"/>
      <c r="D146" s="31" t="n"/>
      <c r="E146" s="32">
        <f>IF(A146="","",D146-C146)</f>
        <v/>
      </c>
      <c r="F146" s="30" t="n"/>
      <c r="G146" s="30" t="n"/>
      <c r="H146" s="33">
        <f>IF(A146="","",SUMIFS(Movimientos!$D$2:$D$3001,Movimientos!$B$2:$B$3001,A146,Movimientos!$C$2:$C$3001,"Entrada"))</f>
        <v/>
      </c>
      <c r="I146" s="33">
        <f>IF(A146="","",SUMIFS(Movimientos!$D$2:$D$3001,Movimientos!$B$2:$B$3001,A146,Movimientos!$C$2:$C$3001,"Venta"))</f>
        <v/>
      </c>
      <c r="J146" s="33">
        <f>IF(A146="","",F146+H146-I146)</f>
        <v/>
      </c>
      <c r="K146" s="33">
        <f>IF(A146="","",IF(J146&lt;=G146,"REPONER","OK"))</f>
        <v/>
      </c>
    </row>
    <row r="147" ht="15" customHeight="1" s="21">
      <c r="A147" s="30" t="n"/>
      <c r="B147" s="30" t="n"/>
      <c r="C147" s="31" t="n"/>
      <c r="D147" s="31" t="n"/>
      <c r="E147" s="32">
        <f>IF(A147="","",D147-C147)</f>
        <v/>
      </c>
      <c r="F147" s="30" t="n"/>
      <c r="G147" s="30" t="n"/>
      <c r="H147" s="33">
        <f>IF(A147="","",SUMIFS(Movimientos!$D$2:$D$3001,Movimientos!$B$2:$B$3001,A147,Movimientos!$C$2:$C$3001,"Entrada"))</f>
        <v/>
      </c>
      <c r="I147" s="33">
        <f>IF(A147="","",SUMIFS(Movimientos!$D$2:$D$3001,Movimientos!$B$2:$B$3001,A147,Movimientos!$C$2:$C$3001,"Venta"))</f>
        <v/>
      </c>
      <c r="J147" s="33">
        <f>IF(A147="","",F147+H147-I147)</f>
        <v/>
      </c>
      <c r="K147" s="33">
        <f>IF(A147="","",IF(J147&lt;=G147,"REPONER","OK"))</f>
        <v/>
      </c>
    </row>
    <row r="148" ht="15" customHeight="1" s="21">
      <c r="A148" s="30" t="n"/>
      <c r="B148" s="30" t="n"/>
      <c r="C148" s="31" t="n"/>
      <c r="D148" s="31" t="n"/>
      <c r="E148" s="32">
        <f>IF(A148="","",D148-C148)</f>
        <v/>
      </c>
      <c r="F148" s="30" t="n"/>
      <c r="G148" s="30" t="n"/>
      <c r="H148" s="33">
        <f>IF(A148="","",SUMIFS(Movimientos!$D$2:$D$3001,Movimientos!$B$2:$B$3001,A148,Movimientos!$C$2:$C$3001,"Entrada"))</f>
        <v/>
      </c>
      <c r="I148" s="33">
        <f>IF(A148="","",SUMIFS(Movimientos!$D$2:$D$3001,Movimientos!$B$2:$B$3001,A148,Movimientos!$C$2:$C$3001,"Venta"))</f>
        <v/>
      </c>
      <c r="J148" s="33">
        <f>IF(A148="","",F148+H148-I148)</f>
        <v/>
      </c>
      <c r="K148" s="33">
        <f>IF(A148="","",IF(J148&lt;=G148,"REPONER","OK"))</f>
        <v/>
      </c>
    </row>
    <row r="149" ht="15" customHeight="1" s="21">
      <c r="A149" s="30" t="n"/>
      <c r="B149" s="30" t="n"/>
      <c r="C149" s="31" t="n"/>
      <c r="D149" s="31" t="n"/>
      <c r="E149" s="32">
        <f>IF(A149="","",D149-C149)</f>
        <v/>
      </c>
      <c r="F149" s="30" t="n"/>
      <c r="G149" s="30" t="n"/>
      <c r="H149" s="33">
        <f>IF(A149="","",SUMIFS(Movimientos!$D$2:$D$3001,Movimientos!$B$2:$B$3001,A149,Movimientos!$C$2:$C$3001,"Entrada"))</f>
        <v/>
      </c>
      <c r="I149" s="33">
        <f>IF(A149="","",SUMIFS(Movimientos!$D$2:$D$3001,Movimientos!$B$2:$B$3001,A149,Movimientos!$C$2:$C$3001,"Venta"))</f>
        <v/>
      </c>
      <c r="J149" s="33">
        <f>IF(A149="","",F149+H149-I149)</f>
        <v/>
      </c>
      <c r="K149" s="33">
        <f>IF(A149="","",IF(J149&lt;=G149,"REPONER","OK"))</f>
        <v/>
      </c>
    </row>
    <row r="150" ht="15" customHeight="1" s="21">
      <c r="A150" s="30" t="n"/>
      <c r="B150" s="30" t="n"/>
      <c r="C150" s="31" t="n"/>
      <c r="D150" s="31" t="n"/>
      <c r="E150" s="32">
        <f>IF(A150="","",D150-C150)</f>
        <v/>
      </c>
      <c r="F150" s="30" t="n"/>
      <c r="G150" s="30" t="n"/>
      <c r="H150" s="33">
        <f>IF(A150="","",SUMIFS(Movimientos!$D$2:$D$3001,Movimientos!$B$2:$B$3001,A150,Movimientos!$C$2:$C$3001,"Entrada"))</f>
        <v/>
      </c>
      <c r="I150" s="33">
        <f>IF(A150="","",SUMIFS(Movimientos!$D$2:$D$3001,Movimientos!$B$2:$B$3001,A150,Movimientos!$C$2:$C$3001,"Venta"))</f>
        <v/>
      </c>
      <c r="J150" s="33">
        <f>IF(A150="","",F150+H150-I150)</f>
        <v/>
      </c>
      <c r="K150" s="33">
        <f>IF(A150="","",IF(J150&lt;=G150,"REPONER","OK"))</f>
        <v/>
      </c>
    </row>
    <row r="151" ht="15" customHeight="1" s="21">
      <c r="A151" s="30" t="n"/>
      <c r="B151" s="30" t="n"/>
      <c r="C151" s="31" t="n"/>
      <c r="D151" s="31" t="n"/>
      <c r="E151" s="32">
        <f>IF(A151="","",D151-C151)</f>
        <v/>
      </c>
      <c r="F151" s="30" t="n"/>
      <c r="G151" s="30" t="n"/>
      <c r="H151" s="33">
        <f>IF(A151="","",SUMIFS(Movimientos!$D$2:$D$3001,Movimientos!$B$2:$B$3001,A151,Movimientos!$C$2:$C$3001,"Entrada"))</f>
        <v/>
      </c>
      <c r="I151" s="33">
        <f>IF(A151="","",SUMIFS(Movimientos!$D$2:$D$3001,Movimientos!$B$2:$B$3001,A151,Movimientos!$C$2:$C$3001,"Venta"))</f>
        <v/>
      </c>
      <c r="J151" s="33">
        <f>IF(A151="","",F151+H151-I151)</f>
        <v/>
      </c>
      <c r="K151" s="33">
        <f>IF(A151="","",IF(J151&lt;=G151,"REPONER","OK"))</f>
        <v/>
      </c>
    </row>
    <row r="152" ht="15" customHeight="1" s="21">
      <c r="A152" s="30" t="n"/>
      <c r="B152" s="30" t="n"/>
      <c r="C152" s="31" t="n"/>
      <c r="D152" s="31" t="n"/>
      <c r="E152" s="32">
        <f>IF(A152="","",D152-C152)</f>
        <v/>
      </c>
      <c r="F152" s="30" t="n"/>
      <c r="G152" s="30" t="n"/>
      <c r="H152" s="33">
        <f>IF(A152="","",SUMIFS(Movimientos!$D$2:$D$3001,Movimientos!$B$2:$B$3001,A152,Movimientos!$C$2:$C$3001,"Entrada"))</f>
        <v/>
      </c>
      <c r="I152" s="33">
        <f>IF(A152="","",SUMIFS(Movimientos!$D$2:$D$3001,Movimientos!$B$2:$B$3001,A152,Movimientos!$C$2:$C$3001,"Venta"))</f>
        <v/>
      </c>
      <c r="J152" s="33">
        <f>IF(A152="","",F152+H152-I152)</f>
        <v/>
      </c>
      <c r="K152" s="33">
        <f>IF(A152="","",IF(J152&lt;=G152,"REPONER","OK"))</f>
        <v/>
      </c>
    </row>
    <row r="153" ht="15" customHeight="1" s="21">
      <c r="A153" s="30" t="n"/>
      <c r="B153" s="30" t="n"/>
      <c r="C153" s="31" t="n"/>
      <c r="D153" s="31" t="n"/>
      <c r="E153" s="32">
        <f>IF(A153="","",D153-C153)</f>
        <v/>
      </c>
      <c r="F153" s="30" t="n"/>
      <c r="G153" s="30" t="n"/>
      <c r="H153" s="33">
        <f>IF(A153="","",SUMIFS(Movimientos!$D$2:$D$3001,Movimientos!$B$2:$B$3001,A153,Movimientos!$C$2:$C$3001,"Entrada"))</f>
        <v/>
      </c>
      <c r="I153" s="33">
        <f>IF(A153="","",SUMIFS(Movimientos!$D$2:$D$3001,Movimientos!$B$2:$B$3001,A153,Movimientos!$C$2:$C$3001,"Venta"))</f>
        <v/>
      </c>
      <c r="J153" s="33">
        <f>IF(A153="","",F153+H153-I153)</f>
        <v/>
      </c>
      <c r="K153" s="33">
        <f>IF(A153="","",IF(J153&lt;=G153,"REPONER","OK"))</f>
        <v/>
      </c>
    </row>
    <row r="154" ht="15" customHeight="1" s="21">
      <c r="A154" s="30" t="n"/>
      <c r="B154" s="30" t="n"/>
      <c r="C154" s="31" t="n"/>
      <c r="D154" s="31" t="n"/>
      <c r="E154" s="32">
        <f>IF(A154="","",D154-C154)</f>
        <v/>
      </c>
      <c r="F154" s="30" t="n"/>
      <c r="G154" s="30" t="n"/>
      <c r="H154" s="33">
        <f>IF(A154="","",SUMIFS(Movimientos!$D$2:$D$3001,Movimientos!$B$2:$B$3001,A154,Movimientos!$C$2:$C$3001,"Entrada"))</f>
        <v/>
      </c>
      <c r="I154" s="33">
        <f>IF(A154="","",SUMIFS(Movimientos!$D$2:$D$3001,Movimientos!$B$2:$B$3001,A154,Movimientos!$C$2:$C$3001,"Venta"))</f>
        <v/>
      </c>
      <c r="J154" s="33">
        <f>IF(A154="","",F154+H154-I154)</f>
        <v/>
      </c>
      <c r="K154" s="33">
        <f>IF(A154="","",IF(J154&lt;=G154,"REPONER","OK"))</f>
        <v/>
      </c>
    </row>
    <row r="155" ht="15" customHeight="1" s="21">
      <c r="A155" s="30" t="n"/>
      <c r="B155" s="30" t="n"/>
      <c r="C155" s="31" t="n"/>
      <c r="D155" s="31" t="n"/>
      <c r="E155" s="32">
        <f>IF(A155="","",D155-C155)</f>
        <v/>
      </c>
      <c r="F155" s="30" t="n"/>
      <c r="G155" s="30" t="n"/>
      <c r="H155" s="33">
        <f>IF(A155="","",SUMIFS(Movimientos!$D$2:$D$3001,Movimientos!$B$2:$B$3001,A155,Movimientos!$C$2:$C$3001,"Entrada"))</f>
        <v/>
      </c>
      <c r="I155" s="33">
        <f>IF(A155="","",SUMIFS(Movimientos!$D$2:$D$3001,Movimientos!$B$2:$B$3001,A155,Movimientos!$C$2:$C$3001,"Venta"))</f>
        <v/>
      </c>
      <c r="J155" s="33">
        <f>IF(A155="","",F155+H155-I155)</f>
        <v/>
      </c>
      <c r="K155" s="33">
        <f>IF(A155="","",IF(J155&lt;=G155,"REPONER","OK"))</f>
        <v/>
      </c>
    </row>
    <row r="156" ht="15" customHeight="1" s="21">
      <c r="A156" s="30" t="n"/>
      <c r="B156" s="30" t="n"/>
      <c r="C156" s="31" t="n"/>
      <c r="D156" s="31" t="n"/>
      <c r="E156" s="32">
        <f>IF(A156="","",D156-C156)</f>
        <v/>
      </c>
      <c r="F156" s="30" t="n"/>
      <c r="G156" s="30" t="n"/>
      <c r="H156" s="33">
        <f>IF(A156="","",SUMIFS(Movimientos!$D$2:$D$3001,Movimientos!$B$2:$B$3001,A156,Movimientos!$C$2:$C$3001,"Entrada"))</f>
        <v/>
      </c>
      <c r="I156" s="33">
        <f>IF(A156="","",SUMIFS(Movimientos!$D$2:$D$3001,Movimientos!$B$2:$B$3001,A156,Movimientos!$C$2:$C$3001,"Venta"))</f>
        <v/>
      </c>
      <c r="J156" s="33">
        <f>IF(A156="","",F156+H156-I156)</f>
        <v/>
      </c>
      <c r="K156" s="33">
        <f>IF(A156="","",IF(J156&lt;=G156,"REPONER","OK"))</f>
        <v/>
      </c>
    </row>
    <row r="157" ht="15" customHeight="1" s="21">
      <c r="A157" s="30" t="n"/>
      <c r="B157" s="30" t="n"/>
      <c r="C157" s="31" t="n"/>
      <c r="D157" s="31" t="n"/>
      <c r="E157" s="32">
        <f>IF(A157="","",D157-C157)</f>
        <v/>
      </c>
      <c r="F157" s="30" t="n"/>
      <c r="G157" s="30" t="n"/>
      <c r="H157" s="33">
        <f>IF(A157="","",SUMIFS(Movimientos!$D$2:$D$3001,Movimientos!$B$2:$B$3001,A157,Movimientos!$C$2:$C$3001,"Entrada"))</f>
        <v/>
      </c>
      <c r="I157" s="33">
        <f>IF(A157="","",SUMIFS(Movimientos!$D$2:$D$3001,Movimientos!$B$2:$B$3001,A157,Movimientos!$C$2:$C$3001,"Venta"))</f>
        <v/>
      </c>
      <c r="J157" s="33">
        <f>IF(A157="","",F157+H157-I157)</f>
        <v/>
      </c>
      <c r="K157" s="33">
        <f>IF(A157="","",IF(J157&lt;=G157,"REPONER","OK"))</f>
        <v/>
      </c>
    </row>
    <row r="158" ht="15" customHeight="1" s="21">
      <c r="A158" s="30" t="n"/>
      <c r="B158" s="30" t="n"/>
      <c r="C158" s="31" t="n"/>
      <c r="D158" s="31" t="n"/>
      <c r="E158" s="32">
        <f>IF(A158="","",D158-C158)</f>
        <v/>
      </c>
      <c r="F158" s="30" t="n"/>
      <c r="G158" s="30" t="n"/>
      <c r="H158" s="33">
        <f>IF(A158="","",SUMIFS(Movimientos!$D$2:$D$3001,Movimientos!$B$2:$B$3001,A158,Movimientos!$C$2:$C$3001,"Entrada"))</f>
        <v/>
      </c>
      <c r="I158" s="33">
        <f>IF(A158="","",SUMIFS(Movimientos!$D$2:$D$3001,Movimientos!$B$2:$B$3001,A158,Movimientos!$C$2:$C$3001,"Venta"))</f>
        <v/>
      </c>
      <c r="J158" s="33">
        <f>IF(A158="","",F158+H158-I158)</f>
        <v/>
      </c>
      <c r="K158" s="33">
        <f>IF(A158="","",IF(J158&lt;=G158,"REPONER","OK"))</f>
        <v/>
      </c>
    </row>
    <row r="159" ht="15" customHeight="1" s="21">
      <c r="A159" s="30" t="n"/>
      <c r="B159" s="30" t="n"/>
      <c r="C159" s="31" t="n"/>
      <c r="D159" s="31" t="n"/>
      <c r="E159" s="32">
        <f>IF(A159="","",D159-C159)</f>
        <v/>
      </c>
      <c r="F159" s="30" t="n"/>
      <c r="G159" s="30" t="n"/>
      <c r="H159" s="33">
        <f>IF(A159="","",SUMIFS(Movimientos!$D$2:$D$3001,Movimientos!$B$2:$B$3001,A159,Movimientos!$C$2:$C$3001,"Entrada"))</f>
        <v/>
      </c>
      <c r="I159" s="33">
        <f>IF(A159="","",SUMIFS(Movimientos!$D$2:$D$3001,Movimientos!$B$2:$B$3001,A159,Movimientos!$C$2:$C$3001,"Venta"))</f>
        <v/>
      </c>
      <c r="J159" s="33">
        <f>IF(A159="","",F159+H159-I159)</f>
        <v/>
      </c>
      <c r="K159" s="33">
        <f>IF(A159="","",IF(J159&lt;=G159,"REPONER","OK"))</f>
        <v/>
      </c>
    </row>
    <row r="160" ht="15" customHeight="1" s="21">
      <c r="A160" s="30" t="n"/>
      <c r="B160" s="30" t="n"/>
      <c r="C160" s="31" t="n"/>
      <c r="D160" s="31" t="n"/>
      <c r="E160" s="32">
        <f>IF(A160="","",D160-C160)</f>
        <v/>
      </c>
      <c r="F160" s="30" t="n"/>
      <c r="G160" s="30" t="n"/>
      <c r="H160" s="33">
        <f>IF(A160="","",SUMIFS(Movimientos!$D$2:$D$3001,Movimientos!$B$2:$B$3001,A160,Movimientos!$C$2:$C$3001,"Entrada"))</f>
        <v/>
      </c>
      <c r="I160" s="33">
        <f>IF(A160="","",SUMIFS(Movimientos!$D$2:$D$3001,Movimientos!$B$2:$B$3001,A160,Movimientos!$C$2:$C$3001,"Venta"))</f>
        <v/>
      </c>
      <c r="J160" s="33">
        <f>IF(A160="","",F160+H160-I160)</f>
        <v/>
      </c>
      <c r="K160" s="33">
        <f>IF(A160="","",IF(J160&lt;=G160,"REPONER","OK"))</f>
        <v/>
      </c>
    </row>
    <row r="161" ht="15" customHeight="1" s="21">
      <c r="A161" s="30" t="n"/>
      <c r="B161" s="30" t="n"/>
      <c r="C161" s="31" t="n"/>
      <c r="D161" s="31" t="n"/>
      <c r="E161" s="32">
        <f>IF(A161="","",D161-C161)</f>
        <v/>
      </c>
      <c r="F161" s="30" t="n"/>
      <c r="G161" s="30" t="n"/>
      <c r="H161" s="33">
        <f>IF(A161="","",SUMIFS(Movimientos!$D$2:$D$3001,Movimientos!$B$2:$B$3001,A161,Movimientos!$C$2:$C$3001,"Entrada"))</f>
        <v/>
      </c>
      <c r="I161" s="33">
        <f>IF(A161="","",SUMIFS(Movimientos!$D$2:$D$3001,Movimientos!$B$2:$B$3001,A161,Movimientos!$C$2:$C$3001,"Venta"))</f>
        <v/>
      </c>
      <c r="J161" s="33">
        <f>IF(A161="","",F161+H161-I161)</f>
        <v/>
      </c>
      <c r="K161" s="33">
        <f>IF(A161="","",IF(J161&lt;=G161,"REPONER","OK"))</f>
        <v/>
      </c>
    </row>
    <row r="162" ht="15" customHeight="1" s="21">
      <c r="A162" s="30" t="n"/>
      <c r="B162" s="30" t="n"/>
      <c r="C162" s="31" t="n"/>
      <c r="D162" s="31" t="n"/>
      <c r="E162" s="32">
        <f>IF(A162="","",D162-C162)</f>
        <v/>
      </c>
      <c r="F162" s="30" t="n"/>
      <c r="G162" s="30" t="n"/>
      <c r="H162" s="33">
        <f>IF(A162="","",SUMIFS(Movimientos!$D$2:$D$3001,Movimientos!$B$2:$B$3001,A162,Movimientos!$C$2:$C$3001,"Entrada"))</f>
        <v/>
      </c>
      <c r="I162" s="33">
        <f>IF(A162="","",SUMIFS(Movimientos!$D$2:$D$3001,Movimientos!$B$2:$B$3001,A162,Movimientos!$C$2:$C$3001,"Venta"))</f>
        <v/>
      </c>
      <c r="J162" s="33">
        <f>IF(A162="","",F162+H162-I162)</f>
        <v/>
      </c>
      <c r="K162" s="33">
        <f>IF(A162="","",IF(J162&lt;=G162,"REPONER","OK"))</f>
        <v/>
      </c>
    </row>
    <row r="163" ht="15" customHeight="1" s="21">
      <c r="A163" s="30" t="n"/>
      <c r="B163" s="30" t="n"/>
      <c r="C163" s="31" t="n"/>
      <c r="D163" s="31" t="n"/>
      <c r="E163" s="32">
        <f>IF(A163="","",D163-C163)</f>
        <v/>
      </c>
      <c r="F163" s="30" t="n"/>
      <c r="G163" s="30" t="n"/>
      <c r="H163" s="33">
        <f>IF(A163="","",SUMIFS(Movimientos!$D$2:$D$3001,Movimientos!$B$2:$B$3001,A163,Movimientos!$C$2:$C$3001,"Entrada"))</f>
        <v/>
      </c>
      <c r="I163" s="33">
        <f>IF(A163="","",SUMIFS(Movimientos!$D$2:$D$3001,Movimientos!$B$2:$B$3001,A163,Movimientos!$C$2:$C$3001,"Venta"))</f>
        <v/>
      </c>
      <c r="J163" s="33">
        <f>IF(A163="","",F163+H163-I163)</f>
        <v/>
      </c>
      <c r="K163" s="33">
        <f>IF(A163="","",IF(J163&lt;=G163,"REPONER","OK"))</f>
        <v/>
      </c>
    </row>
    <row r="164" ht="15" customHeight="1" s="21">
      <c r="A164" s="30" t="n"/>
      <c r="B164" s="30" t="n"/>
      <c r="C164" s="31" t="n"/>
      <c r="D164" s="31" t="n"/>
      <c r="E164" s="32">
        <f>IF(A164="","",D164-C164)</f>
        <v/>
      </c>
      <c r="F164" s="30" t="n"/>
      <c r="G164" s="30" t="n"/>
      <c r="H164" s="33">
        <f>IF(A164="","",SUMIFS(Movimientos!$D$2:$D$3001,Movimientos!$B$2:$B$3001,A164,Movimientos!$C$2:$C$3001,"Entrada"))</f>
        <v/>
      </c>
      <c r="I164" s="33">
        <f>IF(A164="","",SUMIFS(Movimientos!$D$2:$D$3001,Movimientos!$B$2:$B$3001,A164,Movimientos!$C$2:$C$3001,"Venta"))</f>
        <v/>
      </c>
      <c r="J164" s="33">
        <f>IF(A164="","",F164+H164-I164)</f>
        <v/>
      </c>
      <c r="K164" s="33">
        <f>IF(A164="","",IF(J164&lt;=G164,"REPONER","OK"))</f>
        <v/>
      </c>
    </row>
    <row r="165" ht="15" customHeight="1" s="21">
      <c r="A165" s="30" t="n"/>
      <c r="B165" s="30" t="n"/>
      <c r="C165" s="31" t="n"/>
      <c r="D165" s="31" t="n"/>
      <c r="E165" s="32">
        <f>IF(A165="","",D165-C165)</f>
        <v/>
      </c>
      <c r="F165" s="30" t="n"/>
      <c r="G165" s="30" t="n"/>
      <c r="H165" s="33">
        <f>IF(A165="","",SUMIFS(Movimientos!$D$2:$D$3001,Movimientos!$B$2:$B$3001,A165,Movimientos!$C$2:$C$3001,"Entrada"))</f>
        <v/>
      </c>
      <c r="I165" s="33">
        <f>IF(A165="","",SUMIFS(Movimientos!$D$2:$D$3001,Movimientos!$B$2:$B$3001,A165,Movimientos!$C$2:$C$3001,"Venta"))</f>
        <v/>
      </c>
      <c r="J165" s="33">
        <f>IF(A165="","",F165+H165-I165)</f>
        <v/>
      </c>
      <c r="K165" s="33">
        <f>IF(A165="","",IF(J165&lt;=G165,"REPONER","OK"))</f>
        <v/>
      </c>
    </row>
    <row r="166" ht="15" customHeight="1" s="21">
      <c r="A166" s="30" t="n"/>
      <c r="B166" s="30" t="n"/>
      <c r="C166" s="31" t="n"/>
      <c r="D166" s="31" t="n"/>
      <c r="E166" s="32">
        <f>IF(A166="","",D166-C166)</f>
        <v/>
      </c>
      <c r="F166" s="30" t="n"/>
      <c r="G166" s="30" t="n"/>
      <c r="H166" s="33">
        <f>IF(A166="","",SUMIFS(Movimientos!$D$2:$D$3001,Movimientos!$B$2:$B$3001,A166,Movimientos!$C$2:$C$3001,"Entrada"))</f>
        <v/>
      </c>
      <c r="I166" s="33">
        <f>IF(A166="","",SUMIFS(Movimientos!$D$2:$D$3001,Movimientos!$B$2:$B$3001,A166,Movimientos!$C$2:$C$3001,"Venta"))</f>
        <v/>
      </c>
      <c r="J166" s="33">
        <f>IF(A166="","",F166+H166-I166)</f>
        <v/>
      </c>
      <c r="K166" s="33">
        <f>IF(A166="","",IF(J166&lt;=G166,"REPONER","OK"))</f>
        <v/>
      </c>
    </row>
    <row r="167" ht="15" customHeight="1" s="21">
      <c r="A167" s="30" t="n"/>
      <c r="B167" s="30" t="n"/>
      <c r="C167" s="31" t="n"/>
      <c r="D167" s="31" t="n"/>
      <c r="E167" s="32">
        <f>IF(A167="","",D167-C167)</f>
        <v/>
      </c>
      <c r="F167" s="30" t="n"/>
      <c r="G167" s="30" t="n"/>
      <c r="H167" s="33">
        <f>IF(A167="","",SUMIFS(Movimientos!$D$2:$D$3001,Movimientos!$B$2:$B$3001,A167,Movimientos!$C$2:$C$3001,"Entrada"))</f>
        <v/>
      </c>
      <c r="I167" s="33">
        <f>IF(A167="","",SUMIFS(Movimientos!$D$2:$D$3001,Movimientos!$B$2:$B$3001,A167,Movimientos!$C$2:$C$3001,"Venta"))</f>
        <v/>
      </c>
      <c r="J167" s="33">
        <f>IF(A167="","",F167+H167-I167)</f>
        <v/>
      </c>
      <c r="K167" s="33">
        <f>IF(A167="","",IF(J167&lt;=G167,"REPONER","OK"))</f>
        <v/>
      </c>
    </row>
    <row r="168" ht="15" customHeight="1" s="21">
      <c r="A168" s="30" t="n"/>
      <c r="B168" s="30" t="n"/>
      <c r="C168" s="31" t="n"/>
      <c r="D168" s="31" t="n"/>
      <c r="E168" s="32">
        <f>IF(A168="","",D168-C168)</f>
        <v/>
      </c>
      <c r="F168" s="30" t="n"/>
      <c r="G168" s="30" t="n"/>
      <c r="H168" s="33">
        <f>IF(A168="","",SUMIFS(Movimientos!$D$2:$D$3001,Movimientos!$B$2:$B$3001,A168,Movimientos!$C$2:$C$3001,"Entrada"))</f>
        <v/>
      </c>
      <c r="I168" s="33">
        <f>IF(A168="","",SUMIFS(Movimientos!$D$2:$D$3001,Movimientos!$B$2:$B$3001,A168,Movimientos!$C$2:$C$3001,"Venta"))</f>
        <v/>
      </c>
      <c r="J168" s="33">
        <f>IF(A168="","",F168+H168-I168)</f>
        <v/>
      </c>
      <c r="K168" s="33">
        <f>IF(A168="","",IF(J168&lt;=G168,"REPONER","OK"))</f>
        <v/>
      </c>
    </row>
    <row r="169" ht="15" customHeight="1" s="21">
      <c r="A169" s="30" t="n"/>
      <c r="B169" s="30" t="n"/>
      <c r="C169" s="31" t="n"/>
      <c r="D169" s="31" t="n"/>
      <c r="E169" s="32">
        <f>IF(A169="","",D169-C169)</f>
        <v/>
      </c>
      <c r="F169" s="30" t="n"/>
      <c r="G169" s="30" t="n"/>
      <c r="H169" s="33">
        <f>IF(A169="","",SUMIFS(Movimientos!$D$2:$D$3001,Movimientos!$B$2:$B$3001,A169,Movimientos!$C$2:$C$3001,"Entrada"))</f>
        <v/>
      </c>
      <c r="I169" s="33">
        <f>IF(A169="","",SUMIFS(Movimientos!$D$2:$D$3001,Movimientos!$B$2:$B$3001,A169,Movimientos!$C$2:$C$3001,"Venta"))</f>
        <v/>
      </c>
      <c r="J169" s="33">
        <f>IF(A169="","",F169+H169-I169)</f>
        <v/>
      </c>
      <c r="K169" s="33">
        <f>IF(A169="","",IF(J169&lt;=G169,"REPONER","OK"))</f>
        <v/>
      </c>
    </row>
    <row r="170" ht="15" customHeight="1" s="21">
      <c r="A170" s="30" t="n"/>
      <c r="B170" s="30" t="n"/>
      <c r="C170" s="31" t="n"/>
      <c r="D170" s="31" t="n"/>
      <c r="E170" s="32">
        <f>IF(A170="","",D170-C170)</f>
        <v/>
      </c>
      <c r="F170" s="30" t="n"/>
      <c r="G170" s="30" t="n"/>
      <c r="H170" s="33">
        <f>IF(A170="","",SUMIFS(Movimientos!$D$2:$D$3001,Movimientos!$B$2:$B$3001,A170,Movimientos!$C$2:$C$3001,"Entrada"))</f>
        <v/>
      </c>
      <c r="I170" s="33">
        <f>IF(A170="","",SUMIFS(Movimientos!$D$2:$D$3001,Movimientos!$B$2:$B$3001,A170,Movimientos!$C$2:$C$3001,"Venta"))</f>
        <v/>
      </c>
      <c r="J170" s="33">
        <f>IF(A170="","",F170+H170-I170)</f>
        <v/>
      </c>
      <c r="K170" s="33">
        <f>IF(A170="","",IF(J170&lt;=G170,"REPONER","OK"))</f>
        <v/>
      </c>
    </row>
    <row r="171" ht="15" customHeight="1" s="21">
      <c r="A171" s="30" t="n"/>
      <c r="B171" s="30" t="n"/>
      <c r="C171" s="31" t="n"/>
      <c r="D171" s="31" t="n"/>
      <c r="E171" s="32">
        <f>IF(A171="","",D171-C171)</f>
        <v/>
      </c>
      <c r="F171" s="30" t="n"/>
      <c r="G171" s="30" t="n"/>
      <c r="H171" s="33">
        <f>IF(A171="","",SUMIFS(Movimientos!$D$2:$D$3001,Movimientos!$B$2:$B$3001,A171,Movimientos!$C$2:$C$3001,"Entrada"))</f>
        <v/>
      </c>
      <c r="I171" s="33">
        <f>IF(A171="","",SUMIFS(Movimientos!$D$2:$D$3001,Movimientos!$B$2:$B$3001,A171,Movimientos!$C$2:$C$3001,"Venta"))</f>
        <v/>
      </c>
      <c r="J171" s="33">
        <f>IF(A171="","",F171+H171-I171)</f>
        <v/>
      </c>
      <c r="K171" s="33">
        <f>IF(A171="","",IF(J171&lt;=G171,"REPONER","OK"))</f>
        <v/>
      </c>
    </row>
    <row r="172" ht="15" customHeight="1" s="21">
      <c r="A172" s="30" t="n"/>
      <c r="B172" s="30" t="n"/>
      <c r="C172" s="31" t="n"/>
      <c r="D172" s="31" t="n"/>
      <c r="E172" s="32">
        <f>IF(A172="","",D172-C172)</f>
        <v/>
      </c>
      <c r="F172" s="30" t="n"/>
      <c r="G172" s="30" t="n"/>
      <c r="H172" s="33">
        <f>IF(A172="","",SUMIFS(Movimientos!$D$2:$D$3001,Movimientos!$B$2:$B$3001,A172,Movimientos!$C$2:$C$3001,"Entrada"))</f>
        <v/>
      </c>
      <c r="I172" s="33">
        <f>IF(A172="","",SUMIFS(Movimientos!$D$2:$D$3001,Movimientos!$B$2:$B$3001,A172,Movimientos!$C$2:$C$3001,"Venta"))</f>
        <v/>
      </c>
      <c r="J172" s="33">
        <f>IF(A172="","",F172+H172-I172)</f>
        <v/>
      </c>
      <c r="K172" s="33">
        <f>IF(A172="","",IF(J172&lt;=G172,"REPONER","OK"))</f>
        <v/>
      </c>
    </row>
    <row r="173" ht="15" customHeight="1" s="21">
      <c r="A173" s="30" t="n"/>
      <c r="B173" s="30" t="n"/>
      <c r="C173" s="31" t="n"/>
      <c r="D173" s="31" t="n"/>
      <c r="E173" s="32">
        <f>IF(A173="","",D173-C173)</f>
        <v/>
      </c>
      <c r="F173" s="30" t="n"/>
      <c r="G173" s="30" t="n"/>
      <c r="H173" s="33">
        <f>IF(A173="","",SUMIFS(Movimientos!$D$2:$D$3001,Movimientos!$B$2:$B$3001,A173,Movimientos!$C$2:$C$3001,"Entrada"))</f>
        <v/>
      </c>
      <c r="I173" s="33">
        <f>IF(A173="","",SUMIFS(Movimientos!$D$2:$D$3001,Movimientos!$B$2:$B$3001,A173,Movimientos!$C$2:$C$3001,"Venta"))</f>
        <v/>
      </c>
      <c r="J173" s="33">
        <f>IF(A173="","",F173+H173-I173)</f>
        <v/>
      </c>
      <c r="K173" s="33">
        <f>IF(A173="","",IF(J173&lt;=G173,"REPONER","OK"))</f>
        <v/>
      </c>
    </row>
    <row r="174" ht="15" customHeight="1" s="21">
      <c r="A174" s="30" t="n"/>
      <c r="B174" s="30" t="n"/>
      <c r="C174" s="31" t="n"/>
      <c r="D174" s="31" t="n"/>
      <c r="E174" s="32">
        <f>IF(A174="","",D174-C174)</f>
        <v/>
      </c>
      <c r="F174" s="30" t="n"/>
      <c r="G174" s="30" t="n"/>
      <c r="H174" s="33">
        <f>IF(A174="","",SUMIFS(Movimientos!$D$2:$D$3001,Movimientos!$B$2:$B$3001,A174,Movimientos!$C$2:$C$3001,"Entrada"))</f>
        <v/>
      </c>
      <c r="I174" s="33">
        <f>IF(A174="","",SUMIFS(Movimientos!$D$2:$D$3001,Movimientos!$B$2:$B$3001,A174,Movimientos!$C$2:$C$3001,"Venta"))</f>
        <v/>
      </c>
      <c r="J174" s="33">
        <f>IF(A174="","",F174+H174-I174)</f>
        <v/>
      </c>
      <c r="K174" s="33">
        <f>IF(A174="","",IF(J174&lt;=G174,"REPONER","OK"))</f>
        <v/>
      </c>
    </row>
    <row r="175" ht="15" customHeight="1" s="21">
      <c r="A175" s="30" t="n"/>
      <c r="B175" s="30" t="n"/>
      <c r="C175" s="31" t="n"/>
      <c r="D175" s="31" t="n"/>
      <c r="E175" s="32">
        <f>IF(A175="","",D175-C175)</f>
        <v/>
      </c>
      <c r="F175" s="30" t="n"/>
      <c r="G175" s="30" t="n"/>
      <c r="H175" s="33">
        <f>IF(A175="","",SUMIFS(Movimientos!$D$2:$D$3001,Movimientos!$B$2:$B$3001,A175,Movimientos!$C$2:$C$3001,"Entrada"))</f>
        <v/>
      </c>
      <c r="I175" s="33">
        <f>IF(A175="","",SUMIFS(Movimientos!$D$2:$D$3001,Movimientos!$B$2:$B$3001,A175,Movimientos!$C$2:$C$3001,"Venta"))</f>
        <v/>
      </c>
      <c r="J175" s="33">
        <f>IF(A175="","",F175+H175-I175)</f>
        <v/>
      </c>
      <c r="K175" s="33">
        <f>IF(A175="","",IF(J175&lt;=G175,"REPONER","OK"))</f>
        <v/>
      </c>
    </row>
    <row r="176" ht="15" customHeight="1" s="21">
      <c r="A176" s="30" t="n"/>
      <c r="B176" s="30" t="n"/>
      <c r="C176" s="31" t="n"/>
      <c r="D176" s="31" t="n"/>
      <c r="E176" s="32">
        <f>IF(A176="","",D176-C176)</f>
        <v/>
      </c>
      <c r="F176" s="30" t="n"/>
      <c r="G176" s="30" t="n"/>
      <c r="H176" s="33">
        <f>IF(A176="","",SUMIFS(Movimientos!$D$2:$D$3001,Movimientos!$B$2:$B$3001,A176,Movimientos!$C$2:$C$3001,"Entrada"))</f>
        <v/>
      </c>
      <c r="I176" s="33">
        <f>IF(A176="","",SUMIFS(Movimientos!$D$2:$D$3001,Movimientos!$B$2:$B$3001,A176,Movimientos!$C$2:$C$3001,"Venta"))</f>
        <v/>
      </c>
      <c r="J176" s="33">
        <f>IF(A176="","",F176+H176-I176)</f>
        <v/>
      </c>
      <c r="K176" s="33">
        <f>IF(A176="","",IF(J176&lt;=G176,"REPONER","OK"))</f>
        <v/>
      </c>
    </row>
    <row r="177" ht="15" customHeight="1" s="21">
      <c r="A177" s="30" t="n"/>
      <c r="B177" s="30" t="n"/>
      <c r="C177" s="31" t="n"/>
      <c r="D177" s="31" t="n"/>
      <c r="E177" s="32">
        <f>IF(A177="","",D177-C177)</f>
        <v/>
      </c>
      <c r="F177" s="30" t="n"/>
      <c r="G177" s="30" t="n"/>
      <c r="H177" s="33">
        <f>IF(A177="","",SUMIFS(Movimientos!$D$2:$D$3001,Movimientos!$B$2:$B$3001,A177,Movimientos!$C$2:$C$3001,"Entrada"))</f>
        <v/>
      </c>
      <c r="I177" s="33">
        <f>IF(A177="","",SUMIFS(Movimientos!$D$2:$D$3001,Movimientos!$B$2:$B$3001,A177,Movimientos!$C$2:$C$3001,"Venta"))</f>
        <v/>
      </c>
      <c r="J177" s="33">
        <f>IF(A177="","",F177+H177-I177)</f>
        <v/>
      </c>
      <c r="K177" s="33">
        <f>IF(A177="","",IF(J177&lt;=G177,"REPONER","OK"))</f>
        <v/>
      </c>
    </row>
    <row r="178" ht="15" customHeight="1" s="21">
      <c r="A178" s="30" t="n"/>
      <c r="B178" s="30" t="n"/>
      <c r="C178" s="31" t="n"/>
      <c r="D178" s="31" t="n"/>
      <c r="E178" s="32">
        <f>IF(A178="","",D178-C178)</f>
        <v/>
      </c>
      <c r="F178" s="30" t="n"/>
      <c r="G178" s="30" t="n"/>
      <c r="H178" s="33">
        <f>IF(A178="","",SUMIFS(Movimientos!$D$2:$D$3001,Movimientos!$B$2:$B$3001,A178,Movimientos!$C$2:$C$3001,"Entrada"))</f>
        <v/>
      </c>
      <c r="I178" s="33">
        <f>IF(A178="","",SUMIFS(Movimientos!$D$2:$D$3001,Movimientos!$B$2:$B$3001,A178,Movimientos!$C$2:$C$3001,"Venta"))</f>
        <v/>
      </c>
      <c r="J178" s="33">
        <f>IF(A178="","",F178+H178-I178)</f>
        <v/>
      </c>
      <c r="K178" s="33">
        <f>IF(A178="","",IF(J178&lt;=G178,"REPONER","OK"))</f>
        <v/>
      </c>
    </row>
    <row r="179" ht="15" customHeight="1" s="21">
      <c r="A179" s="30" t="n"/>
      <c r="B179" s="30" t="n"/>
      <c r="C179" s="31" t="n"/>
      <c r="D179" s="31" t="n"/>
      <c r="E179" s="32">
        <f>IF(A179="","",D179-C179)</f>
        <v/>
      </c>
      <c r="F179" s="30" t="n"/>
      <c r="G179" s="30" t="n"/>
      <c r="H179" s="33">
        <f>IF(A179="","",SUMIFS(Movimientos!$D$2:$D$3001,Movimientos!$B$2:$B$3001,A179,Movimientos!$C$2:$C$3001,"Entrada"))</f>
        <v/>
      </c>
      <c r="I179" s="33">
        <f>IF(A179="","",SUMIFS(Movimientos!$D$2:$D$3001,Movimientos!$B$2:$B$3001,A179,Movimientos!$C$2:$C$3001,"Venta"))</f>
        <v/>
      </c>
      <c r="J179" s="33">
        <f>IF(A179="","",F179+H179-I179)</f>
        <v/>
      </c>
      <c r="K179" s="33">
        <f>IF(A179="","",IF(J179&lt;=G179,"REPONER","OK"))</f>
        <v/>
      </c>
    </row>
    <row r="180" ht="15" customHeight="1" s="21">
      <c r="A180" s="30" t="n"/>
      <c r="B180" s="30" t="n"/>
      <c r="C180" s="31" t="n"/>
      <c r="D180" s="31" t="n"/>
      <c r="E180" s="32">
        <f>IF(A180="","",D180-C180)</f>
        <v/>
      </c>
      <c r="F180" s="30" t="n"/>
      <c r="G180" s="30" t="n"/>
      <c r="H180" s="33">
        <f>IF(A180="","",SUMIFS(Movimientos!$D$2:$D$3001,Movimientos!$B$2:$B$3001,A180,Movimientos!$C$2:$C$3001,"Entrada"))</f>
        <v/>
      </c>
      <c r="I180" s="33">
        <f>IF(A180="","",SUMIFS(Movimientos!$D$2:$D$3001,Movimientos!$B$2:$B$3001,A180,Movimientos!$C$2:$C$3001,"Venta"))</f>
        <v/>
      </c>
      <c r="J180" s="33">
        <f>IF(A180="","",F180+H180-I180)</f>
        <v/>
      </c>
      <c r="K180" s="33">
        <f>IF(A180="","",IF(J180&lt;=G180,"REPONER","OK"))</f>
        <v/>
      </c>
    </row>
    <row r="181" ht="15" customHeight="1" s="21">
      <c r="A181" s="30" t="n"/>
      <c r="B181" s="30" t="n"/>
      <c r="C181" s="31" t="n"/>
      <c r="D181" s="31" t="n"/>
      <c r="E181" s="32">
        <f>IF(A181="","",D181-C181)</f>
        <v/>
      </c>
      <c r="F181" s="30" t="n"/>
      <c r="G181" s="30" t="n"/>
      <c r="H181" s="33">
        <f>IF(A181="","",SUMIFS(Movimientos!$D$2:$D$3001,Movimientos!$B$2:$B$3001,A181,Movimientos!$C$2:$C$3001,"Entrada"))</f>
        <v/>
      </c>
      <c r="I181" s="33">
        <f>IF(A181="","",SUMIFS(Movimientos!$D$2:$D$3001,Movimientos!$B$2:$B$3001,A181,Movimientos!$C$2:$C$3001,"Venta"))</f>
        <v/>
      </c>
      <c r="J181" s="33">
        <f>IF(A181="","",F181+H181-I181)</f>
        <v/>
      </c>
      <c r="K181" s="33">
        <f>IF(A181="","",IF(J181&lt;=G181,"REPONER","OK"))</f>
        <v/>
      </c>
    </row>
    <row r="182" ht="15" customHeight="1" s="21">
      <c r="A182" s="30" t="n"/>
      <c r="B182" s="30" t="n"/>
      <c r="C182" s="31" t="n"/>
      <c r="D182" s="31" t="n"/>
      <c r="E182" s="32">
        <f>IF(A182="","",D182-C182)</f>
        <v/>
      </c>
      <c r="F182" s="30" t="n"/>
      <c r="G182" s="30" t="n"/>
      <c r="H182" s="33">
        <f>IF(A182="","",SUMIFS(Movimientos!$D$2:$D$3001,Movimientos!$B$2:$B$3001,A182,Movimientos!$C$2:$C$3001,"Entrada"))</f>
        <v/>
      </c>
      <c r="I182" s="33">
        <f>IF(A182="","",SUMIFS(Movimientos!$D$2:$D$3001,Movimientos!$B$2:$B$3001,A182,Movimientos!$C$2:$C$3001,"Venta"))</f>
        <v/>
      </c>
      <c r="J182" s="33">
        <f>IF(A182="","",F182+H182-I182)</f>
        <v/>
      </c>
      <c r="K182" s="33">
        <f>IF(A182="","",IF(J182&lt;=G182,"REPONER","OK"))</f>
        <v/>
      </c>
    </row>
    <row r="183" ht="15" customHeight="1" s="21">
      <c r="A183" s="30" t="n"/>
      <c r="B183" s="30" t="n"/>
      <c r="C183" s="31" t="n"/>
      <c r="D183" s="31" t="n"/>
      <c r="E183" s="32">
        <f>IF(A183="","",D183-C183)</f>
        <v/>
      </c>
      <c r="F183" s="30" t="n"/>
      <c r="G183" s="30" t="n"/>
      <c r="H183" s="33">
        <f>IF(A183="","",SUMIFS(Movimientos!$D$2:$D$3001,Movimientos!$B$2:$B$3001,A183,Movimientos!$C$2:$C$3001,"Entrada"))</f>
        <v/>
      </c>
      <c r="I183" s="33">
        <f>IF(A183="","",SUMIFS(Movimientos!$D$2:$D$3001,Movimientos!$B$2:$B$3001,A183,Movimientos!$C$2:$C$3001,"Venta"))</f>
        <v/>
      </c>
      <c r="J183" s="33">
        <f>IF(A183="","",F183+H183-I183)</f>
        <v/>
      </c>
      <c r="K183" s="33">
        <f>IF(A183="","",IF(J183&lt;=G183,"REPONER","OK"))</f>
        <v/>
      </c>
    </row>
    <row r="184" ht="15" customHeight="1" s="21">
      <c r="A184" s="30" t="n"/>
      <c r="B184" s="30" t="n"/>
      <c r="C184" s="31" t="n"/>
      <c r="D184" s="31" t="n"/>
      <c r="E184" s="32">
        <f>IF(A184="","",D184-C184)</f>
        <v/>
      </c>
      <c r="F184" s="30" t="n"/>
      <c r="G184" s="30" t="n"/>
      <c r="H184" s="33">
        <f>IF(A184="","",SUMIFS(Movimientos!$D$2:$D$3001,Movimientos!$B$2:$B$3001,A184,Movimientos!$C$2:$C$3001,"Entrada"))</f>
        <v/>
      </c>
      <c r="I184" s="33">
        <f>IF(A184="","",SUMIFS(Movimientos!$D$2:$D$3001,Movimientos!$B$2:$B$3001,A184,Movimientos!$C$2:$C$3001,"Venta"))</f>
        <v/>
      </c>
      <c r="J184" s="33">
        <f>IF(A184="","",F184+H184-I184)</f>
        <v/>
      </c>
      <c r="K184" s="33">
        <f>IF(A184="","",IF(J184&lt;=G184,"REPONER","OK"))</f>
        <v/>
      </c>
    </row>
    <row r="185" ht="15" customHeight="1" s="21">
      <c r="A185" s="30" t="n"/>
      <c r="B185" s="30" t="n"/>
      <c r="C185" s="31" t="n"/>
      <c r="D185" s="31" t="n"/>
      <c r="E185" s="32">
        <f>IF(A185="","",D185-C185)</f>
        <v/>
      </c>
      <c r="F185" s="30" t="n"/>
      <c r="G185" s="30" t="n"/>
      <c r="H185" s="33">
        <f>IF(A185="","",SUMIFS(Movimientos!$D$2:$D$3001,Movimientos!$B$2:$B$3001,A185,Movimientos!$C$2:$C$3001,"Entrada"))</f>
        <v/>
      </c>
      <c r="I185" s="33">
        <f>IF(A185="","",SUMIFS(Movimientos!$D$2:$D$3001,Movimientos!$B$2:$B$3001,A185,Movimientos!$C$2:$C$3001,"Venta"))</f>
        <v/>
      </c>
      <c r="J185" s="33">
        <f>IF(A185="","",F185+H185-I185)</f>
        <v/>
      </c>
      <c r="K185" s="33">
        <f>IF(A185="","",IF(J185&lt;=G185,"REPONER","OK"))</f>
        <v/>
      </c>
    </row>
    <row r="186" ht="15" customHeight="1" s="21">
      <c r="A186" s="30" t="n"/>
      <c r="B186" s="30" t="n"/>
      <c r="C186" s="31" t="n"/>
      <c r="D186" s="31" t="n"/>
      <c r="E186" s="32">
        <f>IF(A186="","",D186-C186)</f>
        <v/>
      </c>
      <c r="F186" s="30" t="n"/>
      <c r="G186" s="30" t="n"/>
      <c r="H186" s="33">
        <f>IF(A186="","",SUMIFS(Movimientos!$D$2:$D$3001,Movimientos!$B$2:$B$3001,A186,Movimientos!$C$2:$C$3001,"Entrada"))</f>
        <v/>
      </c>
      <c r="I186" s="33">
        <f>IF(A186="","",SUMIFS(Movimientos!$D$2:$D$3001,Movimientos!$B$2:$B$3001,A186,Movimientos!$C$2:$C$3001,"Venta"))</f>
        <v/>
      </c>
      <c r="J186" s="33">
        <f>IF(A186="","",F186+H186-I186)</f>
        <v/>
      </c>
      <c r="K186" s="33">
        <f>IF(A186="","",IF(J186&lt;=G186,"REPONER","OK"))</f>
        <v/>
      </c>
    </row>
    <row r="187" ht="15" customHeight="1" s="21">
      <c r="A187" s="30" t="n"/>
      <c r="B187" s="30" t="n"/>
      <c r="C187" s="31" t="n"/>
      <c r="D187" s="31" t="n"/>
      <c r="E187" s="32">
        <f>IF(A187="","",D187-C187)</f>
        <v/>
      </c>
      <c r="F187" s="30" t="n"/>
      <c r="G187" s="30" t="n"/>
      <c r="H187" s="33">
        <f>IF(A187="","",SUMIFS(Movimientos!$D$2:$D$3001,Movimientos!$B$2:$B$3001,A187,Movimientos!$C$2:$C$3001,"Entrada"))</f>
        <v/>
      </c>
      <c r="I187" s="33">
        <f>IF(A187="","",SUMIFS(Movimientos!$D$2:$D$3001,Movimientos!$B$2:$B$3001,A187,Movimientos!$C$2:$C$3001,"Venta"))</f>
        <v/>
      </c>
      <c r="J187" s="33">
        <f>IF(A187="","",F187+H187-I187)</f>
        <v/>
      </c>
      <c r="K187" s="33">
        <f>IF(A187="","",IF(J187&lt;=G187,"REPONER","OK"))</f>
        <v/>
      </c>
    </row>
    <row r="188" ht="15" customHeight="1" s="21">
      <c r="A188" s="30" t="n"/>
      <c r="B188" s="30" t="n"/>
      <c r="C188" s="31" t="n"/>
      <c r="D188" s="31" t="n"/>
      <c r="E188" s="32">
        <f>IF(A188="","",D188-C188)</f>
        <v/>
      </c>
      <c r="F188" s="30" t="n"/>
      <c r="G188" s="30" t="n"/>
      <c r="H188" s="33">
        <f>IF(A188="","",SUMIFS(Movimientos!$D$2:$D$3001,Movimientos!$B$2:$B$3001,A188,Movimientos!$C$2:$C$3001,"Entrada"))</f>
        <v/>
      </c>
      <c r="I188" s="33">
        <f>IF(A188="","",SUMIFS(Movimientos!$D$2:$D$3001,Movimientos!$B$2:$B$3001,A188,Movimientos!$C$2:$C$3001,"Venta"))</f>
        <v/>
      </c>
      <c r="J188" s="33">
        <f>IF(A188="","",F188+H188-I188)</f>
        <v/>
      </c>
      <c r="K188" s="33">
        <f>IF(A188="","",IF(J188&lt;=G188,"REPONER","OK"))</f>
        <v/>
      </c>
    </row>
    <row r="189" ht="15" customHeight="1" s="21">
      <c r="A189" s="30" t="n"/>
      <c r="B189" s="30" t="n"/>
      <c r="C189" s="31" t="n"/>
      <c r="D189" s="31" t="n"/>
      <c r="E189" s="32">
        <f>IF(A189="","",D189-C189)</f>
        <v/>
      </c>
      <c r="F189" s="30" t="n"/>
      <c r="G189" s="30" t="n"/>
      <c r="H189" s="33">
        <f>IF(A189="","",SUMIFS(Movimientos!$D$2:$D$3001,Movimientos!$B$2:$B$3001,A189,Movimientos!$C$2:$C$3001,"Entrada"))</f>
        <v/>
      </c>
      <c r="I189" s="33">
        <f>IF(A189="","",SUMIFS(Movimientos!$D$2:$D$3001,Movimientos!$B$2:$B$3001,A189,Movimientos!$C$2:$C$3001,"Venta"))</f>
        <v/>
      </c>
      <c r="J189" s="33">
        <f>IF(A189="","",F189+H189-I189)</f>
        <v/>
      </c>
      <c r="K189" s="33">
        <f>IF(A189="","",IF(J189&lt;=G189,"REPONER","OK"))</f>
        <v/>
      </c>
    </row>
    <row r="190" ht="15" customHeight="1" s="21">
      <c r="A190" s="30" t="n"/>
      <c r="B190" s="30" t="n"/>
      <c r="C190" s="31" t="n"/>
      <c r="D190" s="31" t="n"/>
      <c r="E190" s="32">
        <f>IF(A190="","",D190-C190)</f>
        <v/>
      </c>
      <c r="F190" s="30" t="n"/>
      <c r="G190" s="30" t="n"/>
      <c r="H190" s="33">
        <f>IF(A190="","",SUMIFS(Movimientos!$D$2:$D$3001,Movimientos!$B$2:$B$3001,A190,Movimientos!$C$2:$C$3001,"Entrada"))</f>
        <v/>
      </c>
      <c r="I190" s="33">
        <f>IF(A190="","",SUMIFS(Movimientos!$D$2:$D$3001,Movimientos!$B$2:$B$3001,A190,Movimientos!$C$2:$C$3001,"Venta"))</f>
        <v/>
      </c>
      <c r="J190" s="33">
        <f>IF(A190="","",F190+H190-I190)</f>
        <v/>
      </c>
      <c r="K190" s="33">
        <f>IF(A190="","",IF(J190&lt;=G190,"REPONER","OK"))</f>
        <v/>
      </c>
    </row>
    <row r="191" ht="15" customHeight="1" s="21">
      <c r="A191" s="30" t="n"/>
      <c r="B191" s="30" t="n"/>
      <c r="C191" s="31" t="n"/>
      <c r="D191" s="31" t="n"/>
      <c r="E191" s="32">
        <f>IF(A191="","",D191-C191)</f>
        <v/>
      </c>
      <c r="F191" s="30" t="n"/>
      <c r="G191" s="30" t="n"/>
      <c r="H191" s="33">
        <f>IF(A191="","",SUMIFS(Movimientos!$D$2:$D$3001,Movimientos!$B$2:$B$3001,A191,Movimientos!$C$2:$C$3001,"Entrada"))</f>
        <v/>
      </c>
      <c r="I191" s="33">
        <f>IF(A191="","",SUMIFS(Movimientos!$D$2:$D$3001,Movimientos!$B$2:$B$3001,A191,Movimientos!$C$2:$C$3001,"Venta"))</f>
        <v/>
      </c>
      <c r="J191" s="33">
        <f>IF(A191="","",F191+H191-I191)</f>
        <v/>
      </c>
      <c r="K191" s="33">
        <f>IF(A191="","",IF(J191&lt;=G191,"REPONER","OK"))</f>
        <v/>
      </c>
    </row>
    <row r="192" ht="15" customHeight="1" s="21">
      <c r="A192" s="30" t="n"/>
      <c r="B192" s="30" t="n"/>
      <c r="C192" s="31" t="n"/>
      <c r="D192" s="31" t="n"/>
      <c r="E192" s="32">
        <f>IF(A192="","",D192-C192)</f>
        <v/>
      </c>
      <c r="F192" s="30" t="n"/>
      <c r="G192" s="30" t="n"/>
      <c r="H192" s="33">
        <f>IF(A192="","",SUMIFS(Movimientos!$D$2:$D$3001,Movimientos!$B$2:$B$3001,A192,Movimientos!$C$2:$C$3001,"Entrada"))</f>
        <v/>
      </c>
      <c r="I192" s="33">
        <f>IF(A192="","",SUMIFS(Movimientos!$D$2:$D$3001,Movimientos!$B$2:$B$3001,A192,Movimientos!$C$2:$C$3001,"Venta"))</f>
        <v/>
      </c>
      <c r="J192" s="33">
        <f>IF(A192="","",F192+H192-I192)</f>
        <v/>
      </c>
      <c r="K192" s="33">
        <f>IF(A192="","",IF(J192&lt;=G192,"REPONER","OK"))</f>
        <v/>
      </c>
    </row>
    <row r="193" ht="15" customHeight="1" s="21">
      <c r="A193" s="30" t="n"/>
      <c r="B193" s="30" t="n"/>
      <c r="C193" s="31" t="n"/>
      <c r="D193" s="31" t="n"/>
      <c r="E193" s="32">
        <f>IF(A193="","",D193-C193)</f>
        <v/>
      </c>
      <c r="F193" s="30" t="n"/>
      <c r="G193" s="30" t="n"/>
      <c r="H193" s="33">
        <f>IF(A193="","",SUMIFS(Movimientos!$D$2:$D$3001,Movimientos!$B$2:$B$3001,A193,Movimientos!$C$2:$C$3001,"Entrada"))</f>
        <v/>
      </c>
      <c r="I193" s="33">
        <f>IF(A193="","",SUMIFS(Movimientos!$D$2:$D$3001,Movimientos!$B$2:$B$3001,A193,Movimientos!$C$2:$C$3001,"Venta"))</f>
        <v/>
      </c>
      <c r="J193" s="33">
        <f>IF(A193="","",F193+H193-I193)</f>
        <v/>
      </c>
      <c r="K193" s="33">
        <f>IF(A193="","",IF(J193&lt;=G193,"REPONER","OK"))</f>
        <v/>
      </c>
    </row>
    <row r="194" ht="15" customHeight="1" s="21">
      <c r="A194" s="30" t="n"/>
      <c r="B194" s="30" t="n"/>
      <c r="C194" s="31" t="n"/>
      <c r="D194" s="31" t="n"/>
      <c r="E194" s="32">
        <f>IF(A194="","",D194-C194)</f>
        <v/>
      </c>
      <c r="F194" s="30" t="n"/>
      <c r="G194" s="30" t="n"/>
      <c r="H194" s="33">
        <f>IF(A194="","",SUMIFS(Movimientos!$D$2:$D$3001,Movimientos!$B$2:$B$3001,A194,Movimientos!$C$2:$C$3001,"Entrada"))</f>
        <v/>
      </c>
      <c r="I194" s="33">
        <f>IF(A194="","",SUMIFS(Movimientos!$D$2:$D$3001,Movimientos!$B$2:$B$3001,A194,Movimientos!$C$2:$C$3001,"Venta"))</f>
        <v/>
      </c>
      <c r="J194" s="33">
        <f>IF(A194="","",F194+H194-I194)</f>
        <v/>
      </c>
      <c r="K194" s="33">
        <f>IF(A194="","",IF(J194&lt;=G194,"REPONER","OK"))</f>
        <v/>
      </c>
    </row>
    <row r="195" ht="15" customHeight="1" s="21">
      <c r="A195" s="30" t="n"/>
      <c r="B195" s="30" t="n"/>
      <c r="C195" s="31" t="n"/>
      <c r="D195" s="31" t="n"/>
      <c r="E195" s="32">
        <f>IF(A195="","",D195-C195)</f>
        <v/>
      </c>
      <c r="F195" s="30" t="n"/>
      <c r="G195" s="30" t="n"/>
      <c r="H195" s="33">
        <f>IF(A195="","",SUMIFS(Movimientos!$D$2:$D$3001,Movimientos!$B$2:$B$3001,A195,Movimientos!$C$2:$C$3001,"Entrada"))</f>
        <v/>
      </c>
      <c r="I195" s="33">
        <f>IF(A195="","",SUMIFS(Movimientos!$D$2:$D$3001,Movimientos!$B$2:$B$3001,A195,Movimientos!$C$2:$C$3001,"Venta"))</f>
        <v/>
      </c>
      <c r="J195" s="33">
        <f>IF(A195="","",F195+H195-I195)</f>
        <v/>
      </c>
      <c r="K195" s="33">
        <f>IF(A195="","",IF(J195&lt;=G195,"REPONER","OK"))</f>
        <v/>
      </c>
    </row>
    <row r="196" ht="15" customHeight="1" s="21">
      <c r="A196" s="30" t="n"/>
      <c r="B196" s="30" t="n"/>
      <c r="C196" s="31" t="n"/>
      <c r="D196" s="31" t="n"/>
      <c r="E196" s="32">
        <f>IF(A196="","",D196-C196)</f>
        <v/>
      </c>
      <c r="F196" s="30" t="n"/>
      <c r="G196" s="30" t="n"/>
      <c r="H196" s="33">
        <f>IF(A196="","",SUMIFS(Movimientos!$D$2:$D$3001,Movimientos!$B$2:$B$3001,A196,Movimientos!$C$2:$C$3001,"Entrada"))</f>
        <v/>
      </c>
      <c r="I196" s="33">
        <f>IF(A196="","",SUMIFS(Movimientos!$D$2:$D$3001,Movimientos!$B$2:$B$3001,A196,Movimientos!$C$2:$C$3001,"Venta"))</f>
        <v/>
      </c>
      <c r="J196" s="33">
        <f>IF(A196="","",F196+H196-I196)</f>
        <v/>
      </c>
      <c r="K196" s="33">
        <f>IF(A196="","",IF(J196&lt;=G196,"REPONER","OK"))</f>
        <v/>
      </c>
    </row>
    <row r="197" ht="15" customHeight="1" s="21">
      <c r="A197" s="30" t="n"/>
      <c r="B197" s="30" t="n"/>
      <c r="C197" s="31" t="n"/>
      <c r="D197" s="31" t="n"/>
      <c r="E197" s="32">
        <f>IF(A197="","",D197-C197)</f>
        <v/>
      </c>
      <c r="F197" s="30" t="n"/>
      <c r="G197" s="30" t="n"/>
      <c r="H197" s="33">
        <f>IF(A197="","",SUMIFS(Movimientos!$D$2:$D$3001,Movimientos!$B$2:$B$3001,A197,Movimientos!$C$2:$C$3001,"Entrada"))</f>
        <v/>
      </c>
      <c r="I197" s="33">
        <f>IF(A197="","",SUMIFS(Movimientos!$D$2:$D$3001,Movimientos!$B$2:$B$3001,A197,Movimientos!$C$2:$C$3001,"Venta"))</f>
        <v/>
      </c>
      <c r="J197" s="33">
        <f>IF(A197="","",F197+H197-I197)</f>
        <v/>
      </c>
      <c r="K197" s="33">
        <f>IF(A197="","",IF(J197&lt;=G197,"REPONER","OK"))</f>
        <v/>
      </c>
    </row>
    <row r="198" ht="15" customHeight="1" s="21">
      <c r="A198" s="30" t="n"/>
      <c r="B198" s="30" t="n"/>
      <c r="C198" s="31" t="n"/>
      <c r="D198" s="31" t="n"/>
      <c r="E198" s="32">
        <f>IF(A198="","",D198-C198)</f>
        <v/>
      </c>
      <c r="F198" s="30" t="n"/>
      <c r="G198" s="30" t="n"/>
      <c r="H198" s="33">
        <f>IF(A198="","",SUMIFS(Movimientos!$D$2:$D$3001,Movimientos!$B$2:$B$3001,A198,Movimientos!$C$2:$C$3001,"Entrada"))</f>
        <v/>
      </c>
      <c r="I198" s="33">
        <f>IF(A198="","",SUMIFS(Movimientos!$D$2:$D$3001,Movimientos!$B$2:$B$3001,A198,Movimientos!$C$2:$C$3001,"Venta"))</f>
        <v/>
      </c>
      <c r="J198" s="33">
        <f>IF(A198="","",F198+H198-I198)</f>
        <v/>
      </c>
      <c r="K198" s="33">
        <f>IF(A198="","",IF(J198&lt;=G198,"REPONER","OK"))</f>
        <v/>
      </c>
    </row>
    <row r="199" ht="15" customHeight="1" s="21">
      <c r="A199" s="30" t="n"/>
      <c r="B199" s="30" t="n"/>
      <c r="C199" s="31" t="n"/>
      <c r="D199" s="31" t="n"/>
      <c r="E199" s="32">
        <f>IF(A199="","",D199-C199)</f>
        <v/>
      </c>
      <c r="F199" s="30" t="n"/>
      <c r="G199" s="30" t="n"/>
      <c r="H199" s="33">
        <f>IF(A199="","",SUMIFS(Movimientos!$D$2:$D$3001,Movimientos!$B$2:$B$3001,A199,Movimientos!$C$2:$C$3001,"Entrada"))</f>
        <v/>
      </c>
      <c r="I199" s="33">
        <f>IF(A199="","",SUMIFS(Movimientos!$D$2:$D$3001,Movimientos!$B$2:$B$3001,A199,Movimientos!$C$2:$C$3001,"Venta"))</f>
        <v/>
      </c>
      <c r="J199" s="33">
        <f>IF(A199="","",F199+H199-I199)</f>
        <v/>
      </c>
      <c r="K199" s="33">
        <f>IF(A199="","",IF(J199&lt;=G199,"REPONER","OK"))</f>
        <v/>
      </c>
    </row>
    <row r="200" ht="15" customHeight="1" s="21">
      <c r="A200" s="30" t="n"/>
      <c r="B200" s="30" t="n"/>
      <c r="C200" s="31" t="n"/>
      <c r="D200" s="31" t="n"/>
      <c r="E200" s="32">
        <f>IF(A200="","",D200-C200)</f>
        <v/>
      </c>
      <c r="F200" s="30" t="n"/>
      <c r="G200" s="30" t="n"/>
      <c r="H200" s="33">
        <f>IF(A200="","",SUMIFS(Movimientos!$D$2:$D$3001,Movimientos!$B$2:$B$3001,A200,Movimientos!$C$2:$C$3001,"Entrada"))</f>
        <v/>
      </c>
      <c r="I200" s="33">
        <f>IF(A200="","",SUMIFS(Movimientos!$D$2:$D$3001,Movimientos!$B$2:$B$3001,A200,Movimientos!$C$2:$C$3001,"Venta"))</f>
        <v/>
      </c>
      <c r="J200" s="33">
        <f>IF(A200="","",F200+H200-I200)</f>
        <v/>
      </c>
      <c r="K200" s="33">
        <f>IF(A200="","",IF(J200&lt;=G200,"REPONER","OK"))</f>
        <v/>
      </c>
    </row>
    <row r="201" ht="15" customHeight="1" s="21">
      <c r="A201" s="30" t="n"/>
      <c r="B201" s="30" t="n"/>
      <c r="C201" s="31" t="n"/>
      <c r="D201" s="31" t="n"/>
      <c r="E201" s="32">
        <f>IF(A201="","",D201-C201)</f>
        <v/>
      </c>
      <c r="F201" s="30" t="n"/>
      <c r="G201" s="30" t="n"/>
      <c r="H201" s="33">
        <f>IF(A201="","",SUMIFS(Movimientos!$D$2:$D$3001,Movimientos!$B$2:$B$3001,A201,Movimientos!$C$2:$C$3001,"Entrada"))</f>
        <v/>
      </c>
      <c r="I201" s="33">
        <f>IF(A201="","",SUMIFS(Movimientos!$D$2:$D$3001,Movimientos!$B$2:$B$3001,A201,Movimientos!$C$2:$C$3001,"Venta"))</f>
        <v/>
      </c>
      <c r="J201" s="33">
        <f>IF(A201="","",F201+H201-I201)</f>
        <v/>
      </c>
      <c r="K201" s="33">
        <f>IF(A201="","",IF(J201&lt;=G201,"REPONER","OK"))</f>
        <v/>
      </c>
    </row>
    <row r="202" ht="15" customHeight="1" s="21">
      <c r="A202" s="30" t="n"/>
      <c r="B202" s="30" t="n"/>
      <c r="C202" s="31" t="n"/>
      <c r="D202" s="31" t="n"/>
      <c r="E202" s="32">
        <f>IF(A202="","",D202-C202)</f>
        <v/>
      </c>
      <c r="F202" s="30" t="n"/>
      <c r="G202" s="30" t="n"/>
      <c r="H202" s="33">
        <f>IF(A202="","",SUMIFS(Movimientos!$D$2:$D$3001,Movimientos!$B$2:$B$3001,A202,Movimientos!$C$2:$C$3001,"Entrada"))</f>
        <v/>
      </c>
      <c r="I202" s="33">
        <f>IF(A202="","",SUMIFS(Movimientos!$D$2:$D$3001,Movimientos!$B$2:$B$3001,A202,Movimientos!$C$2:$C$3001,"Venta"))</f>
        <v/>
      </c>
      <c r="J202" s="33">
        <f>IF(A202="","",F202+H202-I202)</f>
        <v/>
      </c>
      <c r="K202" s="33">
        <f>IF(A202="","",IF(J202&lt;=G202,"REPONER","OK"))</f>
        <v/>
      </c>
    </row>
    <row r="203" ht="15" customHeight="1" s="21">
      <c r="A203" s="30" t="n"/>
      <c r="B203" s="30" t="n"/>
      <c r="C203" s="31" t="n"/>
      <c r="D203" s="31" t="n"/>
      <c r="E203" s="32">
        <f>IF(A203="","",D203-C203)</f>
        <v/>
      </c>
      <c r="F203" s="30" t="n"/>
      <c r="G203" s="30" t="n"/>
      <c r="H203" s="33">
        <f>IF(A203="","",SUMIFS(Movimientos!$D$2:$D$3001,Movimientos!$B$2:$B$3001,A203,Movimientos!$C$2:$C$3001,"Entrada"))</f>
        <v/>
      </c>
      <c r="I203" s="33">
        <f>IF(A203="","",SUMIFS(Movimientos!$D$2:$D$3001,Movimientos!$B$2:$B$3001,A203,Movimientos!$C$2:$C$3001,"Venta"))</f>
        <v/>
      </c>
      <c r="J203" s="33">
        <f>IF(A203="","",F203+H203-I203)</f>
        <v/>
      </c>
      <c r="K203" s="33">
        <f>IF(A203="","",IF(J203&lt;=G203,"REPONER","OK"))</f>
        <v/>
      </c>
    </row>
    <row r="204" ht="15" customHeight="1" s="21">
      <c r="A204" s="30" t="n"/>
      <c r="B204" s="30" t="n"/>
      <c r="C204" s="31" t="n"/>
      <c r="D204" s="31" t="n"/>
      <c r="E204" s="32">
        <f>IF(A204="","",D204-C204)</f>
        <v/>
      </c>
      <c r="F204" s="30" t="n"/>
      <c r="G204" s="30" t="n"/>
      <c r="H204" s="33">
        <f>IF(A204="","",SUMIFS(Movimientos!$D$2:$D$3001,Movimientos!$B$2:$B$3001,A204,Movimientos!$C$2:$C$3001,"Entrada"))</f>
        <v/>
      </c>
      <c r="I204" s="33">
        <f>IF(A204="","",SUMIFS(Movimientos!$D$2:$D$3001,Movimientos!$B$2:$B$3001,A204,Movimientos!$C$2:$C$3001,"Venta"))</f>
        <v/>
      </c>
      <c r="J204" s="33">
        <f>IF(A204="","",F204+H204-I204)</f>
        <v/>
      </c>
      <c r="K204" s="33">
        <f>IF(A204="","",IF(J204&lt;=G204,"REPONER","OK"))</f>
        <v/>
      </c>
    </row>
    <row r="205" ht="15" customHeight="1" s="21">
      <c r="A205" s="30" t="n"/>
      <c r="B205" s="30" t="n"/>
      <c r="C205" s="31" t="n"/>
      <c r="D205" s="31" t="n"/>
      <c r="E205" s="32">
        <f>IF(A205="","",D205-C205)</f>
        <v/>
      </c>
      <c r="F205" s="30" t="n"/>
      <c r="G205" s="30" t="n"/>
      <c r="H205" s="33">
        <f>IF(A205="","",SUMIFS(Movimientos!$D$2:$D$3001,Movimientos!$B$2:$B$3001,A205,Movimientos!$C$2:$C$3001,"Entrada"))</f>
        <v/>
      </c>
      <c r="I205" s="33">
        <f>IF(A205="","",SUMIFS(Movimientos!$D$2:$D$3001,Movimientos!$B$2:$B$3001,A205,Movimientos!$C$2:$C$3001,"Venta"))</f>
        <v/>
      </c>
      <c r="J205" s="33">
        <f>IF(A205="","",F205+H205-I205)</f>
        <v/>
      </c>
      <c r="K205" s="33">
        <f>IF(A205="","",IF(J205&lt;=G205,"REPONER","OK"))</f>
        <v/>
      </c>
    </row>
    <row r="206" ht="15" customHeight="1" s="21">
      <c r="A206" s="30" t="n"/>
      <c r="B206" s="30" t="n"/>
      <c r="C206" s="31" t="n"/>
      <c r="D206" s="31" t="n"/>
      <c r="E206" s="32">
        <f>IF(A206="","",D206-C206)</f>
        <v/>
      </c>
      <c r="F206" s="30" t="n"/>
      <c r="G206" s="30" t="n"/>
      <c r="H206" s="33">
        <f>IF(A206="","",SUMIFS(Movimientos!$D$2:$D$3001,Movimientos!$B$2:$B$3001,A206,Movimientos!$C$2:$C$3001,"Entrada"))</f>
        <v/>
      </c>
      <c r="I206" s="33">
        <f>IF(A206="","",SUMIFS(Movimientos!$D$2:$D$3001,Movimientos!$B$2:$B$3001,A206,Movimientos!$C$2:$C$3001,"Venta"))</f>
        <v/>
      </c>
      <c r="J206" s="33">
        <f>IF(A206="","",F206+H206-I206)</f>
        <v/>
      </c>
      <c r="K206" s="33">
        <f>IF(A206="","",IF(J206&lt;=G206,"REPONER","OK"))</f>
        <v/>
      </c>
    </row>
    <row r="207" ht="15" customHeight="1" s="21">
      <c r="A207" s="30" t="n"/>
      <c r="B207" s="30" t="n"/>
      <c r="C207" s="31" t="n"/>
      <c r="D207" s="31" t="n"/>
      <c r="E207" s="32">
        <f>IF(A207="","",D207-C207)</f>
        <v/>
      </c>
      <c r="F207" s="30" t="n"/>
      <c r="G207" s="30" t="n"/>
      <c r="H207" s="33">
        <f>IF(A207="","",SUMIFS(Movimientos!$D$2:$D$3001,Movimientos!$B$2:$B$3001,A207,Movimientos!$C$2:$C$3001,"Entrada"))</f>
        <v/>
      </c>
      <c r="I207" s="33">
        <f>IF(A207="","",SUMIFS(Movimientos!$D$2:$D$3001,Movimientos!$B$2:$B$3001,A207,Movimientos!$C$2:$C$3001,"Venta"))</f>
        <v/>
      </c>
      <c r="J207" s="33">
        <f>IF(A207="","",F207+H207-I207)</f>
        <v/>
      </c>
      <c r="K207" s="33">
        <f>IF(A207="","",IF(J207&lt;=G207,"REPONER","OK"))</f>
        <v/>
      </c>
    </row>
    <row r="208" ht="15" customHeight="1" s="21">
      <c r="A208" s="30" t="n"/>
      <c r="B208" s="30" t="n"/>
      <c r="C208" s="31" t="n"/>
      <c r="D208" s="31" t="n"/>
      <c r="E208" s="32">
        <f>IF(A208="","",D208-C208)</f>
        <v/>
      </c>
      <c r="F208" s="30" t="n"/>
      <c r="G208" s="30" t="n"/>
      <c r="H208" s="33">
        <f>IF(A208="","",SUMIFS(Movimientos!$D$2:$D$3001,Movimientos!$B$2:$B$3001,A208,Movimientos!$C$2:$C$3001,"Entrada"))</f>
        <v/>
      </c>
      <c r="I208" s="33">
        <f>IF(A208="","",SUMIFS(Movimientos!$D$2:$D$3001,Movimientos!$B$2:$B$3001,A208,Movimientos!$C$2:$C$3001,"Venta"))</f>
        <v/>
      </c>
      <c r="J208" s="33">
        <f>IF(A208="","",F208+H208-I208)</f>
        <v/>
      </c>
      <c r="K208" s="33">
        <f>IF(A208="","",IF(J208&lt;=G208,"REPONER","OK"))</f>
        <v/>
      </c>
    </row>
    <row r="209" ht="15" customHeight="1" s="21">
      <c r="A209" s="30" t="n"/>
      <c r="B209" s="30" t="n"/>
      <c r="C209" s="31" t="n"/>
      <c r="D209" s="31" t="n"/>
      <c r="E209" s="32">
        <f>IF(A209="","",D209-C209)</f>
        <v/>
      </c>
      <c r="F209" s="30" t="n"/>
      <c r="G209" s="30" t="n"/>
      <c r="H209" s="33">
        <f>IF(A209="","",SUMIFS(Movimientos!$D$2:$D$3001,Movimientos!$B$2:$B$3001,A209,Movimientos!$C$2:$C$3001,"Entrada"))</f>
        <v/>
      </c>
      <c r="I209" s="33">
        <f>IF(A209="","",SUMIFS(Movimientos!$D$2:$D$3001,Movimientos!$B$2:$B$3001,A209,Movimientos!$C$2:$C$3001,"Venta"))</f>
        <v/>
      </c>
      <c r="J209" s="33">
        <f>IF(A209="","",F209+H209-I209)</f>
        <v/>
      </c>
      <c r="K209" s="33">
        <f>IF(A209="","",IF(J209&lt;=G209,"REPONER","OK"))</f>
        <v/>
      </c>
    </row>
    <row r="210" ht="15" customHeight="1" s="21">
      <c r="A210" s="30" t="n"/>
      <c r="B210" s="30" t="n"/>
      <c r="C210" s="31" t="n"/>
      <c r="D210" s="31" t="n"/>
      <c r="E210" s="32">
        <f>IF(A210="","",D210-C210)</f>
        <v/>
      </c>
      <c r="F210" s="30" t="n"/>
      <c r="G210" s="30" t="n"/>
      <c r="H210" s="33">
        <f>IF(A210="","",SUMIFS(Movimientos!$D$2:$D$3001,Movimientos!$B$2:$B$3001,A210,Movimientos!$C$2:$C$3001,"Entrada"))</f>
        <v/>
      </c>
      <c r="I210" s="33">
        <f>IF(A210="","",SUMIFS(Movimientos!$D$2:$D$3001,Movimientos!$B$2:$B$3001,A210,Movimientos!$C$2:$C$3001,"Venta"))</f>
        <v/>
      </c>
      <c r="J210" s="33">
        <f>IF(A210="","",F210+H210-I210)</f>
        <v/>
      </c>
      <c r="K210" s="33">
        <f>IF(A210="","",IF(J210&lt;=G210,"REPONER","OK"))</f>
        <v/>
      </c>
    </row>
    <row r="211" ht="15" customHeight="1" s="21">
      <c r="A211" s="30" t="n"/>
      <c r="B211" s="30" t="n"/>
      <c r="C211" s="31" t="n"/>
      <c r="D211" s="31" t="n"/>
      <c r="E211" s="32">
        <f>IF(A211="","",D211-C211)</f>
        <v/>
      </c>
      <c r="F211" s="30" t="n"/>
      <c r="G211" s="30" t="n"/>
      <c r="H211" s="33">
        <f>IF(A211="","",SUMIFS(Movimientos!$D$2:$D$3001,Movimientos!$B$2:$B$3001,A211,Movimientos!$C$2:$C$3001,"Entrada"))</f>
        <v/>
      </c>
      <c r="I211" s="33">
        <f>IF(A211="","",SUMIFS(Movimientos!$D$2:$D$3001,Movimientos!$B$2:$B$3001,A211,Movimientos!$C$2:$C$3001,"Venta"))</f>
        <v/>
      </c>
      <c r="J211" s="33">
        <f>IF(A211="","",F211+H211-I211)</f>
        <v/>
      </c>
      <c r="K211" s="33">
        <f>IF(A211="","",IF(J211&lt;=G211,"REPONER","OK"))</f>
        <v/>
      </c>
    </row>
    <row r="212" ht="15" customHeight="1" s="21">
      <c r="A212" s="30" t="n"/>
      <c r="B212" s="30" t="n"/>
      <c r="C212" s="31" t="n"/>
      <c r="D212" s="31" t="n"/>
      <c r="E212" s="32">
        <f>IF(A212="","",D212-C212)</f>
        <v/>
      </c>
      <c r="F212" s="30" t="n"/>
      <c r="G212" s="30" t="n"/>
      <c r="H212" s="33">
        <f>IF(A212="","",SUMIFS(Movimientos!$D$2:$D$3001,Movimientos!$B$2:$B$3001,A212,Movimientos!$C$2:$C$3001,"Entrada"))</f>
        <v/>
      </c>
      <c r="I212" s="33">
        <f>IF(A212="","",SUMIFS(Movimientos!$D$2:$D$3001,Movimientos!$B$2:$B$3001,A212,Movimientos!$C$2:$C$3001,"Venta"))</f>
        <v/>
      </c>
      <c r="J212" s="33">
        <f>IF(A212="","",F212+H212-I212)</f>
        <v/>
      </c>
      <c r="K212" s="33">
        <f>IF(A212="","",IF(J212&lt;=G212,"REPONER","OK"))</f>
        <v/>
      </c>
    </row>
    <row r="213" ht="15" customHeight="1" s="21">
      <c r="A213" s="30" t="n"/>
      <c r="B213" s="30" t="n"/>
      <c r="C213" s="31" t="n"/>
      <c r="D213" s="31" t="n"/>
      <c r="E213" s="32">
        <f>IF(A213="","",D213-C213)</f>
        <v/>
      </c>
      <c r="F213" s="30" t="n"/>
      <c r="G213" s="30" t="n"/>
      <c r="H213" s="33">
        <f>IF(A213="","",SUMIFS(Movimientos!$D$2:$D$3001,Movimientos!$B$2:$B$3001,A213,Movimientos!$C$2:$C$3001,"Entrada"))</f>
        <v/>
      </c>
      <c r="I213" s="33">
        <f>IF(A213="","",SUMIFS(Movimientos!$D$2:$D$3001,Movimientos!$B$2:$B$3001,A213,Movimientos!$C$2:$C$3001,"Venta"))</f>
        <v/>
      </c>
      <c r="J213" s="33">
        <f>IF(A213="","",F213+H213-I213)</f>
        <v/>
      </c>
      <c r="K213" s="33">
        <f>IF(A213="","",IF(J213&lt;=G213,"REPONER","OK"))</f>
        <v/>
      </c>
    </row>
    <row r="214" ht="15" customHeight="1" s="21">
      <c r="A214" s="30" t="n"/>
      <c r="B214" s="30" t="n"/>
      <c r="C214" s="31" t="n"/>
      <c r="D214" s="31" t="n"/>
      <c r="E214" s="32">
        <f>IF(A214="","",D214-C214)</f>
        <v/>
      </c>
      <c r="F214" s="30" t="n"/>
      <c r="G214" s="30" t="n"/>
      <c r="H214" s="33">
        <f>IF(A214="","",SUMIFS(Movimientos!$D$2:$D$3001,Movimientos!$B$2:$B$3001,A214,Movimientos!$C$2:$C$3001,"Entrada"))</f>
        <v/>
      </c>
      <c r="I214" s="33">
        <f>IF(A214="","",SUMIFS(Movimientos!$D$2:$D$3001,Movimientos!$B$2:$B$3001,A214,Movimientos!$C$2:$C$3001,"Venta"))</f>
        <v/>
      </c>
      <c r="J214" s="33">
        <f>IF(A214="","",F214+H214-I214)</f>
        <v/>
      </c>
      <c r="K214" s="33">
        <f>IF(A214="","",IF(J214&lt;=G214,"REPONER","OK"))</f>
        <v/>
      </c>
    </row>
    <row r="215" ht="15" customHeight="1" s="21">
      <c r="A215" s="30" t="n"/>
      <c r="B215" s="30" t="n"/>
      <c r="C215" s="31" t="n"/>
      <c r="D215" s="31" t="n"/>
      <c r="E215" s="32">
        <f>IF(A215="","",D215-C215)</f>
        <v/>
      </c>
      <c r="F215" s="30" t="n"/>
      <c r="G215" s="30" t="n"/>
      <c r="H215" s="33">
        <f>IF(A215="","",SUMIFS(Movimientos!$D$2:$D$3001,Movimientos!$B$2:$B$3001,A215,Movimientos!$C$2:$C$3001,"Entrada"))</f>
        <v/>
      </c>
      <c r="I215" s="33">
        <f>IF(A215="","",SUMIFS(Movimientos!$D$2:$D$3001,Movimientos!$B$2:$B$3001,A215,Movimientos!$C$2:$C$3001,"Venta"))</f>
        <v/>
      </c>
      <c r="J215" s="33">
        <f>IF(A215="","",F215+H215-I215)</f>
        <v/>
      </c>
      <c r="K215" s="33">
        <f>IF(A215="","",IF(J215&lt;=G215,"REPONER","OK"))</f>
        <v/>
      </c>
    </row>
    <row r="216" ht="15" customHeight="1" s="21">
      <c r="A216" s="30" t="n"/>
      <c r="B216" s="30" t="n"/>
      <c r="C216" s="31" t="n"/>
      <c r="D216" s="31" t="n"/>
      <c r="E216" s="32">
        <f>IF(A216="","",D216-C216)</f>
        <v/>
      </c>
      <c r="F216" s="30" t="n"/>
      <c r="G216" s="30" t="n"/>
      <c r="H216" s="33">
        <f>IF(A216="","",SUMIFS(Movimientos!$D$2:$D$3001,Movimientos!$B$2:$B$3001,A216,Movimientos!$C$2:$C$3001,"Entrada"))</f>
        <v/>
      </c>
      <c r="I216" s="33">
        <f>IF(A216="","",SUMIFS(Movimientos!$D$2:$D$3001,Movimientos!$B$2:$B$3001,A216,Movimientos!$C$2:$C$3001,"Venta"))</f>
        <v/>
      </c>
      <c r="J216" s="33">
        <f>IF(A216="","",F216+H216-I216)</f>
        <v/>
      </c>
      <c r="K216" s="33">
        <f>IF(A216="","",IF(J216&lt;=G216,"REPONER","OK"))</f>
        <v/>
      </c>
    </row>
    <row r="217" ht="15" customHeight="1" s="21">
      <c r="A217" s="30" t="n"/>
      <c r="B217" s="30" t="n"/>
      <c r="C217" s="31" t="n"/>
      <c r="D217" s="31" t="n"/>
      <c r="E217" s="32">
        <f>IF(A217="","",D217-C217)</f>
        <v/>
      </c>
      <c r="F217" s="30" t="n"/>
      <c r="G217" s="30" t="n"/>
      <c r="H217" s="33">
        <f>IF(A217="","",SUMIFS(Movimientos!$D$2:$D$3001,Movimientos!$B$2:$B$3001,A217,Movimientos!$C$2:$C$3001,"Entrada"))</f>
        <v/>
      </c>
      <c r="I217" s="33">
        <f>IF(A217="","",SUMIFS(Movimientos!$D$2:$D$3001,Movimientos!$B$2:$B$3001,A217,Movimientos!$C$2:$C$3001,"Venta"))</f>
        <v/>
      </c>
      <c r="J217" s="33">
        <f>IF(A217="","",F217+H217-I217)</f>
        <v/>
      </c>
      <c r="K217" s="33">
        <f>IF(A217="","",IF(J217&lt;=G217,"REPONER","OK"))</f>
        <v/>
      </c>
    </row>
    <row r="218" ht="15" customHeight="1" s="21">
      <c r="A218" s="30" t="n"/>
      <c r="B218" s="30" t="n"/>
      <c r="C218" s="31" t="n"/>
      <c r="D218" s="31" t="n"/>
      <c r="E218" s="32">
        <f>IF(A218="","",D218-C218)</f>
        <v/>
      </c>
      <c r="F218" s="30" t="n"/>
      <c r="G218" s="30" t="n"/>
      <c r="H218" s="33">
        <f>IF(A218="","",SUMIFS(Movimientos!$D$2:$D$3001,Movimientos!$B$2:$B$3001,A218,Movimientos!$C$2:$C$3001,"Entrada"))</f>
        <v/>
      </c>
      <c r="I218" s="33">
        <f>IF(A218="","",SUMIFS(Movimientos!$D$2:$D$3001,Movimientos!$B$2:$B$3001,A218,Movimientos!$C$2:$C$3001,"Venta"))</f>
        <v/>
      </c>
      <c r="J218" s="33">
        <f>IF(A218="","",F218+H218-I218)</f>
        <v/>
      </c>
      <c r="K218" s="33">
        <f>IF(A218="","",IF(J218&lt;=G218,"REPONER","OK"))</f>
        <v/>
      </c>
    </row>
    <row r="219" ht="15" customHeight="1" s="21">
      <c r="A219" s="30" t="n"/>
      <c r="B219" s="30" t="n"/>
      <c r="C219" s="31" t="n"/>
      <c r="D219" s="31" t="n"/>
      <c r="E219" s="32">
        <f>IF(A219="","",D219-C219)</f>
        <v/>
      </c>
      <c r="F219" s="30" t="n"/>
      <c r="G219" s="30" t="n"/>
      <c r="H219" s="33">
        <f>IF(A219="","",SUMIFS(Movimientos!$D$2:$D$3001,Movimientos!$B$2:$B$3001,A219,Movimientos!$C$2:$C$3001,"Entrada"))</f>
        <v/>
      </c>
      <c r="I219" s="33">
        <f>IF(A219="","",SUMIFS(Movimientos!$D$2:$D$3001,Movimientos!$B$2:$B$3001,A219,Movimientos!$C$2:$C$3001,"Venta"))</f>
        <v/>
      </c>
      <c r="J219" s="33">
        <f>IF(A219="","",F219+H219-I219)</f>
        <v/>
      </c>
      <c r="K219" s="33">
        <f>IF(A219="","",IF(J219&lt;=G219,"REPONER","OK"))</f>
        <v/>
      </c>
    </row>
    <row r="220" ht="15" customHeight="1" s="21">
      <c r="A220" s="30" t="n"/>
      <c r="B220" s="30" t="n"/>
      <c r="C220" s="31" t="n"/>
      <c r="D220" s="31" t="n"/>
      <c r="E220" s="32">
        <f>IF(A220="","",D220-C220)</f>
        <v/>
      </c>
      <c r="F220" s="30" t="n"/>
      <c r="G220" s="30" t="n"/>
      <c r="H220" s="33">
        <f>IF(A220="","",SUMIFS(Movimientos!$D$2:$D$3001,Movimientos!$B$2:$B$3001,A220,Movimientos!$C$2:$C$3001,"Entrada"))</f>
        <v/>
      </c>
      <c r="I220" s="33">
        <f>IF(A220="","",SUMIFS(Movimientos!$D$2:$D$3001,Movimientos!$B$2:$B$3001,A220,Movimientos!$C$2:$C$3001,"Venta"))</f>
        <v/>
      </c>
      <c r="J220" s="33">
        <f>IF(A220="","",F220+H220-I220)</f>
        <v/>
      </c>
      <c r="K220" s="33">
        <f>IF(A220="","",IF(J220&lt;=G220,"REPONER","OK"))</f>
        <v/>
      </c>
    </row>
    <row r="221" ht="15" customHeight="1" s="21">
      <c r="A221" s="30" t="n"/>
      <c r="B221" s="30" t="n"/>
      <c r="C221" s="31" t="n"/>
      <c r="D221" s="31" t="n"/>
      <c r="E221" s="32">
        <f>IF(A221="","",D221-C221)</f>
        <v/>
      </c>
      <c r="F221" s="30" t="n"/>
      <c r="G221" s="30" t="n"/>
      <c r="H221" s="33">
        <f>IF(A221="","",SUMIFS(Movimientos!$D$2:$D$3001,Movimientos!$B$2:$B$3001,A221,Movimientos!$C$2:$C$3001,"Entrada"))</f>
        <v/>
      </c>
      <c r="I221" s="33">
        <f>IF(A221="","",SUMIFS(Movimientos!$D$2:$D$3001,Movimientos!$B$2:$B$3001,A221,Movimientos!$C$2:$C$3001,"Venta"))</f>
        <v/>
      </c>
      <c r="J221" s="33">
        <f>IF(A221="","",F221+H221-I221)</f>
        <v/>
      </c>
      <c r="K221" s="33">
        <f>IF(A221="","",IF(J221&lt;=G221,"REPONER","OK"))</f>
        <v/>
      </c>
    </row>
    <row r="222" ht="15" customHeight="1" s="21">
      <c r="A222" s="30" t="n"/>
      <c r="B222" s="30" t="n"/>
      <c r="C222" s="31" t="n"/>
      <c r="D222" s="31" t="n"/>
      <c r="E222" s="32">
        <f>IF(A222="","",D222-C222)</f>
        <v/>
      </c>
      <c r="F222" s="30" t="n"/>
      <c r="G222" s="30" t="n"/>
      <c r="H222" s="33">
        <f>IF(A222="","",SUMIFS(Movimientos!$D$2:$D$3001,Movimientos!$B$2:$B$3001,A222,Movimientos!$C$2:$C$3001,"Entrada"))</f>
        <v/>
      </c>
      <c r="I222" s="33">
        <f>IF(A222="","",SUMIFS(Movimientos!$D$2:$D$3001,Movimientos!$B$2:$B$3001,A222,Movimientos!$C$2:$C$3001,"Venta"))</f>
        <v/>
      </c>
      <c r="J222" s="33">
        <f>IF(A222="","",F222+H222-I222)</f>
        <v/>
      </c>
      <c r="K222" s="33">
        <f>IF(A222="","",IF(J222&lt;=G222,"REPONER","OK"))</f>
        <v/>
      </c>
    </row>
    <row r="223" ht="15" customHeight="1" s="21">
      <c r="A223" s="30" t="n"/>
      <c r="B223" s="30" t="n"/>
      <c r="C223" s="31" t="n"/>
      <c r="D223" s="31" t="n"/>
      <c r="E223" s="32">
        <f>IF(A223="","",D223-C223)</f>
        <v/>
      </c>
      <c r="F223" s="30" t="n"/>
      <c r="G223" s="30" t="n"/>
      <c r="H223" s="33">
        <f>IF(A223="","",SUMIFS(Movimientos!$D$2:$D$3001,Movimientos!$B$2:$B$3001,A223,Movimientos!$C$2:$C$3001,"Entrada"))</f>
        <v/>
      </c>
      <c r="I223" s="33">
        <f>IF(A223="","",SUMIFS(Movimientos!$D$2:$D$3001,Movimientos!$B$2:$B$3001,A223,Movimientos!$C$2:$C$3001,"Venta"))</f>
        <v/>
      </c>
      <c r="J223" s="33">
        <f>IF(A223="","",F223+H223-I223)</f>
        <v/>
      </c>
      <c r="K223" s="33">
        <f>IF(A223="","",IF(J223&lt;=G223,"REPONER","OK"))</f>
        <v/>
      </c>
    </row>
    <row r="224" ht="15" customHeight="1" s="21">
      <c r="A224" s="30" t="n"/>
      <c r="B224" s="30" t="n"/>
      <c r="C224" s="31" t="n"/>
      <c r="D224" s="31" t="n"/>
      <c r="E224" s="32">
        <f>IF(A224="","",D224-C224)</f>
        <v/>
      </c>
      <c r="F224" s="30" t="n"/>
      <c r="G224" s="30" t="n"/>
      <c r="H224" s="33">
        <f>IF(A224="","",SUMIFS(Movimientos!$D$2:$D$3001,Movimientos!$B$2:$B$3001,A224,Movimientos!$C$2:$C$3001,"Entrada"))</f>
        <v/>
      </c>
      <c r="I224" s="33">
        <f>IF(A224="","",SUMIFS(Movimientos!$D$2:$D$3001,Movimientos!$B$2:$B$3001,A224,Movimientos!$C$2:$C$3001,"Venta"))</f>
        <v/>
      </c>
      <c r="J224" s="33">
        <f>IF(A224="","",F224+H224-I224)</f>
        <v/>
      </c>
      <c r="K224" s="33">
        <f>IF(A224="","",IF(J224&lt;=G224,"REPONER","OK"))</f>
        <v/>
      </c>
    </row>
    <row r="225" ht="15" customHeight="1" s="21">
      <c r="A225" s="30" t="n"/>
      <c r="B225" s="30" t="n"/>
      <c r="C225" s="31" t="n"/>
      <c r="D225" s="31" t="n"/>
      <c r="E225" s="32">
        <f>IF(A225="","",D225-C225)</f>
        <v/>
      </c>
      <c r="F225" s="30" t="n"/>
      <c r="G225" s="30" t="n"/>
      <c r="H225" s="33">
        <f>IF(A225="","",SUMIFS(Movimientos!$D$2:$D$3001,Movimientos!$B$2:$B$3001,A225,Movimientos!$C$2:$C$3001,"Entrada"))</f>
        <v/>
      </c>
      <c r="I225" s="33">
        <f>IF(A225="","",SUMIFS(Movimientos!$D$2:$D$3001,Movimientos!$B$2:$B$3001,A225,Movimientos!$C$2:$C$3001,"Venta"))</f>
        <v/>
      </c>
      <c r="J225" s="33">
        <f>IF(A225="","",F225+H225-I225)</f>
        <v/>
      </c>
      <c r="K225" s="33">
        <f>IF(A225="","",IF(J225&lt;=G225,"REPONER","OK"))</f>
        <v/>
      </c>
    </row>
    <row r="226" ht="15" customHeight="1" s="21">
      <c r="A226" s="30" t="n"/>
      <c r="B226" s="30" t="n"/>
      <c r="C226" s="31" t="n"/>
      <c r="D226" s="31" t="n"/>
      <c r="E226" s="32">
        <f>IF(A226="","",D226-C226)</f>
        <v/>
      </c>
      <c r="F226" s="30" t="n"/>
      <c r="G226" s="30" t="n"/>
      <c r="H226" s="33">
        <f>IF(A226="","",SUMIFS(Movimientos!$D$2:$D$3001,Movimientos!$B$2:$B$3001,A226,Movimientos!$C$2:$C$3001,"Entrada"))</f>
        <v/>
      </c>
      <c r="I226" s="33">
        <f>IF(A226="","",SUMIFS(Movimientos!$D$2:$D$3001,Movimientos!$B$2:$B$3001,A226,Movimientos!$C$2:$C$3001,"Venta"))</f>
        <v/>
      </c>
      <c r="J226" s="33">
        <f>IF(A226="","",F226+H226-I226)</f>
        <v/>
      </c>
      <c r="K226" s="33">
        <f>IF(A226="","",IF(J226&lt;=G226,"REPONER","OK"))</f>
        <v/>
      </c>
    </row>
    <row r="227" ht="15" customHeight="1" s="21">
      <c r="A227" s="30" t="n"/>
      <c r="B227" s="30" t="n"/>
      <c r="C227" s="31" t="n"/>
      <c r="D227" s="31" t="n"/>
      <c r="E227" s="32">
        <f>IF(A227="","",D227-C227)</f>
        <v/>
      </c>
      <c r="F227" s="30" t="n"/>
      <c r="G227" s="30" t="n"/>
      <c r="H227" s="33">
        <f>IF(A227="","",SUMIFS(Movimientos!$D$2:$D$3001,Movimientos!$B$2:$B$3001,A227,Movimientos!$C$2:$C$3001,"Entrada"))</f>
        <v/>
      </c>
      <c r="I227" s="33">
        <f>IF(A227="","",SUMIFS(Movimientos!$D$2:$D$3001,Movimientos!$B$2:$B$3001,A227,Movimientos!$C$2:$C$3001,"Venta"))</f>
        <v/>
      </c>
      <c r="J227" s="33">
        <f>IF(A227="","",F227+H227-I227)</f>
        <v/>
      </c>
      <c r="K227" s="33">
        <f>IF(A227="","",IF(J227&lt;=G227,"REPONER","OK"))</f>
        <v/>
      </c>
    </row>
    <row r="228" ht="15" customHeight="1" s="21">
      <c r="A228" s="30" t="n"/>
      <c r="B228" s="30" t="n"/>
      <c r="C228" s="31" t="n"/>
      <c r="D228" s="31" t="n"/>
      <c r="E228" s="32">
        <f>IF(A228="","",D228-C228)</f>
        <v/>
      </c>
      <c r="F228" s="30" t="n"/>
      <c r="G228" s="30" t="n"/>
      <c r="H228" s="33">
        <f>IF(A228="","",SUMIFS(Movimientos!$D$2:$D$3001,Movimientos!$B$2:$B$3001,A228,Movimientos!$C$2:$C$3001,"Entrada"))</f>
        <v/>
      </c>
      <c r="I228" s="33">
        <f>IF(A228="","",SUMIFS(Movimientos!$D$2:$D$3001,Movimientos!$B$2:$B$3001,A228,Movimientos!$C$2:$C$3001,"Venta"))</f>
        <v/>
      </c>
      <c r="J228" s="33">
        <f>IF(A228="","",F228+H228-I228)</f>
        <v/>
      </c>
      <c r="K228" s="33">
        <f>IF(A228="","",IF(J228&lt;=G228,"REPONER","OK"))</f>
        <v/>
      </c>
    </row>
    <row r="229" ht="15" customHeight="1" s="21">
      <c r="A229" s="30" t="n"/>
      <c r="B229" s="30" t="n"/>
      <c r="C229" s="31" t="n"/>
      <c r="D229" s="31" t="n"/>
      <c r="E229" s="32">
        <f>IF(A229="","",D229-C229)</f>
        <v/>
      </c>
      <c r="F229" s="30" t="n"/>
      <c r="G229" s="30" t="n"/>
      <c r="H229" s="33">
        <f>IF(A229="","",SUMIFS(Movimientos!$D$2:$D$3001,Movimientos!$B$2:$B$3001,A229,Movimientos!$C$2:$C$3001,"Entrada"))</f>
        <v/>
      </c>
      <c r="I229" s="33">
        <f>IF(A229="","",SUMIFS(Movimientos!$D$2:$D$3001,Movimientos!$B$2:$B$3001,A229,Movimientos!$C$2:$C$3001,"Venta"))</f>
        <v/>
      </c>
      <c r="J229" s="33">
        <f>IF(A229="","",F229+H229-I229)</f>
        <v/>
      </c>
      <c r="K229" s="33">
        <f>IF(A229="","",IF(J229&lt;=G229,"REPONER","OK"))</f>
        <v/>
      </c>
    </row>
    <row r="230" ht="15" customHeight="1" s="21">
      <c r="A230" s="30" t="n"/>
      <c r="B230" s="30" t="n"/>
      <c r="C230" s="31" t="n"/>
      <c r="D230" s="31" t="n"/>
      <c r="E230" s="32">
        <f>IF(A230="","",D230-C230)</f>
        <v/>
      </c>
      <c r="F230" s="30" t="n"/>
      <c r="G230" s="30" t="n"/>
      <c r="H230" s="33">
        <f>IF(A230="","",SUMIFS(Movimientos!$D$2:$D$3001,Movimientos!$B$2:$B$3001,A230,Movimientos!$C$2:$C$3001,"Entrada"))</f>
        <v/>
      </c>
      <c r="I230" s="33">
        <f>IF(A230="","",SUMIFS(Movimientos!$D$2:$D$3001,Movimientos!$B$2:$B$3001,A230,Movimientos!$C$2:$C$3001,"Venta"))</f>
        <v/>
      </c>
      <c r="J230" s="33">
        <f>IF(A230="","",F230+H230-I230)</f>
        <v/>
      </c>
      <c r="K230" s="33">
        <f>IF(A230="","",IF(J230&lt;=G230,"REPONER","OK"))</f>
        <v/>
      </c>
    </row>
    <row r="231" ht="15" customHeight="1" s="21">
      <c r="A231" s="30" t="n"/>
      <c r="B231" s="30" t="n"/>
      <c r="C231" s="31" t="n"/>
      <c r="D231" s="31" t="n"/>
      <c r="E231" s="32">
        <f>IF(A231="","",D231-C231)</f>
        <v/>
      </c>
      <c r="F231" s="30" t="n"/>
      <c r="G231" s="30" t="n"/>
      <c r="H231" s="33">
        <f>IF(A231="","",SUMIFS(Movimientos!$D$2:$D$3001,Movimientos!$B$2:$B$3001,A231,Movimientos!$C$2:$C$3001,"Entrada"))</f>
        <v/>
      </c>
      <c r="I231" s="33">
        <f>IF(A231="","",SUMIFS(Movimientos!$D$2:$D$3001,Movimientos!$B$2:$B$3001,A231,Movimientos!$C$2:$C$3001,"Venta"))</f>
        <v/>
      </c>
      <c r="J231" s="33">
        <f>IF(A231="","",F231+H231-I231)</f>
        <v/>
      </c>
      <c r="K231" s="33">
        <f>IF(A231="","",IF(J231&lt;=G231,"REPONER","OK"))</f>
        <v/>
      </c>
    </row>
    <row r="232" ht="15" customHeight="1" s="21">
      <c r="A232" s="30" t="n"/>
      <c r="B232" s="30" t="n"/>
      <c r="C232" s="31" t="n"/>
      <c r="D232" s="31" t="n"/>
      <c r="E232" s="32">
        <f>IF(A232="","",D232-C232)</f>
        <v/>
      </c>
      <c r="F232" s="30" t="n"/>
      <c r="G232" s="30" t="n"/>
      <c r="H232" s="33">
        <f>IF(A232="","",SUMIFS(Movimientos!$D$2:$D$3001,Movimientos!$B$2:$B$3001,A232,Movimientos!$C$2:$C$3001,"Entrada"))</f>
        <v/>
      </c>
      <c r="I232" s="33">
        <f>IF(A232="","",SUMIFS(Movimientos!$D$2:$D$3001,Movimientos!$B$2:$B$3001,A232,Movimientos!$C$2:$C$3001,"Venta"))</f>
        <v/>
      </c>
      <c r="J232" s="33">
        <f>IF(A232="","",F232+H232-I232)</f>
        <v/>
      </c>
      <c r="K232" s="33">
        <f>IF(A232="","",IF(J232&lt;=G232,"REPONER","OK"))</f>
        <v/>
      </c>
    </row>
    <row r="233" ht="15" customHeight="1" s="21">
      <c r="A233" s="30" t="n"/>
      <c r="B233" s="30" t="n"/>
      <c r="C233" s="31" t="n"/>
      <c r="D233" s="31" t="n"/>
      <c r="E233" s="32">
        <f>IF(A233="","",D233-C233)</f>
        <v/>
      </c>
      <c r="F233" s="30" t="n"/>
      <c r="G233" s="30" t="n"/>
      <c r="H233" s="33">
        <f>IF(A233="","",SUMIFS(Movimientos!$D$2:$D$3001,Movimientos!$B$2:$B$3001,A233,Movimientos!$C$2:$C$3001,"Entrada"))</f>
        <v/>
      </c>
      <c r="I233" s="33">
        <f>IF(A233="","",SUMIFS(Movimientos!$D$2:$D$3001,Movimientos!$B$2:$B$3001,A233,Movimientos!$C$2:$C$3001,"Venta"))</f>
        <v/>
      </c>
      <c r="J233" s="33">
        <f>IF(A233="","",F233+H233-I233)</f>
        <v/>
      </c>
      <c r="K233" s="33">
        <f>IF(A233="","",IF(J233&lt;=G233,"REPONER","OK"))</f>
        <v/>
      </c>
    </row>
    <row r="234" ht="15" customHeight="1" s="21">
      <c r="A234" s="30" t="n"/>
      <c r="B234" s="30" t="n"/>
      <c r="C234" s="31" t="n"/>
      <c r="D234" s="31" t="n"/>
      <c r="E234" s="32">
        <f>IF(A234="","",D234-C234)</f>
        <v/>
      </c>
      <c r="F234" s="30" t="n"/>
      <c r="G234" s="30" t="n"/>
      <c r="H234" s="33">
        <f>IF(A234="","",SUMIFS(Movimientos!$D$2:$D$3001,Movimientos!$B$2:$B$3001,A234,Movimientos!$C$2:$C$3001,"Entrada"))</f>
        <v/>
      </c>
      <c r="I234" s="33">
        <f>IF(A234="","",SUMIFS(Movimientos!$D$2:$D$3001,Movimientos!$B$2:$B$3001,A234,Movimientos!$C$2:$C$3001,"Venta"))</f>
        <v/>
      </c>
      <c r="J234" s="33">
        <f>IF(A234="","",F234+H234-I234)</f>
        <v/>
      </c>
      <c r="K234" s="33">
        <f>IF(A234="","",IF(J234&lt;=G234,"REPONER","OK"))</f>
        <v/>
      </c>
    </row>
    <row r="235" ht="15" customHeight="1" s="21">
      <c r="A235" s="30" t="n"/>
      <c r="B235" s="30" t="n"/>
      <c r="C235" s="31" t="n"/>
      <c r="D235" s="31" t="n"/>
      <c r="E235" s="32">
        <f>IF(A235="","",D235-C235)</f>
        <v/>
      </c>
      <c r="F235" s="30" t="n"/>
      <c r="G235" s="30" t="n"/>
      <c r="H235" s="33">
        <f>IF(A235="","",SUMIFS(Movimientos!$D$2:$D$3001,Movimientos!$B$2:$B$3001,A235,Movimientos!$C$2:$C$3001,"Entrada"))</f>
        <v/>
      </c>
      <c r="I235" s="33">
        <f>IF(A235="","",SUMIFS(Movimientos!$D$2:$D$3001,Movimientos!$B$2:$B$3001,A235,Movimientos!$C$2:$C$3001,"Venta"))</f>
        <v/>
      </c>
      <c r="J235" s="33">
        <f>IF(A235="","",F235+H235-I235)</f>
        <v/>
      </c>
      <c r="K235" s="33">
        <f>IF(A235="","",IF(J235&lt;=G235,"REPONER","OK"))</f>
        <v/>
      </c>
    </row>
    <row r="236" ht="15" customHeight="1" s="21">
      <c r="A236" s="30" t="n"/>
      <c r="B236" s="30" t="n"/>
      <c r="C236" s="31" t="n"/>
      <c r="D236" s="31" t="n"/>
      <c r="E236" s="32">
        <f>IF(A236="","",D236-C236)</f>
        <v/>
      </c>
      <c r="F236" s="30" t="n"/>
      <c r="G236" s="30" t="n"/>
      <c r="H236" s="33">
        <f>IF(A236="","",SUMIFS(Movimientos!$D$2:$D$3001,Movimientos!$B$2:$B$3001,A236,Movimientos!$C$2:$C$3001,"Entrada"))</f>
        <v/>
      </c>
      <c r="I236" s="33">
        <f>IF(A236="","",SUMIFS(Movimientos!$D$2:$D$3001,Movimientos!$B$2:$B$3001,A236,Movimientos!$C$2:$C$3001,"Venta"))</f>
        <v/>
      </c>
      <c r="J236" s="33">
        <f>IF(A236="","",F236+H236-I236)</f>
        <v/>
      </c>
      <c r="K236" s="33">
        <f>IF(A236="","",IF(J236&lt;=G236,"REPONER","OK"))</f>
        <v/>
      </c>
    </row>
    <row r="237" ht="15" customHeight="1" s="21">
      <c r="A237" s="30" t="n"/>
      <c r="B237" s="30" t="n"/>
      <c r="C237" s="31" t="n"/>
      <c r="D237" s="31" t="n"/>
      <c r="E237" s="32">
        <f>IF(A237="","",D237-C237)</f>
        <v/>
      </c>
      <c r="F237" s="30" t="n"/>
      <c r="G237" s="30" t="n"/>
      <c r="H237" s="33">
        <f>IF(A237="","",SUMIFS(Movimientos!$D$2:$D$3001,Movimientos!$B$2:$B$3001,A237,Movimientos!$C$2:$C$3001,"Entrada"))</f>
        <v/>
      </c>
      <c r="I237" s="33">
        <f>IF(A237="","",SUMIFS(Movimientos!$D$2:$D$3001,Movimientos!$B$2:$B$3001,A237,Movimientos!$C$2:$C$3001,"Venta"))</f>
        <v/>
      </c>
      <c r="J237" s="33">
        <f>IF(A237="","",F237+H237-I237)</f>
        <v/>
      </c>
      <c r="K237" s="33">
        <f>IF(A237="","",IF(J237&lt;=G237,"REPONER","OK"))</f>
        <v/>
      </c>
    </row>
    <row r="238" ht="15" customHeight="1" s="21">
      <c r="A238" s="30" t="n"/>
      <c r="B238" s="30" t="n"/>
      <c r="C238" s="31" t="n"/>
      <c r="D238" s="31" t="n"/>
      <c r="E238" s="32">
        <f>IF(A238="","",D238-C238)</f>
        <v/>
      </c>
      <c r="F238" s="30" t="n"/>
      <c r="G238" s="30" t="n"/>
      <c r="H238" s="33">
        <f>IF(A238="","",SUMIFS(Movimientos!$D$2:$D$3001,Movimientos!$B$2:$B$3001,A238,Movimientos!$C$2:$C$3001,"Entrada"))</f>
        <v/>
      </c>
      <c r="I238" s="33">
        <f>IF(A238="","",SUMIFS(Movimientos!$D$2:$D$3001,Movimientos!$B$2:$B$3001,A238,Movimientos!$C$2:$C$3001,"Venta"))</f>
        <v/>
      </c>
      <c r="J238" s="33">
        <f>IF(A238="","",F238+H238-I238)</f>
        <v/>
      </c>
      <c r="K238" s="33">
        <f>IF(A238="","",IF(J238&lt;=G238,"REPONER","OK"))</f>
        <v/>
      </c>
    </row>
    <row r="239" ht="15" customHeight="1" s="21">
      <c r="A239" s="30" t="n"/>
      <c r="B239" s="30" t="n"/>
      <c r="C239" s="31" t="n"/>
      <c r="D239" s="31" t="n"/>
      <c r="E239" s="32">
        <f>IF(A239="","",D239-C239)</f>
        <v/>
      </c>
      <c r="F239" s="30" t="n"/>
      <c r="G239" s="30" t="n"/>
      <c r="H239" s="33">
        <f>IF(A239="","",SUMIFS(Movimientos!$D$2:$D$3001,Movimientos!$B$2:$B$3001,A239,Movimientos!$C$2:$C$3001,"Entrada"))</f>
        <v/>
      </c>
      <c r="I239" s="33">
        <f>IF(A239="","",SUMIFS(Movimientos!$D$2:$D$3001,Movimientos!$B$2:$B$3001,A239,Movimientos!$C$2:$C$3001,"Venta"))</f>
        <v/>
      </c>
      <c r="J239" s="33">
        <f>IF(A239="","",F239+H239-I239)</f>
        <v/>
      </c>
      <c r="K239" s="33">
        <f>IF(A239="","",IF(J239&lt;=G239,"REPONER","OK"))</f>
        <v/>
      </c>
    </row>
    <row r="240" ht="15" customHeight="1" s="21">
      <c r="A240" s="30" t="n"/>
      <c r="B240" s="30" t="n"/>
      <c r="C240" s="31" t="n"/>
      <c r="D240" s="31" t="n"/>
      <c r="E240" s="32">
        <f>IF(A240="","",D240-C240)</f>
        <v/>
      </c>
      <c r="F240" s="30" t="n"/>
      <c r="G240" s="30" t="n"/>
      <c r="H240" s="33">
        <f>IF(A240="","",SUMIFS(Movimientos!$D$2:$D$3001,Movimientos!$B$2:$B$3001,A240,Movimientos!$C$2:$C$3001,"Entrada"))</f>
        <v/>
      </c>
      <c r="I240" s="33">
        <f>IF(A240="","",SUMIFS(Movimientos!$D$2:$D$3001,Movimientos!$B$2:$B$3001,A240,Movimientos!$C$2:$C$3001,"Venta"))</f>
        <v/>
      </c>
      <c r="J240" s="33">
        <f>IF(A240="","",F240+H240-I240)</f>
        <v/>
      </c>
      <c r="K240" s="33">
        <f>IF(A240="","",IF(J240&lt;=G240,"REPONER","OK"))</f>
        <v/>
      </c>
    </row>
    <row r="241" ht="15" customHeight="1" s="21">
      <c r="A241" s="30" t="n"/>
      <c r="B241" s="30" t="n"/>
      <c r="C241" s="31" t="n"/>
      <c r="D241" s="31" t="n"/>
      <c r="E241" s="32">
        <f>IF(A241="","",D241-C241)</f>
        <v/>
      </c>
      <c r="F241" s="30" t="n"/>
      <c r="G241" s="30" t="n"/>
      <c r="H241" s="33">
        <f>IF(A241="","",SUMIFS(Movimientos!$D$2:$D$3001,Movimientos!$B$2:$B$3001,A241,Movimientos!$C$2:$C$3001,"Entrada"))</f>
        <v/>
      </c>
      <c r="I241" s="33">
        <f>IF(A241="","",SUMIFS(Movimientos!$D$2:$D$3001,Movimientos!$B$2:$B$3001,A241,Movimientos!$C$2:$C$3001,"Venta"))</f>
        <v/>
      </c>
      <c r="J241" s="33">
        <f>IF(A241="","",F241+H241-I241)</f>
        <v/>
      </c>
      <c r="K241" s="33">
        <f>IF(A241="","",IF(J241&lt;=G241,"REPONER","OK"))</f>
        <v/>
      </c>
    </row>
    <row r="242" ht="15" customHeight="1" s="21">
      <c r="A242" s="30" t="n"/>
      <c r="B242" s="30" t="n"/>
      <c r="C242" s="31" t="n"/>
      <c r="D242" s="31" t="n"/>
      <c r="E242" s="32">
        <f>IF(A242="","",D242-C242)</f>
        <v/>
      </c>
      <c r="F242" s="30" t="n"/>
      <c r="G242" s="30" t="n"/>
      <c r="H242" s="33">
        <f>IF(A242="","",SUMIFS(Movimientos!$D$2:$D$3001,Movimientos!$B$2:$B$3001,A242,Movimientos!$C$2:$C$3001,"Entrada"))</f>
        <v/>
      </c>
      <c r="I242" s="33">
        <f>IF(A242="","",SUMIFS(Movimientos!$D$2:$D$3001,Movimientos!$B$2:$B$3001,A242,Movimientos!$C$2:$C$3001,"Venta"))</f>
        <v/>
      </c>
      <c r="J242" s="33">
        <f>IF(A242="","",F242+H242-I242)</f>
        <v/>
      </c>
      <c r="K242" s="33">
        <f>IF(A242="","",IF(J242&lt;=G242,"REPONER","OK"))</f>
        <v/>
      </c>
    </row>
    <row r="243" ht="15" customHeight="1" s="21">
      <c r="A243" s="30" t="n"/>
      <c r="B243" s="30" t="n"/>
      <c r="C243" s="31" t="n"/>
      <c r="D243" s="31" t="n"/>
      <c r="E243" s="32">
        <f>IF(A243="","",D243-C243)</f>
        <v/>
      </c>
      <c r="F243" s="30" t="n"/>
      <c r="G243" s="30" t="n"/>
      <c r="H243" s="33">
        <f>IF(A243="","",SUMIFS(Movimientos!$D$2:$D$3001,Movimientos!$B$2:$B$3001,A243,Movimientos!$C$2:$C$3001,"Entrada"))</f>
        <v/>
      </c>
      <c r="I243" s="33">
        <f>IF(A243="","",SUMIFS(Movimientos!$D$2:$D$3001,Movimientos!$B$2:$B$3001,A243,Movimientos!$C$2:$C$3001,"Venta"))</f>
        <v/>
      </c>
      <c r="J243" s="33">
        <f>IF(A243="","",F243+H243-I243)</f>
        <v/>
      </c>
      <c r="K243" s="33">
        <f>IF(A243="","",IF(J243&lt;=G243,"REPONER","OK"))</f>
        <v/>
      </c>
    </row>
    <row r="244" ht="15" customHeight="1" s="21">
      <c r="A244" s="30" t="n"/>
      <c r="B244" s="30" t="n"/>
      <c r="C244" s="31" t="n"/>
      <c r="D244" s="31" t="n"/>
      <c r="E244" s="32">
        <f>IF(A244="","",D244-C244)</f>
        <v/>
      </c>
      <c r="F244" s="30" t="n"/>
      <c r="G244" s="30" t="n"/>
      <c r="H244" s="33">
        <f>IF(A244="","",SUMIFS(Movimientos!$D$2:$D$3001,Movimientos!$B$2:$B$3001,A244,Movimientos!$C$2:$C$3001,"Entrada"))</f>
        <v/>
      </c>
      <c r="I244" s="33">
        <f>IF(A244="","",SUMIFS(Movimientos!$D$2:$D$3001,Movimientos!$B$2:$B$3001,A244,Movimientos!$C$2:$C$3001,"Venta"))</f>
        <v/>
      </c>
      <c r="J244" s="33">
        <f>IF(A244="","",F244+H244-I244)</f>
        <v/>
      </c>
      <c r="K244" s="33">
        <f>IF(A244="","",IF(J244&lt;=G244,"REPONER","OK"))</f>
        <v/>
      </c>
    </row>
    <row r="245" ht="15" customHeight="1" s="21">
      <c r="A245" s="30" t="n"/>
      <c r="B245" s="30" t="n"/>
      <c r="C245" s="31" t="n"/>
      <c r="D245" s="31" t="n"/>
      <c r="E245" s="32">
        <f>IF(A245="","",D245-C245)</f>
        <v/>
      </c>
      <c r="F245" s="30" t="n"/>
      <c r="G245" s="30" t="n"/>
      <c r="H245" s="33">
        <f>IF(A245="","",SUMIFS(Movimientos!$D$2:$D$3001,Movimientos!$B$2:$B$3001,A245,Movimientos!$C$2:$C$3001,"Entrada"))</f>
        <v/>
      </c>
      <c r="I245" s="33">
        <f>IF(A245="","",SUMIFS(Movimientos!$D$2:$D$3001,Movimientos!$B$2:$B$3001,A245,Movimientos!$C$2:$C$3001,"Venta"))</f>
        <v/>
      </c>
      <c r="J245" s="33">
        <f>IF(A245="","",F245+H245-I245)</f>
        <v/>
      </c>
      <c r="K245" s="33">
        <f>IF(A245="","",IF(J245&lt;=G245,"REPONER","OK"))</f>
        <v/>
      </c>
    </row>
    <row r="246" ht="15" customHeight="1" s="21">
      <c r="A246" s="30" t="n"/>
      <c r="B246" s="30" t="n"/>
      <c r="C246" s="31" t="n"/>
      <c r="D246" s="31" t="n"/>
      <c r="E246" s="32">
        <f>IF(A246="","",D246-C246)</f>
        <v/>
      </c>
      <c r="F246" s="30" t="n"/>
      <c r="G246" s="30" t="n"/>
      <c r="H246" s="33">
        <f>IF(A246="","",SUMIFS(Movimientos!$D$2:$D$3001,Movimientos!$B$2:$B$3001,A246,Movimientos!$C$2:$C$3001,"Entrada"))</f>
        <v/>
      </c>
      <c r="I246" s="33">
        <f>IF(A246="","",SUMIFS(Movimientos!$D$2:$D$3001,Movimientos!$B$2:$B$3001,A246,Movimientos!$C$2:$C$3001,"Venta"))</f>
        <v/>
      </c>
      <c r="J246" s="33">
        <f>IF(A246="","",F246+H246-I246)</f>
        <v/>
      </c>
      <c r="K246" s="33">
        <f>IF(A246="","",IF(J246&lt;=G246,"REPONER","OK"))</f>
        <v/>
      </c>
    </row>
    <row r="247" ht="15" customHeight="1" s="21">
      <c r="A247" s="30" t="n"/>
      <c r="B247" s="30" t="n"/>
      <c r="C247" s="31" t="n"/>
      <c r="D247" s="31" t="n"/>
      <c r="E247" s="32">
        <f>IF(A247="","",D247-C247)</f>
        <v/>
      </c>
      <c r="F247" s="30" t="n"/>
      <c r="G247" s="30" t="n"/>
      <c r="H247" s="33">
        <f>IF(A247="","",SUMIFS(Movimientos!$D$2:$D$3001,Movimientos!$B$2:$B$3001,A247,Movimientos!$C$2:$C$3001,"Entrada"))</f>
        <v/>
      </c>
      <c r="I247" s="33">
        <f>IF(A247="","",SUMIFS(Movimientos!$D$2:$D$3001,Movimientos!$B$2:$B$3001,A247,Movimientos!$C$2:$C$3001,"Venta"))</f>
        <v/>
      </c>
      <c r="J247" s="33">
        <f>IF(A247="","",F247+H247-I247)</f>
        <v/>
      </c>
      <c r="K247" s="33">
        <f>IF(A247="","",IF(J247&lt;=G247,"REPONER","OK"))</f>
        <v/>
      </c>
    </row>
    <row r="248" ht="15" customHeight="1" s="21">
      <c r="A248" s="30" t="n"/>
      <c r="B248" s="30" t="n"/>
      <c r="C248" s="31" t="n"/>
      <c r="D248" s="31" t="n"/>
      <c r="E248" s="32">
        <f>IF(A248="","",D248-C248)</f>
        <v/>
      </c>
      <c r="F248" s="30" t="n"/>
      <c r="G248" s="30" t="n"/>
      <c r="H248" s="33">
        <f>IF(A248="","",SUMIFS(Movimientos!$D$2:$D$3001,Movimientos!$B$2:$B$3001,A248,Movimientos!$C$2:$C$3001,"Entrada"))</f>
        <v/>
      </c>
      <c r="I248" s="33">
        <f>IF(A248="","",SUMIFS(Movimientos!$D$2:$D$3001,Movimientos!$B$2:$B$3001,A248,Movimientos!$C$2:$C$3001,"Venta"))</f>
        <v/>
      </c>
      <c r="J248" s="33">
        <f>IF(A248="","",F248+H248-I248)</f>
        <v/>
      </c>
      <c r="K248" s="33">
        <f>IF(A248="","",IF(J248&lt;=G248,"REPONER","OK"))</f>
        <v/>
      </c>
    </row>
    <row r="249" ht="15" customHeight="1" s="21">
      <c r="A249" s="30" t="n"/>
      <c r="B249" s="30" t="n"/>
      <c r="C249" s="31" t="n"/>
      <c r="D249" s="31" t="n"/>
      <c r="E249" s="32">
        <f>IF(A249="","",D249-C249)</f>
        <v/>
      </c>
      <c r="F249" s="30" t="n"/>
      <c r="G249" s="30" t="n"/>
      <c r="H249" s="33">
        <f>IF(A249="","",SUMIFS(Movimientos!$D$2:$D$3001,Movimientos!$B$2:$B$3001,A249,Movimientos!$C$2:$C$3001,"Entrada"))</f>
        <v/>
      </c>
      <c r="I249" s="33">
        <f>IF(A249="","",SUMIFS(Movimientos!$D$2:$D$3001,Movimientos!$B$2:$B$3001,A249,Movimientos!$C$2:$C$3001,"Venta"))</f>
        <v/>
      </c>
      <c r="J249" s="33">
        <f>IF(A249="","",F249+H249-I249)</f>
        <v/>
      </c>
      <c r="K249" s="33">
        <f>IF(A249="","",IF(J249&lt;=G249,"REPONER","OK"))</f>
        <v/>
      </c>
    </row>
    <row r="250" ht="15" customHeight="1" s="21">
      <c r="A250" s="30" t="n"/>
      <c r="B250" s="30" t="n"/>
      <c r="C250" s="31" t="n"/>
      <c r="D250" s="31" t="n"/>
      <c r="E250" s="32">
        <f>IF(A250="","",D250-C250)</f>
        <v/>
      </c>
      <c r="F250" s="30" t="n"/>
      <c r="G250" s="30" t="n"/>
      <c r="H250" s="33">
        <f>IF(A250="","",SUMIFS(Movimientos!$D$2:$D$3001,Movimientos!$B$2:$B$3001,A250,Movimientos!$C$2:$C$3001,"Entrada"))</f>
        <v/>
      </c>
      <c r="I250" s="33">
        <f>IF(A250="","",SUMIFS(Movimientos!$D$2:$D$3001,Movimientos!$B$2:$B$3001,A250,Movimientos!$C$2:$C$3001,"Venta"))</f>
        <v/>
      </c>
      <c r="J250" s="33">
        <f>IF(A250="","",F250+H250-I250)</f>
        <v/>
      </c>
      <c r="K250" s="33">
        <f>IF(A250="","",IF(J250&lt;=G250,"REPONER","OK"))</f>
        <v/>
      </c>
    </row>
    <row r="251" ht="15" customHeight="1" s="21">
      <c r="A251" s="30" t="n"/>
      <c r="B251" s="30" t="n"/>
      <c r="C251" s="31" t="n"/>
      <c r="D251" s="31" t="n"/>
      <c r="E251" s="32">
        <f>IF(A251="","",D251-C251)</f>
        <v/>
      </c>
      <c r="F251" s="30" t="n"/>
      <c r="G251" s="30" t="n"/>
      <c r="H251" s="33">
        <f>IF(A251="","",SUMIFS(Movimientos!$D$2:$D$3001,Movimientos!$B$2:$B$3001,A251,Movimientos!$C$2:$C$3001,"Entrada"))</f>
        <v/>
      </c>
      <c r="I251" s="33">
        <f>IF(A251="","",SUMIFS(Movimientos!$D$2:$D$3001,Movimientos!$B$2:$B$3001,A251,Movimientos!$C$2:$C$3001,"Venta"))</f>
        <v/>
      </c>
      <c r="J251" s="33">
        <f>IF(A251="","",F251+H251-I251)</f>
        <v/>
      </c>
      <c r="K251" s="33">
        <f>IF(A251="","",IF(J251&lt;=G251,"REPONER","OK"))</f>
        <v/>
      </c>
    </row>
    <row r="252" ht="15" customHeight="1" s="21">
      <c r="A252" s="30" t="n"/>
      <c r="B252" s="30" t="n"/>
      <c r="C252" s="31" t="n"/>
      <c r="D252" s="31" t="n"/>
      <c r="E252" s="32">
        <f>IF(A252="","",D252-C252)</f>
        <v/>
      </c>
      <c r="F252" s="30" t="n"/>
      <c r="G252" s="30" t="n"/>
      <c r="H252" s="33">
        <f>IF(A252="","",SUMIFS(Movimientos!$D$2:$D$3001,Movimientos!$B$2:$B$3001,A252,Movimientos!$C$2:$C$3001,"Entrada"))</f>
        <v/>
      </c>
      <c r="I252" s="33">
        <f>IF(A252="","",SUMIFS(Movimientos!$D$2:$D$3001,Movimientos!$B$2:$B$3001,A252,Movimientos!$C$2:$C$3001,"Venta"))</f>
        <v/>
      </c>
      <c r="J252" s="33">
        <f>IF(A252="","",F252+H252-I252)</f>
        <v/>
      </c>
      <c r="K252" s="33">
        <f>IF(A252="","",IF(J252&lt;=G252,"REPONER","OK"))</f>
        <v/>
      </c>
    </row>
    <row r="253" ht="15" customHeight="1" s="21">
      <c r="A253" s="30" t="n"/>
      <c r="B253" s="30" t="n"/>
      <c r="C253" s="31" t="n"/>
      <c r="D253" s="31" t="n"/>
      <c r="E253" s="32">
        <f>IF(A253="","",D253-C253)</f>
        <v/>
      </c>
      <c r="F253" s="30" t="n"/>
      <c r="G253" s="30" t="n"/>
      <c r="H253" s="33">
        <f>IF(A253="","",SUMIFS(Movimientos!$D$2:$D$3001,Movimientos!$B$2:$B$3001,A253,Movimientos!$C$2:$C$3001,"Entrada"))</f>
        <v/>
      </c>
      <c r="I253" s="33">
        <f>IF(A253="","",SUMIFS(Movimientos!$D$2:$D$3001,Movimientos!$B$2:$B$3001,A253,Movimientos!$C$2:$C$3001,"Venta"))</f>
        <v/>
      </c>
      <c r="J253" s="33">
        <f>IF(A253="","",F253+H253-I253)</f>
        <v/>
      </c>
      <c r="K253" s="33">
        <f>IF(A253="","",IF(J253&lt;=G253,"REPONER","OK"))</f>
        <v/>
      </c>
    </row>
    <row r="254" ht="15" customHeight="1" s="21">
      <c r="A254" s="30" t="n"/>
      <c r="B254" s="30" t="n"/>
      <c r="C254" s="31" t="n"/>
      <c r="D254" s="31" t="n"/>
      <c r="E254" s="32">
        <f>IF(A254="","",D254-C254)</f>
        <v/>
      </c>
      <c r="F254" s="30" t="n"/>
      <c r="G254" s="30" t="n"/>
      <c r="H254" s="33">
        <f>IF(A254="","",SUMIFS(Movimientos!$D$2:$D$3001,Movimientos!$B$2:$B$3001,A254,Movimientos!$C$2:$C$3001,"Entrada"))</f>
        <v/>
      </c>
      <c r="I254" s="33">
        <f>IF(A254="","",SUMIFS(Movimientos!$D$2:$D$3001,Movimientos!$B$2:$B$3001,A254,Movimientos!$C$2:$C$3001,"Venta"))</f>
        <v/>
      </c>
      <c r="J254" s="33">
        <f>IF(A254="","",F254+H254-I254)</f>
        <v/>
      </c>
      <c r="K254" s="33">
        <f>IF(A254="","",IF(J254&lt;=G254,"REPONER","OK"))</f>
        <v/>
      </c>
    </row>
    <row r="255" ht="15" customHeight="1" s="21">
      <c r="A255" s="30" t="n"/>
      <c r="B255" s="30" t="n"/>
      <c r="C255" s="31" t="n"/>
      <c r="D255" s="31" t="n"/>
      <c r="E255" s="32">
        <f>IF(A255="","",D255-C255)</f>
        <v/>
      </c>
      <c r="F255" s="30" t="n"/>
      <c r="G255" s="30" t="n"/>
      <c r="H255" s="33">
        <f>IF(A255="","",SUMIFS(Movimientos!$D$2:$D$3001,Movimientos!$B$2:$B$3001,A255,Movimientos!$C$2:$C$3001,"Entrada"))</f>
        <v/>
      </c>
      <c r="I255" s="33">
        <f>IF(A255="","",SUMIFS(Movimientos!$D$2:$D$3001,Movimientos!$B$2:$B$3001,A255,Movimientos!$C$2:$C$3001,"Venta"))</f>
        <v/>
      </c>
      <c r="J255" s="33">
        <f>IF(A255="","",F255+H255-I255)</f>
        <v/>
      </c>
      <c r="K255" s="33">
        <f>IF(A255="","",IF(J255&lt;=G255,"REPONER","OK"))</f>
        <v/>
      </c>
    </row>
    <row r="256" ht="15" customHeight="1" s="21">
      <c r="A256" s="30" t="n"/>
      <c r="B256" s="30" t="n"/>
      <c r="C256" s="31" t="n"/>
      <c r="D256" s="31" t="n"/>
      <c r="E256" s="32">
        <f>IF(A256="","",D256-C256)</f>
        <v/>
      </c>
      <c r="F256" s="30" t="n"/>
      <c r="G256" s="30" t="n"/>
      <c r="H256" s="33">
        <f>IF(A256="","",SUMIFS(Movimientos!$D$2:$D$3001,Movimientos!$B$2:$B$3001,A256,Movimientos!$C$2:$C$3001,"Entrada"))</f>
        <v/>
      </c>
      <c r="I256" s="33">
        <f>IF(A256="","",SUMIFS(Movimientos!$D$2:$D$3001,Movimientos!$B$2:$B$3001,A256,Movimientos!$C$2:$C$3001,"Venta"))</f>
        <v/>
      </c>
      <c r="J256" s="33">
        <f>IF(A256="","",F256+H256-I256)</f>
        <v/>
      </c>
      <c r="K256" s="33">
        <f>IF(A256="","",IF(J256&lt;=G256,"REPONER","OK"))</f>
        <v/>
      </c>
    </row>
    <row r="257" ht="15" customHeight="1" s="21">
      <c r="A257" s="30" t="n"/>
      <c r="B257" s="30" t="n"/>
      <c r="C257" s="31" t="n"/>
      <c r="D257" s="31" t="n"/>
      <c r="E257" s="32">
        <f>IF(A257="","",D257-C257)</f>
        <v/>
      </c>
      <c r="F257" s="30" t="n"/>
      <c r="G257" s="30" t="n"/>
      <c r="H257" s="33">
        <f>IF(A257="","",SUMIFS(Movimientos!$D$2:$D$3001,Movimientos!$B$2:$B$3001,A257,Movimientos!$C$2:$C$3001,"Entrada"))</f>
        <v/>
      </c>
      <c r="I257" s="33">
        <f>IF(A257="","",SUMIFS(Movimientos!$D$2:$D$3001,Movimientos!$B$2:$B$3001,A257,Movimientos!$C$2:$C$3001,"Venta"))</f>
        <v/>
      </c>
      <c r="J257" s="33">
        <f>IF(A257="","",F257+H257-I257)</f>
        <v/>
      </c>
      <c r="K257" s="33">
        <f>IF(A257="","",IF(J257&lt;=G257,"REPONER","OK"))</f>
        <v/>
      </c>
    </row>
    <row r="258" ht="15" customHeight="1" s="21">
      <c r="A258" s="30" t="n"/>
      <c r="B258" s="30" t="n"/>
      <c r="C258" s="31" t="n"/>
      <c r="D258" s="31" t="n"/>
      <c r="E258" s="32">
        <f>IF(A258="","",D258-C258)</f>
        <v/>
      </c>
      <c r="F258" s="30" t="n"/>
      <c r="G258" s="30" t="n"/>
      <c r="H258" s="33">
        <f>IF(A258="","",SUMIFS(Movimientos!$D$2:$D$3001,Movimientos!$B$2:$B$3001,A258,Movimientos!$C$2:$C$3001,"Entrada"))</f>
        <v/>
      </c>
      <c r="I258" s="33">
        <f>IF(A258="","",SUMIFS(Movimientos!$D$2:$D$3001,Movimientos!$B$2:$B$3001,A258,Movimientos!$C$2:$C$3001,"Venta"))</f>
        <v/>
      </c>
      <c r="J258" s="33">
        <f>IF(A258="","",F258+H258-I258)</f>
        <v/>
      </c>
      <c r="K258" s="33">
        <f>IF(A258="","",IF(J258&lt;=G258,"REPONER","OK"))</f>
        <v/>
      </c>
    </row>
    <row r="259" ht="15" customHeight="1" s="21">
      <c r="A259" s="30" t="n"/>
      <c r="B259" s="30" t="n"/>
      <c r="C259" s="31" t="n"/>
      <c r="D259" s="31" t="n"/>
      <c r="E259" s="32">
        <f>IF(A259="","",D259-C259)</f>
        <v/>
      </c>
      <c r="F259" s="30" t="n"/>
      <c r="G259" s="30" t="n"/>
      <c r="H259" s="33">
        <f>IF(A259="","",SUMIFS(Movimientos!$D$2:$D$3001,Movimientos!$B$2:$B$3001,A259,Movimientos!$C$2:$C$3001,"Entrada"))</f>
        <v/>
      </c>
      <c r="I259" s="33">
        <f>IF(A259="","",SUMIFS(Movimientos!$D$2:$D$3001,Movimientos!$B$2:$B$3001,A259,Movimientos!$C$2:$C$3001,"Venta"))</f>
        <v/>
      </c>
      <c r="J259" s="33">
        <f>IF(A259="","",F259+H259-I259)</f>
        <v/>
      </c>
      <c r="K259" s="33">
        <f>IF(A259="","",IF(J259&lt;=G259,"REPONER","OK"))</f>
        <v/>
      </c>
    </row>
    <row r="260" ht="15" customHeight="1" s="21">
      <c r="A260" s="30" t="n"/>
      <c r="B260" s="30" t="n"/>
      <c r="C260" s="31" t="n"/>
      <c r="D260" s="31" t="n"/>
      <c r="E260" s="32">
        <f>IF(A260="","",D260-C260)</f>
        <v/>
      </c>
      <c r="F260" s="30" t="n"/>
      <c r="G260" s="30" t="n"/>
      <c r="H260" s="33">
        <f>IF(A260="","",SUMIFS(Movimientos!$D$2:$D$3001,Movimientos!$B$2:$B$3001,A260,Movimientos!$C$2:$C$3001,"Entrada"))</f>
        <v/>
      </c>
      <c r="I260" s="33">
        <f>IF(A260="","",SUMIFS(Movimientos!$D$2:$D$3001,Movimientos!$B$2:$B$3001,A260,Movimientos!$C$2:$C$3001,"Venta"))</f>
        <v/>
      </c>
      <c r="J260" s="33">
        <f>IF(A260="","",F260+H260-I260)</f>
        <v/>
      </c>
      <c r="K260" s="33">
        <f>IF(A260="","",IF(J260&lt;=G260,"REPONER","OK"))</f>
        <v/>
      </c>
    </row>
    <row r="261" ht="15" customHeight="1" s="21">
      <c r="A261" s="30" t="n"/>
      <c r="B261" s="30" t="n"/>
      <c r="C261" s="31" t="n"/>
      <c r="D261" s="31" t="n"/>
      <c r="E261" s="32">
        <f>IF(A261="","",D261-C261)</f>
        <v/>
      </c>
      <c r="F261" s="30" t="n"/>
      <c r="G261" s="30" t="n"/>
      <c r="H261" s="33">
        <f>IF(A261="","",SUMIFS(Movimientos!$D$2:$D$3001,Movimientos!$B$2:$B$3001,A261,Movimientos!$C$2:$C$3001,"Entrada"))</f>
        <v/>
      </c>
      <c r="I261" s="33">
        <f>IF(A261="","",SUMIFS(Movimientos!$D$2:$D$3001,Movimientos!$B$2:$B$3001,A261,Movimientos!$C$2:$C$3001,"Venta"))</f>
        <v/>
      </c>
      <c r="J261" s="33">
        <f>IF(A261="","",F261+H261-I261)</f>
        <v/>
      </c>
      <c r="K261" s="33">
        <f>IF(A261="","",IF(J261&lt;=G261,"REPONER","OK"))</f>
        <v/>
      </c>
    </row>
    <row r="262" ht="15" customHeight="1" s="21">
      <c r="A262" s="30" t="n"/>
      <c r="B262" s="30" t="n"/>
      <c r="C262" s="31" t="n"/>
      <c r="D262" s="31" t="n"/>
      <c r="E262" s="32">
        <f>IF(A262="","",D262-C262)</f>
        <v/>
      </c>
      <c r="F262" s="30" t="n"/>
      <c r="G262" s="30" t="n"/>
      <c r="H262" s="33">
        <f>IF(A262="","",SUMIFS(Movimientos!$D$2:$D$3001,Movimientos!$B$2:$B$3001,A262,Movimientos!$C$2:$C$3001,"Entrada"))</f>
        <v/>
      </c>
      <c r="I262" s="33">
        <f>IF(A262="","",SUMIFS(Movimientos!$D$2:$D$3001,Movimientos!$B$2:$B$3001,A262,Movimientos!$C$2:$C$3001,"Venta"))</f>
        <v/>
      </c>
      <c r="J262" s="33">
        <f>IF(A262="","",F262+H262-I262)</f>
        <v/>
      </c>
      <c r="K262" s="33">
        <f>IF(A262="","",IF(J262&lt;=G262,"REPONER","OK"))</f>
        <v/>
      </c>
    </row>
    <row r="263" ht="15" customHeight="1" s="21">
      <c r="A263" s="30" t="n"/>
      <c r="B263" s="30" t="n"/>
      <c r="C263" s="31" t="n"/>
      <c r="D263" s="31" t="n"/>
      <c r="E263" s="32">
        <f>IF(A263="","",D263-C263)</f>
        <v/>
      </c>
      <c r="F263" s="30" t="n"/>
      <c r="G263" s="30" t="n"/>
      <c r="H263" s="33">
        <f>IF(A263="","",SUMIFS(Movimientos!$D$2:$D$3001,Movimientos!$B$2:$B$3001,A263,Movimientos!$C$2:$C$3001,"Entrada"))</f>
        <v/>
      </c>
      <c r="I263" s="33">
        <f>IF(A263="","",SUMIFS(Movimientos!$D$2:$D$3001,Movimientos!$B$2:$B$3001,A263,Movimientos!$C$2:$C$3001,"Venta"))</f>
        <v/>
      </c>
      <c r="J263" s="33">
        <f>IF(A263="","",F263+H263-I263)</f>
        <v/>
      </c>
      <c r="K263" s="33">
        <f>IF(A263="","",IF(J263&lt;=G263,"REPONER","OK"))</f>
        <v/>
      </c>
    </row>
    <row r="264" ht="15" customHeight="1" s="21">
      <c r="A264" s="30" t="n"/>
      <c r="B264" s="30" t="n"/>
      <c r="C264" s="31" t="n"/>
      <c r="D264" s="31" t="n"/>
      <c r="E264" s="32">
        <f>IF(A264="","",D264-C264)</f>
        <v/>
      </c>
      <c r="F264" s="30" t="n"/>
      <c r="G264" s="30" t="n"/>
      <c r="H264" s="33">
        <f>IF(A264="","",SUMIFS(Movimientos!$D$2:$D$3001,Movimientos!$B$2:$B$3001,A264,Movimientos!$C$2:$C$3001,"Entrada"))</f>
        <v/>
      </c>
      <c r="I264" s="33">
        <f>IF(A264="","",SUMIFS(Movimientos!$D$2:$D$3001,Movimientos!$B$2:$B$3001,A264,Movimientos!$C$2:$C$3001,"Venta"))</f>
        <v/>
      </c>
      <c r="J264" s="33">
        <f>IF(A264="","",F264+H264-I264)</f>
        <v/>
      </c>
      <c r="K264" s="33">
        <f>IF(A264="","",IF(J264&lt;=G264,"REPONER","OK"))</f>
        <v/>
      </c>
    </row>
    <row r="265" ht="15" customHeight="1" s="21">
      <c r="A265" s="30" t="n"/>
      <c r="B265" s="30" t="n"/>
      <c r="C265" s="31" t="n"/>
      <c r="D265" s="31" t="n"/>
      <c r="E265" s="32">
        <f>IF(A265="","",D265-C265)</f>
        <v/>
      </c>
      <c r="F265" s="30" t="n"/>
      <c r="G265" s="30" t="n"/>
      <c r="H265" s="33">
        <f>IF(A265="","",SUMIFS(Movimientos!$D$2:$D$3001,Movimientos!$B$2:$B$3001,A265,Movimientos!$C$2:$C$3001,"Entrada"))</f>
        <v/>
      </c>
      <c r="I265" s="33">
        <f>IF(A265="","",SUMIFS(Movimientos!$D$2:$D$3001,Movimientos!$B$2:$B$3001,A265,Movimientos!$C$2:$C$3001,"Venta"))</f>
        <v/>
      </c>
      <c r="J265" s="33">
        <f>IF(A265="","",F265+H265-I265)</f>
        <v/>
      </c>
      <c r="K265" s="33">
        <f>IF(A265="","",IF(J265&lt;=G265,"REPONER","OK"))</f>
        <v/>
      </c>
    </row>
    <row r="266" ht="15" customHeight="1" s="21">
      <c r="A266" s="30" t="n"/>
      <c r="B266" s="30" t="n"/>
      <c r="C266" s="31" t="n"/>
      <c r="D266" s="31" t="n"/>
      <c r="E266" s="32">
        <f>IF(A266="","",D266-C266)</f>
        <v/>
      </c>
      <c r="F266" s="30" t="n"/>
      <c r="G266" s="30" t="n"/>
      <c r="H266" s="33">
        <f>IF(A266="","",SUMIFS(Movimientos!$D$2:$D$3001,Movimientos!$B$2:$B$3001,A266,Movimientos!$C$2:$C$3001,"Entrada"))</f>
        <v/>
      </c>
      <c r="I266" s="33">
        <f>IF(A266="","",SUMIFS(Movimientos!$D$2:$D$3001,Movimientos!$B$2:$B$3001,A266,Movimientos!$C$2:$C$3001,"Venta"))</f>
        <v/>
      </c>
      <c r="J266" s="33">
        <f>IF(A266="","",F266+H266-I266)</f>
        <v/>
      </c>
      <c r="K266" s="33">
        <f>IF(A266="","",IF(J266&lt;=G266,"REPONER","OK"))</f>
        <v/>
      </c>
    </row>
    <row r="267" ht="15" customHeight="1" s="21">
      <c r="A267" s="30" t="n"/>
      <c r="B267" s="30" t="n"/>
      <c r="C267" s="31" t="n"/>
      <c r="D267" s="31" t="n"/>
      <c r="E267" s="32">
        <f>IF(A267="","",D267-C267)</f>
        <v/>
      </c>
      <c r="F267" s="30" t="n"/>
      <c r="G267" s="30" t="n"/>
      <c r="H267" s="33">
        <f>IF(A267="","",SUMIFS(Movimientos!$D$2:$D$3001,Movimientos!$B$2:$B$3001,A267,Movimientos!$C$2:$C$3001,"Entrada"))</f>
        <v/>
      </c>
      <c r="I267" s="33">
        <f>IF(A267="","",SUMIFS(Movimientos!$D$2:$D$3001,Movimientos!$B$2:$B$3001,A267,Movimientos!$C$2:$C$3001,"Venta"))</f>
        <v/>
      </c>
      <c r="J267" s="33">
        <f>IF(A267="","",F267+H267-I267)</f>
        <v/>
      </c>
      <c r="K267" s="33">
        <f>IF(A267="","",IF(J267&lt;=G267,"REPONER","OK"))</f>
        <v/>
      </c>
    </row>
    <row r="268" ht="15" customHeight="1" s="21">
      <c r="A268" s="30" t="n"/>
      <c r="B268" s="30" t="n"/>
      <c r="C268" s="31" t="n"/>
      <c r="D268" s="31" t="n"/>
      <c r="E268" s="32">
        <f>IF(A268="","",D268-C268)</f>
        <v/>
      </c>
      <c r="F268" s="30" t="n"/>
      <c r="G268" s="30" t="n"/>
      <c r="H268" s="33">
        <f>IF(A268="","",SUMIFS(Movimientos!$D$2:$D$3001,Movimientos!$B$2:$B$3001,A268,Movimientos!$C$2:$C$3001,"Entrada"))</f>
        <v/>
      </c>
      <c r="I268" s="33">
        <f>IF(A268="","",SUMIFS(Movimientos!$D$2:$D$3001,Movimientos!$B$2:$B$3001,A268,Movimientos!$C$2:$C$3001,"Venta"))</f>
        <v/>
      </c>
      <c r="J268" s="33">
        <f>IF(A268="","",F268+H268-I268)</f>
        <v/>
      </c>
      <c r="K268" s="33">
        <f>IF(A268="","",IF(J268&lt;=G268,"REPONER","OK"))</f>
        <v/>
      </c>
    </row>
    <row r="269" ht="15" customHeight="1" s="21">
      <c r="A269" s="30" t="n"/>
      <c r="B269" s="30" t="n"/>
      <c r="C269" s="31" t="n"/>
      <c r="D269" s="31" t="n"/>
      <c r="E269" s="32">
        <f>IF(A269="","",D269-C269)</f>
        <v/>
      </c>
      <c r="F269" s="30" t="n"/>
      <c r="G269" s="30" t="n"/>
      <c r="H269" s="33">
        <f>IF(A269="","",SUMIFS(Movimientos!$D$2:$D$3001,Movimientos!$B$2:$B$3001,A269,Movimientos!$C$2:$C$3001,"Entrada"))</f>
        <v/>
      </c>
      <c r="I269" s="33">
        <f>IF(A269="","",SUMIFS(Movimientos!$D$2:$D$3001,Movimientos!$B$2:$B$3001,A269,Movimientos!$C$2:$C$3001,"Venta"))</f>
        <v/>
      </c>
      <c r="J269" s="33">
        <f>IF(A269="","",F269+H269-I269)</f>
        <v/>
      </c>
      <c r="K269" s="33">
        <f>IF(A269="","",IF(J269&lt;=G269,"REPONER","OK"))</f>
        <v/>
      </c>
    </row>
    <row r="270" ht="15" customHeight="1" s="21">
      <c r="A270" s="30" t="n"/>
      <c r="B270" s="30" t="n"/>
      <c r="C270" s="31" t="n"/>
      <c r="D270" s="31" t="n"/>
      <c r="E270" s="32">
        <f>IF(A270="","",D270-C270)</f>
        <v/>
      </c>
      <c r="F270" s="30" t="n"/>
      <c r="G270" s="30" t="n"/>
      <c r="H270" s="33">
        <f>IF(A270="","",SUMIFS(Movimientos!$D$2:$D$3001,Movimientos!$B$2:$B$3001,A270,Movimientos!$C$2:$C$3001,"Entrada"))</f>
        <v/>
      </c>
      <c r="I270" s="33">
        <f>IF(A270="","",SUMIFS(Movimientos!$D$2:$D$3001,Movimientos!$B$2:$B$3001,A270,Movimientos!$C$2:$C$3001,"Venta"))</f>
        <v/>
      </c>
      <c r="J270" s="33">
        <f>IF(A270="","",F270+H270-I270)</f>
        <v/>
      </c>
      <c r="K270" s="33">
        <f>IF(A270="","",IF(J270&lt;=G270,"REPONER","OK"))</f>
        <v/>
      </c>
    </row>
    <row r="271" ht="15" customHeight="1" s="21">
      <c r="A271" s="30" t="n"/>
      <c r="B271" s="30" t="n"/>
      <c r="C271" s="31" t="n"/>
      <c r="D271" s="31" t="n"/>
      <c r="E271" s="32">
        <f>IF(A271="","",D271-C271)</f>
        <v/>
      </c>
      <c r="F271" s="30" t="n"/>
      <c r="G271" s="30" t="n"/>
      <c r="H271" s="33">
        <f>IF(A271="","",SUMIFS(Movimientos!$D$2:$D$3001,Movimientos!$B$2:$B$3001,A271,Movimientos!$C$2:$C$3001,"Entrada"))</f>
        <v/>
      </c>
      <c r="I271" s="33">
        <f>IF(A271="","",SUMIFS(Movimientos!$D$2:$D$3001,Movimientos!$B$2:$B$3001,A271,Movimientos!$C$2:$C$3001,"Venta"))</f>
        <v/>
      </c>
      <c r="J271" s="33">
        <f>IF(A271="","",F271+H271-I271)</f>
        <v/>
      </c>
      <c r="K271" s="33">
        <f>IF(A271="","",IF(J271&lt;=G271,"REPONER","OK"))</f>
        <v/>
      </c>
    </row>
    <row r="272" ht="15" customHeight="1" s="21">
      <c r="A272" s="30" t="n"/>
      <c r="B272" s="30" t="n"/>
      <c r="C272" s="31" t="n"/>
      <c r="D272" s="31" t="n"/>
      <c r="E272" s="32">
        <f>IF(A272="","",D272-C272)</f>
        <v/>
      </c>
      <c r="F272" s="30" t="n"/>
      <c r="G272" s="30" t="n"/>
      <c r="H272" s="33">
        <f>IF(A272="","",SUMIFS(Movimientos!$D$2:$D$3001,Movimientos!$B$2:$B$3001,A272,Movimientos!$C$2:$C$3001,"Entrada"))</f>
        <v/>
      </c>
      <c r="I272" s="33">
        <f>IF(A272="","",SUMIFS(Movimientos!$D$2:$D$3001,Movimientos!$B$2:$B$3001,A272,Movimientos!$C$2:$C$3001,"Venta"))</f>
        <v/>
      </c>
      <c r="J272" s="33">
        <f>IF(A272="","",F272+H272-I272)</f>
        <v/>
      </c>
      <c r="K272" s="33">
        <f>IF(A272="","",IF(J272&lt;=G272,"REPONER","OK"))</f>
        <v/>
      </c>
    </row>
    <row r="273" ht="15" customHeight="1" s="21">
      <c r="A273" s="30" t="n"/>
      <c r="B273" s="30" t="n"/>
      <c r="C273" s="31" t="n"/>
      <c r="D273" s="31" t="n"/>
      <c r="E273" s="32">
        <f>IF(A273="","",D273-C273)</f>
        <v/>
      </c>
      <c r="F273" s="30" t="n"/>
      <c r="G273" s="30" t="n"/>
      <c r="H273" s="33">
        <f>IF(A273="","",SUMIFS(Movimientos!$D$2:$D$3001,Movimientos!$B$2:$B$3001,A273,Movimientos!$C$2:$C$3001,"Entrada"))</f>
        <v/>
      </c>
      <c r="I273" s="33">
        <f>IF(A273="","",SUMIFS(Movimientos!$D$2:$D$3001,Movimientos!$B$2:$B$3001,A273,Movimientos!$C$2:$C$3001,"Venta"))</f>
        <v/>
      </c>
      <c r="J273" s="33">
        <f>IF(A273="","",F273+H273-I273)</f>
        <v/>
      </c>
      <c r="K273" s="33">
        <f>IF(A273="","",IF(J273&lt;=G273,"REPONER","OK"))</f>
        <v/>
      </c>
    </row>
    <row r="274" ht="15" customHeight="1" s="21">
      <c r="A274" s="30" t="n"/>
      <c r="B274" s="30" t="n"/>
      <c r="C274" s="31" t="n"/>
      <c r="D274" s="31" t="n"/>
      <c r="E274" s="32">
        <f>IF(A274="","",D274-C274)</f>
        <v/>
      </c>
      <c r="F274" s="30" t="n"/>
      <c r="G274" s="30" t="n"/>
      <c r="H274" s="33">
        <f>IF(A274="","",SUMIFS(Movimientos!$D$2:$D$3001,Movimientos!$B$2:$B$3001,A274,Movimientos!$C$2:$C$3001,"Entrada"))</f>
        <v/>
      </c>
      <c r="I274" s="33">
        <f>IF(A274="","",SUMIFS(Movimientos!$D$2:$D$3001,Movimientos!$B$2:$B$3001,A274,Movimientos!$C$2:$C$3001,"Venta"))</f>
        <v/>
      </c>
      <c r="J274" s="33">
        <f>IF(A274="","",F274+H274-I274)</f>
        <v/>
      </c>
      <c r="K274" s="33">
        <f>IF(A274="","",IF(J274&lt;=G274,"REPONER","OK"))</f>
        <v/>
      </c>
    </row>
    <row r="275" ht="15" customHeight="1" s="21">
      <c r="A275" s="30" t="n"/>
      <c r="B275" s="30" t="n"/>
      <c r="C275" s="31" t="n"/>
      <c r="D275" s="31" t="n"/>
      <c r="E275" s="32">
        <f>IF(A275="","",D275-C275)</f>
        <v/>
      </c>
      <c r="F275" s="30" t="n"/>
      <c r="G275" s="30" t="n"/>
      <c r="H275" s="33">
        <f>IF(A275="","",SUMIFS(Movimientos!$D$2:$D$3001,Movimientos!$B$2:$B$3001,A275,Movimientos!$C$2:$C$3001,"Entrada"))</f>
        <v/>
      </c>
      <c r="I275" s="33">
        <f>IF(A275="","",SUMIFS(Movimientos!$D$2:$D$3001,Movimientos!$B$2:$B$3001,A275,Movimientos!$C$2:$C$3001,"Venta"))</f>
        <v/>
      </c>
      <c r="J275" s="33">
        <f>IF(A275="","",F275+H275-I275)</f>
        <v/>
      </c>
      <c r="K275" s="33">
        <f>IF(A275="","",IF(J275&lt;=G275,"REPONER","OK"))</f>
        <v/>
      </c>
    </row>
    <row r="276" ht="15" customHeight="1" s="21">
      <c r="A276" s="30" t="n"/>
      <c r="B276" s="30" t="n"/>
      <c r="C276" s="31" t="n"/>
      <c r="D276" s="31" t="n"/>
      <c r="E276" s="32">
        <f>IF(A276="","",D276-C276)</f>
        <v/>
      </c>
      <c r="F276" s="30" t="n"/>
      <c r="G276" s="30" t="n"/>
      <c r="H276" s="33">
        <f>IF(A276="","",SUMIFS(Movimientos!$D$2:$D$3001,Movimientos!$B$2:$B$3001,A276,Movimientos!$C$2:$C$3001,"Entrada"))</f>
        <v/>
      </c>
      <c r="I276" s="33">
        <f>IF(A276="","",SUMIFS(Movimientos!$D$2:$D$3001,Movimientos!$B$2:$B$3001,A276,Movimientos!$C$2:$C$3001,"Venta"))</f>
        <v/>
      </c>
      <c r="J276" s="33">
        <f>IF(A276="","",F276+H276-I276)</f>
        <v/>
      </c>
      <c r="K276" s="33">
        <f>IF(A276="","",IF(J276&lt;=G276,"REPONER","OK"))</f>
        <v/>
      </c>
    </row>
    <row r="277" ht="15" customHeight="1" s="21">
      <c r="A277" s="30" t="n"/>
      <c r="B277" s="30" t="n"/>
      <c r="C277" s="31" t="n"/>
      <c r="D277" s="31" t="n"/>
      <c r="E277" s="32">
        <f>IF(A277="","",D277-C277)</f>
        <v/>
      </c>
      <c r="F277" s="30" t="n"/>
      <c r="G277" s="30" t="n"/>
      <c r="H277" s="33">
        <f>IF(A277="","",SUMIFS(Movimientos!$D$2:$D$3001,Movimientos!$B$2:$B$3001,A277,Movimientos!$C$2:$C$3001,"Entrada"))</f>
        <v/>
      </c>
      <c r="I277" s="33">
        <f>IF(A277="","",SUMIFS(Movimientos!$D$2:$D$3001,Movimientos!$B$2:$B$3001,A277,Movimientos!$C$2:$C$3001,"Venta"))</f>
        <v/>
      </c>
      <c r="J277" s="33">
        <f>IF(A277="","",F277+H277-I277)</f>
        <v/>
      </c>
      <c r="K277" s="33">
        <f>IF(A277="","",IF(J277&lt;=G277,"REPONER","OK"))</f>
        <v/>
      </c>
    </row>
    <row r="278" ht="15" customHeight="1" s="21">
      <c r="A278" s="30" t="n"/>
      <c r="B278" s="30" t="n"/>
      <c r="C278" s="31" t="n"/>
      <c r="D278" s="31" t="n"/>
      <c r="E278" s="32">
        <f>IF(A278="","",D278-C278)</f>
        <v/>
      </c>
      <c r="F278" s="30" t="n"/>
      <c r="G278" s="30" t="n"/>
      <c r="H278" s="33">
        <f>IF(A278="","",SUMIFS(Movimientos!$D$2:$D$3001,Movimientos!$B$2:$B$3001,A278,Movimientos!$C$2:$C$3001,"Entrada"))</f>
        <v/>
      </c>
      <c r="I278" s="33">
        <f>IF(A278="","",SUMIFS(Movimientos!$D$2:$D$3001,Movimientos!$B$2:$B$3001,A278,Movimientos!$C$2:$C$3001,"Venta"))</f>
        <v/>
      </c>
      <c r="J278" s="33">
        <f>IF(A278="","",F278+H278-I278)</f>
        <v/>
      </c>
      <c r="K278" s="33">
        <f>IF(A278="","",IF(J278&lt;=G278,"REPONER","OK"))</f>
        <v/>
      </c>
    </row>
    <row r="279" ht="15" customHeight="1" s="21">
      <c r="A279" s="30" t="n"/>
      <c r="B279" s="30" t="n"/>
      <c r="C279" s="31" t="n"/>
      <c r="D279" s="31" t="n"/>
      <c r="E279" s="32">
        <f>IF(A279="","",D279-C279)</f>
        <v/>
      </c>
      <c r="F279" s="30" t="n"/>
      <c r="G279" s="30" t="n"/>
      <c r="H279" s="33">
        <f>IF(A279="","",SUMIFS(Movimientos!$D$2:$D$3001,Movimientos!$B$2:$B$3001,A279,Movimientos!$C$2:$C$3001,"Entrada"))</f>
        <v/>
      </c>
      <c r="I279" s="33">
        <f>IF(A279="","",SUMIFS(Movimientos!$D$2:$D$3001,Movimientos!$B$2:$B$3001,A279,Movimientos!$C$2:$C$3001,"Venta"))</f>
        <v/>
      </c>
      <c r="J279" s="33">
        <f>IF(A279="","",F279+H279-I279)</f>
        <v/>
      </c>
      <c r="K279" s="33">
        <f>IF(A279="","",IF(J279&lt;=G279,"REPONER","OK"))</f>
        <v/>
      </c>
    </row>
    <row r="280" ht="15" customHeight="1" s="21">
      <c r="A280" s="30" t="n"/>
      <c r="B280" s="30" t="n"/>
      <c r="C280" s="31" t="n"/>
      <c r="D280" s="31" t="n"/>
      <c r="E280" s="32">
        <f>IF(A280="","",D280-C280)</f>
        <v/>
      </c>
      <c r="F280" s="30" t="n"/>
      <c r="G280" s="30" t="n"/>
      <c r="H280" s="33">
        <f>IF(A280="","",SUMIFS(Movimientos!$D$2:$D$3001,Movimientos!$B$2:$B$3001,A280,Movimientos!$C$2:$C$3001,"Entrada"))</f>
        <v/>
      </c>
      <c r="I280" s="33">
        <f>IF(A280="","",SUMIFS(Movimientos!$D$2:$D$3001,Movimientos!$B$2:$B$3001,A280,Movimientos!$C$2:$C$3001,"Venta"))</f>
        <v/>
      </c>
      <c r="J280" s="33">
        <f>IF(A280="","",F280+H280-I280)</f>
        <v/>
      </c>
      <c r="K280" s="33">
        <f>IF(A280="","",IF(J280&lt;=G280,"REPONER","OK"))</f>
        <v/>
      </c>
    </row>
    <row r="281" ht="15" customHeight="1" s="21">
      <c r="A281" s="30" t="n"/>
      <c r="B281" s="30" t="n"/>
      <c r="C281" s="31" t="n"/>
      <c r="D281" s="31" t="n"/>
      <c r="E281" s="32">
        <f>IF(A281="","",D281-C281)</f>
        <v/>
      </c>
      <c r="F281" s="30" t="n"/>
      <c r="G281" s="30" t="n"/>
      <c r="H281" s="33">
        <f>IF(A281="","",SUMIFS(Movimientos!$D$2:$D$3001,Movimientos!$B$2:$B$3001,A281,Movimientos!$C$2:$C$3001,"Entrada"))</f>
        <v/>
      </c>
      <c r="I281" s="33">
        <f>IF(A281="","",SUMIFS(Movimientos!$D$2:$D$3001,Movimientos!$B$2:$B$3001,A281,Movimientos!$C$2:$C$3001,"Venta"))</f>
        <v/>
      </c>
      <c r="J281" s="33">
        <f>IF(A281="","",F281+H281-I281)</f>
        <v/>
      </c>
      <c r="K281" s="33">
        <f>IF(A281="","",IF(J281&lt;=G281,"REPONER","OK"))</f>
        <v/>
      </c>
    </row>
    <row r="282" ht="15" customHeight="1" s="21">
      <c r="A282" s="30" t="n"/>
      <c r="B282" s="30" t="n"/>
      <c r="C282" s="31" t="n"/>
      <c r="D282" s="31" t="n"/>
      <c r="E282" s="32">
        <f>IF(A282="","",D282-C282)</f>
        <v/>
      </c>
      <c r="F282" s="30" t="n"/>
      <c r="G282" s="30" t="n"/>
      <c r="H282" s="33">
        <f>IF(A282="","",SUMIFS(Movimientos!$D$2:$D$3001,Movimientos!$B$2:$B$3001,A282,Movimientos!$C$2:$C$3001,"Entrada"))</f>
        <v/>
      </c>
      <c r="I282" s="33">
        <f>IF(A282="","",SUMIFS(Movimientos!$D$2:$D$3001,Movimientos!$B$2:$B$3001,A282,Movimientos!$C$2:$C$3001,"Venta"))</f>
        <v/>
      </c>
      <c r="J282" s="33">
        <f>IF(A282="","",F282+H282-I282)</f>
        <v/>
      </c>
      <c r="K282" s="33">
        <f>IF(A282="","",IF(J282&lt;=G282,"REPONER","OK"))</f>
        <v/>
      </c>
    </row>
    <row r="283" ht="15" customHeight="1" s="21">
      <c r="A283" s="30" t="n"/>
      <c r="B283" s="30" t="n"/>
      <c r="C283" s="31" t="n"/>
      <c r="D283" s="31" t="n"/>
      <c r="E283" s="32">
        <f>IF(A283="","",D283-C283)</f>
        <v/>
      </c>
      <c r="F283" s="30" t="n"/>
      <c r="G283" s="30" t="n"/>
      <c r="H283" s="33">
        <f>IF(A283="","",SUMIFS(Movimientos!$D$2:$D$3001,Movimientos!$B$2:$B$3001,A283,Movimientos!$C$2:$C$3001,"Entrada"))</f>
        <v/>
      </c>
      <c r="I283" s="33">
        <f>IF(A283="","",SUMIFS(Movimientos!$D$2:$D$3001,Movimientos!$B$2:$B$3001,A283,Movimientos!$C$2:$C$3001,"Venta"))</f>
        <v/>
      </c>
      <c r="J283" s="33">
        <f>IF(A283="","",F283+H283-I283)</f>
        <v/>
      </c>
      <c r="K283" s="33">
        <f>IF(A283="","",IF(J283&lt;=G283,"REPONER","OK"))</f>
        <v/>
      </c>
    </row>
    <row r="284" ht="15" customHeight="1" s="21">
      <c r="A284" s="30" t="n"/>
      <c r="B284" s="30" t="n"/>
      <c r="C284" s="31" t="n"/>
      <c r="D284" s="31" t="n"/>
      <c r="E284" s="32">
        <f>IF(A284="","",D284-C284)</f>
        <v/>
      </c>
      <c r="F284" s="30" t="n"/>
      <c r="G284" s="30" t="n"/>
      <c r="H284" s="33">
        <f>IF(A284="","",SUMIFS(Movimientos!$D$2:$D$3001,Movimientos!$B$2:$B$3001,A284,Movimientos!$C$2:$C$3001,"Entrada"))</f>
        <v/>
      </c>
      <c r="I284" s="33">
        <f>IF(A284="","",SUMIFS(Movimientos!$D$2:$D$3001,Movimientos!$B$2:$B$3001,A284,Movimientos!$C$2:$C$3001,"Venta"))</f>
        <v/>
      </c>
      <c r="J284" s="33">
        <f>IF(A284="","",F284+H284-I284)</f>
        <v/>
      </c>
      <c r="K284" s="33">
        <f>IF(A284="","",IF(J284&lt;=G284,"REPONER","OK"))</f>
        <v/>
      </c>
    </row>
    <row r="285" ht="15" customHeight="1" s="21">
      <c r="A285" s="30" t="n"/>
      <c r="B285" s="30" t="n"/>
      <c r="C285" s="31" t="n"/>
      <c r="D285" s="31" t="n"/>
      <c r="E285" s="32">
        <f>IF(A285="","",D285-C285)</f>
        <v/>
      </c>
      <c r="F285" s="30" t="n"/>
      <c r="G285" s="30" t="n"/>
      <c r="H285" s="33">
        <f>IF(A285="","",SUMIFS(Movimientos!$D$2:$D$3001,Movimientos!$B$2:$B$3001,A285,Movimientos!$C$2:$C$3001,"Entrada"))</f>
        <v/>
      </c>
      <c r="I285" s="33">
        <f>IF(A285="","",SUMIFS(Movimientos!$D$2:$D$3001,Movimientos!$B$2:$B$3001,A285,Movimientos!$C$2:$C$3001,"Venta"))</f>
        <v/>
      </c>
      <c r="J285" s="33">
        <f>IF(A285="","",F285+H285-I285)</f>
        <v/>
      </c>
      <c r="K285" s="33">
        <f>IF(A285="","",IF(J285&lt;=G285,"REPONER","OK"))</f>
        <v/>
      </c>
    </row>
    <row r="286" ht="15" customHeight="1" s="21">
      <c r="A286" s="30" t="n"/>
      <c r="B286" s="30" t="n"/>
      <c r="C286" s="31" t="n"/>
      <c r="D286" s="31" t="n"/>
      <c r="E286" s="32">
        <f>IF(A286="","",D286-C286)</f>
        <v/>
      </c>
      <c r="F286" s="30" t="n"/>
      <c r="G286" s="30" t="n"/>
      <c r="H286" s="33">
        <f>IF(A286="","",SUMIFS(Movimientos!$D$2:$D$3001,Movimientos!$B$2:$B$3001,A286,Movimientos!$C$2:$C$3001,"Entrada"))</f>
        <v/>
      </c>
      <c r="I286" s="33">
        <f>IF(A286="","",SUMIFS(Movimientos!$D$2:$D$3001,Movimientos!$B$2:$B$3001,A286,Movimientos!$C$2:$C$3001,"Venta"))</f>
        <v/>
      </c>
      <c r="J286" s="33">
        <f>IF(A286="","",F286+H286-I286)</f>
        <v/>
      </c>
      <c r="K286" s="33">
        <f>IF(A286="","",IF(J286&lt;=G286,"REPONER","OK"))</f>
        <v/>
      </c>
    </row>
    <row r="287" ht="15" customHeight="1" s="21">
      <c r="A287" s="30" t="n"/>
      <c r="B287" s="30" t="n"/>
      <c r="C287" s="31" t="n"/>
      <c r="D287" s="31" t="n"/>
      <c r="E287" s="32">
        <f>IF(A287="","",D287-C287)</f>
        <v/>
      </c>
      <c r="F287" s="30" t="n"/>
      <c r="G287" s="30" t="n"/>
      <c r="H287" s="33">
        <f>IF(A287="","",SUMIFS(Movimientos!$D$2:$D$3001,Movimientos!$B$2:$B$3001,A287,Movimientos!$C$2:$C$3001,"Entrada"))</f>
        <v/>
      </c>
      <c r="I287" s="33">
        <f>IF(A287="","",SUMIFS(Movimientos!$D$2:$D$3001,Movimientos!$B$2:$B$3001,A287,Movimientos!$C$2:$C$3001,"Venta"))</f>
        <v/>
      </c>
      <c r="J287" s="33">
        <f>IF(A287="","",F287+H287-I287)</f>
        <v/>
      </c>
      <c r="K287" s="33">
        <f>IF(A287="","",IF(J287&lt;=G287,"REPONER","OK"))</f>
        <v/>
      </c>
    </row>
    <row r="288" ht="15" customHeight="1" s="21">
      <c r="A288" s="30" t="n"/>
      <c r="B288" s="30" t="n"/>
      <c r="C288" s="31" t="n"/>
      <c r="D288" s="31" t="n"/>
      <c r="E288" s="32">
        <f>IF(A288="","",D288-C288)</f>
        <v/>
      </c>
      <c r="F288" s="30" t="n"/>
      <c r="G288" s="30" t="n"/>
      <c r="H288" s="33">
        <f>IF(A288="","",SUMIFS(Movimientos!$D$2:$D$3001,Movimientos!$B$2:$B$3001,A288,Movimientos!$C$2:$C$3001,"Entrada"))</f>
        <v/>
      </c>
      <c r="I288" s="33">
        <f>IF(A288="","",SUMIFS(Movimientos!$D$2:$D$3001,Movimientos!$B$2:$B$3001,A288,Movimientos!$C$2:$C$3001,"Venta"))</f>
        <v/>
      </c>
      <c r="J288" s="33">
        <f>IF(A288="","",F288+H288-I288)</f>
        <v/>
      </c>
      <c r="K288" s="33">
        <f>IF(A288="","",IF(J288&lt;=G288,"REPONER","OK"))</f>
        <v/>
      </c>
    </row>
    <row r="289" ht="15" customHeight="1" s="21">
      <c r="A289" s="30" t="n"/>
      <c r="B289" s="30" t="n"/>
      <c r="C289" s="31" t="n"/>
      <c r="D289" s="31" t="n"/>
      <c r="E289" s="32">
        <f>IF(A289="","",D289-C289)</f>
        <v/>
      </c>
      <c r="F289" s="30" t="n"/>
      <c r="G289" s="30" t="n"/>
      <c r="H289" s="33">
        <f>IF(A289="","",SUMIFS(Movimientos!$D$2:$D$3001,Movimientos!$B$2:$B$3001,A289,Movimientos!$C$2:$C$3001,"Entrada"))</f>
        <v/>
      </c>
      <c r="I289" s="33">
        <f>IF(A289="","",SUMIFS(Movimientos!$D$2:$D$3001,Movimientos!$B$2:$B$3001,A289,Movimientos!$C$2:$C$3001,"Venta"))</f>
        <v/>
      </c>
      <c r="J289" s="33">
        <f>IF(A289="","",F289+H289-I289)</f>
        <v/>
      </c>
      <c r="K289" s="33">
        <f>IF(A289="","",IF(J289&lt;=G289,"REPONER","OK"))</f>
        <v/>
      </c>
    </row>
    <row r="290" ht="15" customHeight="1" s="21">
      <c r="A290" s="30" t="n"/>
      <c r="B290" s="30" t="n"/>
      <c r="C290" s="31" t="n"/>
      <c r="D290" s="31" t="n"/>
      <c r="E290" s="32">
        <f>IF(A290="","",D290-C290)</f>
        <v/>
      </c>
      <c r="F290" s="30" t="n"/>
      <c r="G290" s="30" t="n"/>
      <c r="H290" s="33">
        <f>IF(A290="","",SUMIFS(Movimientos!$D$2:$D$3001,Movimientos!$B$2:$B$3001,A290,Movimientos!$C$2:$C$3001,"Entrada"))</f>
        <v/>
      </c>
      <c r="I290" s="33">
        <f>IF(A290="","",SUMIFS(Movimientos!$D$2:$D$3001,Movimientos!$B$2:$B$3001,A290,Movimientos!$C$2:$C$3001,"Venta"))</f>
        <v/>
      </c>
      <c r="J290" s="33">
        <f>IF(A290="","",F290+H290-I290)</f>
        <v/>
      </c>
      <c r="K290" s="33">
        <f>IF(A290="","",IF(J290&lt;=G290,"REPONER","OK"))</f>
        <v/>
      </c>
    </row>
    <row r="291" ht="15" customHeight="1" s="21">
      <c r="A291" s="30" t="n"/>
      <c r="B291" s="30" t="n"/>
      <c r="C291" s="31" t="n"/>
      <c r="D291" s="31" t="n"/>
      <c r="E291" s="32">
        <f>IF(A291="","",D291-C291)</f>
        <v/>
      </c>
      <c r="F291" s="30" t="n"/>
      <c r="G291" s="30" t="n"/>
      <c r="H291" s="33">
        <f>IF(A291="","",SUMIFS(Movimientos!$D$2:$D$3001,Movimientos!$B$2:$B$3001,A291,Movimientos!$C$2:$C$3001,"Entrada"))</f>
        <v/>
      </c>
      <c r="I291" s="33">
        <f>IF(A291="","",SUMIFS(Movimientos!$D$2:$D$3001,Movimientos!$B$2:$B$3001,A291,Movimientos!$C$2:$C$3001,"Venta"))</f>
        <v/>
      </c>
      <c r="J291" s="33">
        <f>IF(A291="","",F291+H291-I291)</f>
        <v/>
      </c>
      <c r="K291" s="33">
        <f>IF(A291="","",IF(J291&lt;=G291,"REPONER","OK"))</f>
        <v/>
      </c>
    </row>
    <row r="292" ht="15" customHeight="1" s="21">
      <c r="A292" s="30" t="n"/>
      <c r="B292" s="30" t="n"/>
      <c r="C292" s="31" t="n"/>
      <c r="D292" s="31" t="n"/>
      <c r="E292" s="32">
        <f>IF(A292="","",D292-C292)</f>
        <v/>
      </c>
      <c r="F292" s="30" t="n"/>
      <c r="G292" s="30" t="n"/>
      <c r="H292" s="33">
        <f>IF(A292="","",SUMIFS(Movimientos!$D$2:$D$3001,Movimientos!$B$2:$B$3001,A292,Movimientos!$C$2:$C$3001,"Entrada"))</f>
        <v/>
      </c>
      <c r="I292" s="33">
        <f>IF(A292="","",SUMIFS(Movimientos!$D$2:$D$3001,Movimientos!$B$2:$B$3001,A292,Movimientos!$C$2:$C$3001,"Venta"))</f>
        <v/>
      </c>
      <c r="J292" s="33">
        <f>IF(A292="","",F292+H292-I292)</f>
        <v/>
      </c>
      <c r="K292" s="33">
        <f>IF(A292="","",IF(J292&lt;=G292,"REPONER","OK"))</f>
        <v/>
      </c>
    </row>
    <row r="293" ht="15" customHeight="1" s="21">
      <c r="A293" s="30" t="n"/>
      <c r="B293" s="30" t="n"/>
      <c r="C293" s="31" t="n"/>
      <c r="D293" s="31" t="n"/>
      <c r="E293" s="32">
        <f>IF(A293="","",D293-C293)</f>
        <v/>
      </c>
      <c r="F293" s="30" t="n"/>
      <c r="G293" s="30" t="n"/>
      <c r="H293" s="33">
        <f>IF(A293="","",SUMIFS(Movimientos!$D$2:$D$3001,Movimientos!$B$2:$B$3001,A293,Movimientos!$C$2:$C$3001,"Entrada"))</f>
        <v/>
      </c>
      <c r="I293" s="33">
        <f>IF(A293="","",SUMIFS(Movimientos!$D$2:$D$3001,Movimientos!$B$2:$B$3001,A293,Movimientos!$C$2:$C$3001,"Venta"))</f>
        <v/>
      </c>
      <c r="J293" s="33">
        <f>IF(A293="","",F293+H293-I293)</f>
        <v/>
      </c>
      <c r="K293" s="33">
        <f>IF(A293="","",IF(J293&lt;=G293,"REPONER","OK"))</f>
        <v/>
      </c>
    </row>
    <row r="294" ht="15" customHeight="1" s="21">
      <c r="A294" s="30" t="n"/>
      <c r="B294" s="30" t="n"/>
      <c r="C294" s="31" t="n"/>
      <c r="D294" s="31" t="n"/>
      <c r="E294" s="32">
        <f>IF(A294="","",D294-C294)</f>
        <v/>
      </c>
      <c r="F294" s="30" t="n"/>
      <c r="G294" s="30" t="n"/>
      <c r="H294" s="33">
        <f>IF(A294="","",SUMIFS(Movimientos!$D$2:$D$3001,Movimientos!$B$2:$B$3001,A294,Movimientos!$C$2:$C$3001,"Entrada"))</f>
        <v/>
      </c>
      <c r="I294" s="33">
        <f>IF(A294="","",SUMIFS(Movimientos!$D$2:$D$3001,Movimientos!$B$2:$B$3001,A294,Movimientos!$C$2:$C$3001,"Venta"))</f>
        <v/>
      </c>
      <c r="J294" s="33">
        <f>IF(A294="","",F294+H294-I294)</f>
        <v/>
      </c>
      <c r="K294" s="33">
        <f>IF(A294="","",IF(J294&lt;=G294,"REPONER","OK"))</f>
        <v/>
      </c>
    </row>
    <row r="295" ht="15" customHeight="1" s="21">
      <c r="A295" s="30" t="n"/>
      <c r="B295" s="30" t="n"/>
      <c r="C295" s="31" t="n"/>
      <c r="D295" s="31" t="n"/>
      <c r="E295" s="32">
        <f>IF(A295="","",D295-C295)</f>
        <v/>
      </c>
      <c r="F295" s="30" t="n"/>
      <c r="G295" s="30" t="n"/>
      <c r="H295" s="33">
        <f>IF(A295="","",SUMIFS(Movimientos!$D$2:$D$3001,Movimientos!$B$2:$B$3001,A295,Movimientos!$C$2:$C$3001,"Entrada"))</f>
        <v/>
      </c>
      <c r="I295" s="33">
        <f>IF(A295="","",SUMIFS(Movimientos!$D$2:$D$3001,Movimientos!$B$2:$B$3001,A295,Movimientos!$C$2:$C$3001,"Venta"))</f>
        <v/>
      </c>
      <c r="J295" s="33">
        <f>IF(A295="","",F295+H295-I295)</f>
        <v/>
      </c>
      <c r="K295" s="33">
        <f>IF(A295="","",IF(J295&lt;=G295,"REPONER","OK"))</f>
        <v/>
      </c>
    </row>
    <row r="296" ht="15" customHeight="1" s="21">
      <c r="A296" s="30" t="n"/>
      <c r="B296" s="30" t="n"/>
      <c r="C296" s="31" t="n"/>
      <c r="D296" s="31" t="n"/>
      <c r="E296" s="32">
        <f>IF(A296="","",D296-C296)</f>
        <v/>
      </c>
      <c r="F296" s="30" t="n"/>
      <c r="G296" s="30" t="n"/>
      <c r="H296" s="33">
        <f>IF(A296="","",SUMIFS(Movimientos!$D$2:$D$3001,Movimientos!$B$2:$B$3001,A296,Movimientos!$C$2:$C$3001,"Entrada"))</f>
        <v/>
      </c>
      <c r="I296" s="33">
        <f>IF(A296="","",SUMIFS(Movimientos!$D$2:$D$3001,Movimientos!$B$2:$B$3001,A296,Movimientos!$C$2:$C$3001,"Venta"))</f>
        <v/>
      </c>
      <c r="J296" s="33">
        <f>IF(A296="","",F296+H296-I296)</f>
        <v/>
      </c>
      <c r="K296" s="33">
        <f>IF(A296="","",IF(J296&lt;=G296,"REPONER","OK"))</f>
        <v/>
      </c>
    </row>
    <row r="297" ht="15" customHeight="1" s="21">
      <c r="A297" s="30" t="n"/>
      <c r="B297" s="30" t="n"/>
      <c r="C297" s="31" t="n"/>
      <c r="D297" s="31" t="n"/>
      <c r="E297" s="32">
        <f>IF(A297="","",D297-C297)</f>
        <v/>
      </c>
      <c r="F297" s="30" t="n"/>
      <c r="G297" s="30" t="n"/>
      <c r="H297" s="33">
        <f>IF(A297="","",SUMIFS(Movimientos!$D$2:$D$3001,Movimientos!$B$2:$B$3001,A297,Movimientos!$C$2:$C$3001,"Entrada"))</f>
        <v/>
      </c>
      <c r="I297" s="33">
        <f>IF(A297="","",SUMIFS(Movimientos!$D$2:$D$3001,Movimientos!$B$2:$B$3001,A297,Movimientos!$C$2:$C$3001,"Venta"))</f>
        <v/>
      </c>
      <c r="J297" s="33">
        <f>IF(A297="","",F297+H297-I297)</f>
        <v/>
      </c>
      <c r="K297" s="33">
        <f>IF(A297="","",IF(J297&lt;=G297,"REPONER","OK"))</f>
        <v/>
      </c>
    </row>
    <row r="298" ht="15" customHeight="1" s="21">
      <c r="A298" s="30" t="n"/>
      <c r="B298" s="30" t="n"/>
      <c r="C298" s="31" t="n"/>
      <c r="D298" s="31" t="n"/>
      <c r="E298" s="32">
        <f>IF(A298="","",D298-C298)</f>
        <v/>
      </c>
      <c r="F298" s="30" t="n"/>
      <c r="G298" s="30" t="n"/>
      <c r="H298" s="33">
        <f>IF(A298="","",SUMIFS(Movimientos!$D$2:$D$3001,Movimientos!$B$2:$B$3001,A298,Movimientos!$C$2:$C$3001,"Entrada"))</f>
        <v/>
      </c>
      <c r="I298" s="33">
        <f>IF(A298="","",SUMIFS(Movimientos!$D$2:$D$3001,Movimientos!$B$2:$B$3001,A298,Movimientos!$C$2:$C$3001,"Venta"))</f>
        <v/>
      </c>
      <c r="J298" s="33">
        <f>IF(A298="","",F298+H298-I298)</f>
        <v/>
      </c>
      <c r="K298" s="33">
        <f>IF(A298="","",IF(J298&lt;=G298,"REPONER","OK"))</f>
        <v/>
      </c>
    </row>
    <row r="299" ht="15" customHeight="1" s="21">
      <c r="A299" s="30" t="n"/>
      <c r="B299" s="30" t="n"/>
      <c r="C299" s="31" t="n"/>
      <c r="D299" s="31" t="n"/>
      <c r="E299" s="32">
        <f>IF(A299="","",D299-C299)</f>
        <v/>
      </c>
      <c r="F299" s="30" t="n"/>
      <c r="G299" s="30" t="n"/>
      <c r="H299" s="33">
        <f>IF(A299="","",SUMIFS(Movimientos!$D$2:$D$3001,Movimientos!$B$2:$B$3001,A299,Movimientos!$C$2:$C$3001,"Entrada"))</f>
        <v/>
      </c>
      <c r="I299" s="33">
        <f>IF(A299="","",SUMIFS(Movimientos!$D$2:$D$3001,Movimientos!$B$2:$B$3001,A299,Movimientos!$C$2:$C$3001,"Venta"))</f>
        <v/>
      </c>
      <c r="J299" s="33">
        <f>IF(A299="","",F299+H299-I299)</f>
        <v/>
      </c>
      <c r="K299" s="33">
        <f>IF(A299="","",IF(J299&lt;=G299,"REPONER","OK"))</f>
        <v/>
      </c>
    </row>
    <row r="300" ht="15" customHeight="1" s="21">
      <c r="A300" s="30" t="n"/>
      <c r="B300" s="30" t="n"/>
      <c r="C300" s="31" t="n"/>
      <c r="D300" s="31" t="n"/>
      <c r="E300" s="32">
        <f>IF(A300="","",D300-C300)</f>
        <v/>
      </c>
      <c r="F300" s="30" t="n"/>
      <c r="G300" s="30" t="n"/>
      <c r="H300" s="33">
        <f>IF(A300="","",SUMIFS(Movimientos!$D$2:$D$3001,Movimientos!$B$2:$B$3001,A300,Movimientos!$C$2:$C$3001,"Entrada"))</f>
        <v/>
      </c>
      <c r="I300" s="33">
        <f>IF(A300="","",SUMIFS(Movimientos!$D$2:$D$3001,Movimientos!$B$2:$B$3001,A300,Movimientos!$C$2:$C$3001,"Venta"))</f>
        <v/>
      </c>
      <c r="J300" s="33">
        <f>IF(A300="","",F300+H300-I300)</f>
        <v/>
      </c>
      <c r="K300" s="33">
        <f>IF(A300="","",IF(J300&lt;=G300,"REPONER","OK"))</f>
        <v/>
      </c>
    </row>
    <row r="301" ht="15" customHeight="1" s="21">
      <c r="A301" s="30" t="n"/>
      <c r="B301" s="30" t="n"/>
      <c r="C301" s="31" t="n"/>
      <c r="D301" s="31" t="n"/>
      <c r="E301" s="32">
        <f>IF(A301="","",D301-C301)</f>
        <v/>
      </c>
      <c r="F301" s="30" t="n"/>
      <c r="G301" s="30" t="n"/>
      <c r="H301" s="33">
        <f>IF(A301="","",SUMIFS(Movimientos!$D$2:$D$3001,Movimientos!$B$2:$B$3001,A301,Movimientos!$C$2:$C$3001,"Entrada"))</f>
        <v/>
      </c>
      <c r="I301" s="33">
        <f>IF(A301="","",SUMIFS(Movimientos!$D$2:$D$3001,Movimientos!$B$2:$B$3001,A301,Movimientos!$C$2:$C$3001,"Venta"))</f>
        <v/>
      </c>
      <c r="J301" s="33">
        <f>IF(A301="","",F301+H301-I301)</f>
        <v/>
      </c>
      <c r="K301" s="33">
        <f>IF(A301="","",IF(J301&lt;=G301,"REPONER","OK"))</f>
        <v/>
      </c>
    </row>
    <row r="302" ht="15" customHeight="1" s="21">
      <c r="A302" s="30" t="n"/>
      <c r="B302" s="30" t="n"/>
      <c r="C302" s="31" t="n"/>
      <c r="D302" s="31" t="n"/>
      <c r="E302" s="32">
        <f>IF(A302="","",D302-C302)</f>
        <v/>
      </c>
      <c r="F302" s="30" t="n"/>
      <c r="G302" s="30" t="n"/>
      <c r="H302" s="33">
        <f>IF(A302="","",SUMIFS(Movimientos!$D$2:$D$3001,Movimientos!$B$2:$B$3001,A302,Movimientos!$C$2:$C$3001,"Entrada"))</f>
        <v/>
      </c>
      <c r="I302" s="33">
        <f>IF(A302="","",SUMIFS(Movimientos!$D$2:$D$3001,Movimientos!$B$2:$B$3001,A302,Movimientos!$C$2:$C$3001,"Venta"))</f>
        <v/>
      </c>
      <c r="J302" s="33">
        <f>IF(A302="","",F302+H302-I302)</f>
        <v/>
      </c>
      <c r="K302" s="33">
        <f>IF(A302="","",IF(J302&lt;=G302,"REPONER","OK"))</f>
        <v/>
      </c>
    </row>
    <row r="303" ht="15" customHeight="1" s="21">
      <c r="A303" s="30" t="n"/>
      <c r="B303" s="30" t="n"/>
      <c r="C303" s="31" t="n"/>
      <c r="D303" s="31" t="n"/>
      <c r="E303" s="32">
        <f>IF(A303="","",D303-C303)</f>
        <v/>
      </c>
      <c r="F303" s="30" t="n"/>
      <c r="G303" s="30" t="n"/>
      <c r="H303" s="33">
        <f>IF(A303="","",SUMIFS(Movimientos!$D$2:$D$3001,Movimientos!$B$2:$B$3001,A303,Movimientos!$C$2:$C$3001,"Entrada"))</f>
        <v/>
      </c>
      <c r="I303" s="33">
        <f>IF(A303="","",SUMIFS(Movimientos!$D$2:$D$3001,Movimientos!$B$2:$B$3001,A303,Movimientos!$C$2:$C$3001,"Venta"))</f>
        <v/>
      </c>
      <c r="J303" s="33">
        <f>IF(A303="","",F303+H303-I303)</f>
        <v/>
      </c>
      <c r="K303" s="33">
        <f>IF(A303="","",IF(J303&lt;=G303,"REPONER","OK"))</f>
        <v/>
      </c>
    </row>
    <row r="304" ht="15" customHeight="1" s="21">
      <c r="A304" s="30" t="n"/>
      <c r="B304" s="30" t="n"/>
      <c r="C304" s="31" t="n"/>
      <c r="D304" s="31" t="n"/>
      <c r="E304" s="32">
        <f>IF(A304="","",D304-C304)</f>
        <v/>
      </c>
      <c r="F304" s="30" t="n"/>
      <c r="G304" s="30" t="n"/>
      <c r="H304" s="33">
        <f>IF(A304="","",SUMIFS(Movimientos!$D$2:$D$3001,Movimientos!$B$2:$B$3001,A304,Movimientos!$C$2:$C$3001,"Entrada"))</f>
        <v/>
      </c>
      <c r="I304" s="33">
        <f>IF(A304="","",SUMIFS(Movimientos!$D$2:$D$3001,Movimientos!$B$2:$B$3001,A304,Movimientos!$C$2:$C$3001,"Venta"))</f>
        <v/>
      </c>
      <c r="J304" s="33">
        <f>IF(A304="","",F304+H304-I304)</f>
        <v/>
      </c>
      <c r="K304" s="33">
        <f>IF(A304="","",IF(J304&lt;=G304,"REPONER","OK"))</f>
        <v/>
      </c>
    </row>
    <row r="305" ht="15" customHeight="1" s="21">
      <c r="A305" s="30" t="n"/>
      <c r="B305" s="30" t="n"/>
      <c r="C305" s="31" t="n"/>
      <c r="D305" s="31" t="n"/>
      <c r="E305" s="32">
        <f>IF(A305="","",D305-C305)</f>
        <v/>
      </c>
      <c r="F305" s="30" t="n"/>
      <c r="G305" s="30" t="n"/>
      <c r="H305" s="33">
        <f>IF(A305="","",SUMIFS(Movimientos!$D$2:$D$3001,Movimientos!$B$2:$B$3001,A305,Movimientos!$C$2:$C$3001,"Entrada"))</f>
        <v/>
      </c>
      <c r="I305" s="33">
        <f>IF(A305="","",SUMIFS(Movimientos!$D$2:$D$3001,Movimientos!$B$2:$B$3001,A305,Movimientos!$C$2:$C$3001,"Venta"))</f>
        <v/>
      </c>
      <c r="J305" s="33">
        <f>IF(A305="","",F305+H305-I305)</f>
        <v/>
      </c>
      <c r="K305" s="33">
        <f>IF(A305="","",IF(J305&lt;=G305,"REPONER","OK"))</f>
        <v/>
      </c>
    </row>
    <row r="306" ht="15" customHeight="1" s="21">
      <c r="A306" s="30" t="n"/>
      <c r="B306" s="30" t="n"/>
      <c r="C306" s="31" t="n"/>
      <c r="D306" s="31" t="n"/>
      <c r="E306" s="32">
        <f>IF(A306="","",D306-C306)</f>
        <v/>
      </c>
      <c r="F306" s="30" t="n"/>
      <c r="G306" s="30" t="n"/>
      <c r="H306" s="33">
        <f>IF(A306="","",SUMIFS(Movimientos!$D$2:$D$3001,Movimientos!$B$2:$B$3001,A306,Movimientos!$C$2:$C$3001,"Entrada"))</f>
        <v/>
      </c>
      <c r="I306" s="33">
        <f>IF(A306="","",SUMIFS(Movimientos!$D$2:$D$3001,Movimientos!$B$2:$B$3001,A306,Movimientos!$C$2:$C$3001,"Venta"))</f>
        <v/>
      </c>
      <c r="J306" s="33">
        <f>IF(A306="","",F306+H306-I306)</f>
        <v/>
      </c>
      <c r="K306" s="33">
        <f>IF(A306="","",IF(J306&lt;=G306,"REPONER","OK"))</f>
        <v/>
      </c>
    </row>
    <row r="307" ht="15" customHeight="1" s="21">
      <c r="A307" s="30" t="n"/>
      <c r="B307" s="30" t="n"/>
      <c r="C307" s="31" t="n"/>
      <c r="D307" s="31" t="n"/>
      <c r="E307" s="32">
        <f>IF(A307="","",D307-C307)</f>
        <v/>
      </c>
      <c r="F307" s="30" t="n"/>
      <c r="G307" s="30" t="n"/>
      <c r="H307" s="33">
        <f>IF(A307="","",SUMIFS(Movimientos!$D$2:$D$3001,Movimientos!$B$2:$B$3001,A307,Movimientos!$C$2:$C$3001,"Entrada"))</f>
        <v/>
      </c>
      <c r="I307" s="33">
        <f>IF(A307="","",SUMIFS(Movimientos!$D$2:$D$3001,Movimientos!$B$2:$B$3001,A307,Movimientos!$C$2:$C$3001,"Venta"))</f>
        <v/>
      </c>
      <c r="J307" s="33">
        <f>IF(A307="","",F307+H307-I307)</f>
        <v/>
      </c>
      <c r="K307" s="33">
        <f>IF(A307="","",IF(J307&lt;=G307,"REPONER","OK"))</f>
        <v/>
      </c>
    </row>
    <row r="308" ht="15" customHeight="1" s="21">
      <c r="A308" s="30" t="n"/>
      <c r="B308" s="30" t="n"/>
      <c r="C308" s="31" t="n"/>
      <c r="D308" s="31" t="n"/>
      <c r="E308" s="32">
        <f>IF(A308="","",D308-C308)</f>
        <v/>
      </c>
      <c r="F308" s="30" t="n"/>
      <c r="G308" s="30" t="n"/>
      <c r="H308" s="33">
        <f>IF(A308="","",SUMIFS(Movimientos!$D$2:$D$3001,Movimientos!$B$2:$B$3001,A308,Movimientos!$C$2:$C$3001,"Entrada"))</f>
        <v/>
      </c>
      <c r="I308" s="33">
        <f>IF(A308="","",SUMIFS(Movimientos!$D$2:$D$3001,Movimientos!$B$2:$B$3001,A308,Movimientos!$C$2:$C$3001,"Venta"))</f>
        <v/>
      </c>
      <c r="J308" s="33">
        <f>IF(A308="","",F308+H308-I308)</f>
        <v/>
      </c>
      <c r="K308" s="33">
        <f>IF(A308="","",IF(J308&lt;=G308,"REPONER","OK"))</f>
        <v/>
      </c>
    </row>
    <row r="309" ht="15" customHeight="1" s="21">
      <c r="A309" s="30" t="n"/>
      <c r="B309" s="30" t="n"/>
      <c r="C309" s="31" t="n"/>
      <c r="D309" s="31" t="n"/>
      <c r="E309" s="32">
        <f>IF(A309="","",D309-C309)</f>
        <v/>
      </c>
      <c r="F309" s="30" t="n"/>
      <c r="G309" s="30" t="n"/>
      <c r="H309" s="33">
        <f>IF(A309="","",SUMIFS(Movimientos!$D$2:$D$3001,Movimientos!$B$2:$B$3001,A309,Movimientos!$C$2:$C$3001,"Entrada"))</f>
        <v/>
      </c>
      <c r="I309" s="33">
        <f>IF(A309="","",SUMIFS(Movimientos!$D$2:$D$3001,Movimientos!$B$2:$B$3001,A309,Movimientos!$C$2:$C$3001,"Venta"))</f>
        <v/>
      </c>
      <c r="J309" s="33">
        <f>IF(A309="","",F309+H309-I309)</f>
        <v/>
      </c>
      <c r="K309" s="33">
        <f>IF(A309="","",IF(J309&lt;=G309,"REPONER","OK"))</f>
        <v/>
      </c>
    </row>
    <row r="310" ht="15" customHeight="1" s="21">
      <c r="A310" s="30" t="n"/>
      <c r="B310" s="30" t="n"/>
      <c r="C310" s="31" t="n"/>
      <c r="D310" s="31" t="n"/>
      <c r="E310" s="32">
        <f>IF(A310="","",D310-C310)</f>
        <v/>
      </c>
      <c r="F310" s="30" t="n"/>
      <c r="G310" s="30" t="n"/>
      <c r="H310" s="33">
        <f>IF(A310="","",SUMIFS(Movimientos!$D$2:$D$3001,Movimientos!$B$2:$B$3001,A310,Movimientos!$C$2:$C$3001,"Entrada"))</f>
        <v/>
      </c>
      <c r="I310" s="33">
        <f>IF(A310="","",SUMIFS(Movimientos!$D$2:$D$3001,Movimientos!$B$2:$B$3001,A310,Movimientos!$C$2:$C$3001,"Venta"))</f>
        <v/>
      </c>
      <c r="J310" s="33">
        <f>IF(A310="","",F310+H310-I310)</f>
        <v/>
      </c>
      <c r="K310" s="33">
        <f>IF(A310="","",IF(J310&lt;=G310,"REPONER","OK"))</f>
        <v/>
      </c>
    </row>
    <row r="311" ht="15" customHeight="1" s="21">
      <c r="A311" s="30" t="n"/>
      <c r="B311" s="30" t="n"/>
      <c r="C311" s="31" t="n"/>
      <c r="D311" s="31" t="n"/>
      <c r="E311" s="32">
        <f>IF(A311="","",D311-C311)</f>
        <v/>
      </c>
      <c r="F311" s="30" t="n"/>
      <c r="G311" s="30" t="n"/>
      <c r="H311" s="33">
        <f>IF(A311="","",SUMIFS(Movimientos!$D$2:$D$3001,Movimientos!$B$2:$B$3001,A311,Movimientos!$C$2:$C$3001,"Entrada"))</f>
        <v/>
      </c>
      <c r="I311" s="33">
        <f>IF(A311="","",SUMIFS(Movimientos!$D$2:$D$3001,Movimientos!$B$2:$B$3001,A311,Movimientos!$C$2:$C$3001,"Venta"))</f>
        <v/>
      </c>
      <c r="J311" s="33">
        <f>IF(A311="","",F311+H311-I311)</f>
        <v/>
      </c>
      <c r="K311" s="33">
        <f>IF(A311="","",IF(J311&lt;=G311,"REPONER","OK"))</f>
        <v/>
      </c>
    </row>
    <row r="312" ht="15" customHeight="1" s="21">
      <c r="A312" s="30" t="n"/>
      <c r="B312" s="30" t="n"/>
      <c r="C312" s="31" t="n"/>
      <c r="D312" s="31" t="n"/>
      <c r="E312" s="32">
        <f>IF(A312="","",D312-C312)</f>
        <v/>
      </c>
      <c r="F312" s="30" t="n"/>
      <c r="G312" s="30" t="n"/>
      <c r="H312" s="33">
        <f>IF(A312="","",SUMIFS(Movimientos!$D$2:$D$3001,Movimientos!$B$2:$B$3001,A312,Movimientos!$C$2:$C$3001,"Entrada"))</f>
        <v/>
      </c>
      <c r="I312" s="33">
        <f>IF(A312="","",SUMIFS(Movimientos!$D$2:$D$3001,Movimientos!$B$2:$B$3001,A312,Movimientos!$C$2:$C$3001,"Venta"))</f>
        <v/>
      </c>
      <c r="J312" s="33">
        <f>IF(A312="","",F312+H312-I312)</f>
        <v/>
      </c>
      <c r="K312" s="33">
        <f>IF(A312="","",IF(J312&lt;=G312,"REPONER","OK"))</f>
        <v/>
      </c>
    </row>
    <row r="313" ht="15" customHeight="1" s="21">
      <c r="A313" s="30" t="n"/>
      <c r="B313" s="30" t="n"/>
      <c r="C313" s="31" t="n"/>
      <c r="D313" s="31" t="n"/>
      <c r="E313" s="32">
        <f>IF(A313="","",D313-C313)</f>
        <v/>
      </c>
      <c r="F313" s="30" t="n"/>
      <c r="G313" s="30" t="n"/>
      <c r="H313" s="33">
        <f>IF(A313="","",SUMIFS(Movimientos!$D$2:$D$3001,Movimientos!$B$2:$B$3001,A313,Movimientos!$C$2:$C$3001,"Entrada"))</f>
        <v/>
      </c>
      <c r="I313" s="33">
        <f>IF(A313="","",SUMIFS(Movimientos!$D$2:$D$3001,Movimientos!$B$2:$B$3001,A313,Movimientos!$C$2:$C$3001,"Venta"))</f>
        <v/>
      </c>
      <c r="J313" s="33">
        <f>IF(A313="","",F313+H313-I313)</f>
        <v/>
      </c>
      <c r="K313" s="33">
        <f>IF(A313="","",IF(J313&lt;=G313,"REPONER","OK"))</f>
        <v/>
      </c>
    </row>
    <row r="314" ht="15" customHeight="1" s="21">
      <c r="A314" s="30" t="n"/>
      <c r="B314" s="30" t="n"/>
      <c r="C314" s="31" t="n"/>
      <c r="D314" s="31" t="n"/>
      <c r="E314" s="32">
        <f>IF(A314="","",D314-C314)</f>
        <v/>
      </c>
      <c r="F314" s="30" t="n"/>
      <c r="G314" s="30" t="n"/>
      <c r="H314" s="33">
        <f>IF(A314="","",SUMIFS(Movimientos!$D$2:$D$3001,Movimientos!$B$2:$B$3001,A314,Movimientos!$C$2:$C$3001,"Entrada"))</f>
        <v/>
      </c>
      <c r="I314" s="33">
        <f>IF(A314="","",SUMIFS(Movimientos!$D$2:$D$3001,Movimientos!$B$2:$B$3001,A314,Movimientos!$C$2:$C$3001,"Venta"))</f>
        <v/>
      </c>
      <c r="J314" s="33">
        <f>IF(A314="","",F314+H314-I314)</f>
        <v/>
      </c>
      <c r="K314" s="33">
        <f>IF(A314="","",IF(J314&lt;=G314,"REPONER","OK"))</f>
        <v/>
      </c>
    </row>
    <row r="315" ht="15" customHeight="1" s="21">
      <c r="A315" s="30" t="n"/>
      <c r="B315" s="30" t="n"/>
      <c r="C315" s="31" t="n"/>
      <c r="D315" s="31" t="n"/>
      <c r="E315" s="32">
        <f>IF(A315="","",D315-C315)</f>
        <v/>
      </c>
      <c r="F315" s="30" t="n"/>
      <c r="G315" s="30" t="n"/>
      <c r="H315" s="33">
        <f>IF(A315="","",SUMIFS(Movimientos!$D$2:$D$3001,Movimientos!$B$2:$B$3001,A315,Movimientos!$C$2:$C$3001,"Entrada"))</f>
        <v/>
      </c>
      <c r="I315" s="33">
        <f>IF(A315="","",SUMIFS(Movimientos!$D$2:$D$3001,Movimientos!$B$2:$B$3001,A315,Movimientos!$C$2:$C$3001,"Venta"))</f>
        <v/>
      </c>
      <c r="J315" s="33">
        <f>IF(A315="","",F315+H315-I315)</f>
        <v/>
      </c>
      <c r="K315" s="33">
        <f>IF(A315="","",IF(J315&lt;=G315,"REPONER","OK"))</f>
        <v/>
      </c>
    </row>
    <row r="316" ht="15" customHeight="1" s="21">
      <c r="A316" s="30" t="n"/>
      <c r="B316" s="30" t="n"/>
      <c r="C316" s="31" t="n"/>
      <c r="D316" s="31" t="n"/>
      <c r="E316" s="32">
        <f>IF(A316="","",D316-C316)</f>
        <v/>
      </c>
      <c r="F316" s="30" t="n"/>
      <c r="G316" s="30" t="n"/>
      <c r="H316" s="33">
        <f>IF(A316="","",SUMIFS(Movimientos!$D$2:$D$3001,Movimientos!$B$2:$B$3001,A316,Movimientos!$C$2:$C$3001,"Entrada"))</f>
        <v/>
      </c>
      <c r="I316" s="33">
        <f>IF(A316="","",SUMIFS(Movimientos!$D$2:$D$3001,Movimientos!$B$2:$B$3001,A316,Movimientos!$C$2:$C$3001,"Venta"))</f>
        <v/>
      </c>
      <c r="J316" s="33">
        <f>IF(A316="","",F316+H316-I316)</f>
        <v/>
      </c>
      <c r="K316" s="33">
        <f>IF(A316="","",IF(J316&lt;=G316,"REPONER","OK"))</f>
        <v/>
      </c>
    </row>
    <row r="317" ht="15" customHeight="1" s="21">
      <c r="A317" s="30" t="n"/>
      <c r="B317" s="30" t="n"/>
      <c r="C317" s="31" t="n"/>
      <c r="D317" s="31" t="n"/>
      <c r="E317" s="32">
        <f>IF(A317="","",D317-C317)</f>
        <v/>
      </c>
      <c r="F317" s="30" t="n"/>
      <c r="G317" s="30" t="n"/>
      <c r="H317" s="33">
        <f>IF(A317="","",SUMIFS(Movimientos!$D$2:$D$3001,Movimientos!$B$2:$B$3001,A317,Movimientos!$C$2:$C$3001,"Entrada"))</f>
        <v/>
      </c>
      <c r="I317" s="33">
        <f>IF(A317="","",SUMIFS(Movimientos!$D$2:$D$3001,Movimientos!$B$2:$B$3001,A317,Movimientos!$C$2:$C$3001,"Venta"))</f>
        <v/>
      </c>
      <c r="J317" s="33">
        <f>IF(A317="","",F317+H317-I317)</f>
        <v/>
      </c>
      <c r="K317" s="33">
        <f>IF(A317="","",IF(J317&lt;=G317,"REPONER","OK"))</f>
        <v/>
      </c>
    </row>
    <row r="318" ht="15" customHeight="1" s="21">
      <c r="A318" s="30" t="n"/>
      <c r="B318" s="30" t="n"/>
      <c r="C318" s="31" t="n"/>
      <c r="D318" s="31" t="n"/>
      <c r="E318" s="32">
        <f>IF(A318="","",D318-C318)</f>
        <v/>
      </c>
      <c r="F318" s="30" t="n"/>
      <c r="G318" s="30" t="n"/>
      <c r="H318" s="33">
        <f>IF(A318="","",SUMIFS(Movimientos!$D$2:$D$3001,Movimientos!$B$2:$B$3001,A318,Movimientos!$C$2:$C$3001,"Entrada"))</f>
        <v/>
      </c>
      <c r="I318" s="33">
        <f>IF(A318="","",SUMIFS(Movimientos!$D$2:$D$3001,Movimientos!$B$2:$B$3001,A318,Movimientos!$C$2:$C$3001,"Venta"))</f>
        <v/>
      </c>
      <c r="J318" s="33">
        <f>IF(A318="","",F318+H318-I318)</f>
        <v/>
      </c>
      <c r="K318" s="33">
        <f>IF(A318="","",IF(J318&lt;=G318,"REPONER","OK"))</f>
        <v/>
      </c>
    </row>
    <row r="319" ht="15" customHeight="1" s="21">
      <c r="A319" s="30" t="n"/>
      <c r="B319" s="30" t="n"/>
      <c r="C319" s="31" t="n"/>
      <c r="D319" s="31" t="n"/>
      <c r="E319" s="32">
        <f>IF(A319="","",D319-C319)</f>
        <v/>
      </c>
      <c r="F319" s="30" t="n"/>
      <c r="G319" s="30" t="n"/>
      <c r="H319" s="33">
        <f>IF(A319="","",SUMIFS(Movimientos!$D$2:$D$3001,Movimientos!$B$2:$B$3001,A319,Movimientos!$C$2:$C$3001,"Entrada"))</f>
        <v/>
      </c>
      <c r="I319" s="33">
        <f>IF(A319="","",SUMIFS(Movimientos!$D$2:$D$3001,Movimientos!$B$2:$B$3001,A319,Movimientos!$C$2:$C$3001,"Venta"))</f>
        <v/>
      </c>
      <c r="J319" s="33">
        <f>IF(A319="","",F319+H319-I319)</f>
        <v/>
      </c>
      <c r="K319" s="33">
        <f>IF(A319="","",IF(J319&lt;=G319,"REPONER","OK"))</f>
        <v/>
      </c>
    </row>
    <row r="320" ht="15" customHeight="1" s="21">
      <c r="A320" s="30" t="n"/>
      <c r="B320" s="30" t="n"/>
      <c r="C320" s="31" t="n"/>
      <c r="D320" s="31" t="n"/>
      <c r="E320" s="32">
        <f>IF(A320="","",D320-C320)</f>
        <v/>
      </c>
      <c r="F320" s="30" t="n"/>
      <c r="G320" s="30" t="n"/>
      <c r="H320" s="33">
        <f>IF(A320="","",SUMIFS(Movimientos!$D$2:$D$3001,Movimientos!$B$2:$B$3001,A320,Movimientos!$C$2:$C$3001,"Entrada"))</f>
        <v/>
      </c>
      <c r="I320" s="33">
        <f>IF(A320="","",SUMIFS(Movimientos!$D$2:$D$3001,Movimientos!$B$2:$B$3001,A320,Movimientos!$C$2:$C$3001,"Venta"))</f>
        <v/>
      </c>
      <c r="J320" s="33">
        <f>IF(A320="","",F320+H320-I320)</f>
        <v/>
      </c>
      <c r="K320" s="33">
        <f>IF(A320="","",IF(J320&lt;=G320,"REPONER","OK"))</f>
        <v/>
      </c>
    </row>
    <row r="321" ht="15" customHeight="1" s="21">
      <c r="A321" s="30" t="n"/>
      <c r="B321" s="30" t="n"/>
      <c r="C321" s="31" t="n"/>
      <c r="D321" s="31" t="n"/>
      <c r="E321" s="32">
        <f>IF(A321="","",D321-C321)</f>
        <v/>
      </c>
      <c r="F321" s="30" t="n"/>
      <c r="G321" s="30" t="n"/>
      <c r="H321" s="33">
        <f>IF(A321="","",SUMIFS(Movimientos!$D$2:$D$3001,Movimientos!$B$2:$B$3001,A321,Movimientos!$C$2:$C$3001,"Entrada"))</f>
        <v/>
      </c>
      <c r="I321" s="33">
        <f>IF(A321="","",SUMIFS(Movimientos!$D$2:$D$3001,Movimientos!$B$2:$B$3001,A321,Movimientos!$C$2:$C$3001,"Venta"))</f>
        <v/>
      </c>
      <c r="J321" s="33">
        <f>IF(A321="","",F321+H321-I321)</f>
        <v/>
      </c>
      <c r="K321" s="33">
        <f>IF(A321="","",IF(J321&lt;=G321,"REPONER","OK"))</f>
        <v/>
      </c>
    </row>
    <row r="322" ht="15" customHeight="1" s="21">
      <c r="A322" s="30" t="n"/>
      <c r="B322" s="30" t="n"/>
      <c r="C322" s="31" t="n"/>
      <c r="D322" s="31" t="n"/>
      <c r="E322" s="32">
        <f>IF(A322="","",D322-C322)</f>
        <v/>
      </c>
      <c r="F322" s="30" t="n"/>
      <c r="G322" s="30" t="n"/>
      <c r="H322" s="33">
        <f>IF(A322="","",SUMIFS(Movimientos!$D$2:$D$3001,Movimientos!$B$2:$B$3001,A322,Movimientos!$C$2:$C$3001,"Entrada"))</f>
        <v/>
      </c>
      <c r="I322" s="33">
        <f>IF(A322="","",SUMIFS(Movimientos!$D$2:$D$3001,Movimientos!$B$2:$B$3001,A322,Movimientos!$C$2:$C$3001,"Venta"))</f>
        <v/>
      </c>
      <c r="J322" s="33">
        <f>IF(A322="","",F322+H322-I322)</f>
        <v/>
      </c>
      <c r="K322" s="33">
        <f>IF(A322="","",IF(J322&lt;=G322,"REPONER","OK"))</f>
        <v/>
      </c>
    </row>
    <row r="323" ht="15" customHeight="1" s="21">
      <c r="A323" s="30" t="n"/>
      <c r="B323" s="30" t="n"/>
      <c r="C323" s="31" t="n"/>
      <c r="D323" s="31" t="n"/>
      <c r="E323" s="32">
        <f>IF(A323="","",D323-C323)</f>
        <v/>
      </c>
      <c r="F323" s="30" t="n"/>
      <c r="G323" s="30" t="n"/>
      <c r="H323" s="33">
        <f>IF(A323="","",SUMIFS(Movimientos!$D$2:$D$3001,Movimientos!$B$2:$B$3001,A323,Movimientos!$C$2:$C$3001,"Entrada"))</f>
        <v/>
      </c>
      <c r="I323" s="33">
        <f>IF(A323="","",SUMIFS(Movimientos!$D$2:$D$3001,Movimientos!$B$2:$B$3001,A323,Movimientos!$C$2:$C$3001,"Venta"))</f>
        <v/>
      </c>
      <c r="J323" s="33">
        <f>IF(A323="","",F323+H323-I323)</f>
        <v/>
      </c>
      <c r="K323" s="33">
        <f>IF(A323="","",IF(J323&lt;=G323,"REPONER","OK"))</f>
        <v/>
      </c>
    </row>
    <row r="324" ht="15" customHeight="1" s="21">
      <c r="A324" s="30" t="n"/>
      <c r="B324" s="30" t="n"/>
      <c r="C324" s="31" t="n"/>
      <c r="D324" s="31" t="n"/>
      <c r="E324" s="32">
        <f>IF(A324="","",D324-C324)</f>
        <v/>
      </c>
      <c r="F324" s="30" t="n"/>
      <c r="G324" s="30" t="n"/>
      <c r="H324" s="33">
        <f>IF(A324="","",SUMIFS(Movimientos!$D$2:$D$3001,Movimientos!$B$2:$B$3001,A324,Movimientos!$C$2:$C$3001,"Entrada"))</f>
        <v/>
      </c>
      <c r="I324" s="33">
        <f>IF(A324="","",SUMIFS(Movimientos!$D$2:$D$3001,Movimientos!$B$2:$B$3001,A324,Movimientos!$C$2:$C$3001,"Venta"))</f>
        <v/>
      </c>
      <c r="J324" s="33">
        <f>IF(A324="","",F324+H324-I324)</f>
        <v/>
      </c>
      <c r="K324" s="33">
        <f>IF(A324="","",IF(J324&lt;=G324,"REPONER","OK"))</f>
        <v/>
      </c>
    </row>
    <row r="325" ht="15" customHeight="1" s="21">
      <c r="A325" s="30" t="n"/>
      <c r="B325" s="30" t="n"/>
      <c r="C325" s="31" t="n"/>
      <c r="D325" s="31" t="n"/>
      <c r="E325" s="32">
        <f>IF(A325="","",D325-C325)</f>
        <v/>
      </c>
      <c r="F325" s="30" t="n"/>
      <c r="G325" s="30" t="n"/>
      <c r="H325" s="33">
        <f>IF(A325="","",SUMIFS(Movimientos!$D$2:$D$3001,Movimientos!$B$2:$B$3001,A325,Movimientos!$C$2:$C$3001,"Entrada"))</f>
        <v/>
      </c>
      <c r="I325" s="33">
        <f>IF(A325="","",SUMIFS(Movimientos!$D$2:$D$3001,Movimientos!$B$2:$B$3001,A325,Movimientos!$C$2:$C$3001,"Venta"))</f>
        <v/>
      </c>
      <c r="J325" s="33">
        <f>IF(A325="","",F325+H325-I325)</f>
        <v/>
      </c>
      <c r="K325" s="33">
        <f>IF(A325="","",IF(J325&lt;=G325,"REPONER","OK"))</f>
        <v/>
      </c>
    </row>
    <row r="326" ht="15" customHeight="1" s="21">
      <c r="A326" s="30" t="n"/>
      <c r="B326" s="30" t="n"/>
      <c r="C326" s="31" t="n"/>
      <c r="D326" s="31" t="n"/>
      <c r="E326" s="32">
        <f>IF(A326="","",D326-C326)</f>
        <v/>
      </c>
      <c r="F326" s="30" t="n"/>
      <c r="G326" s="30" t="n"/>
      <c r="H326" s="33">
        <f>IF(A326="","",SUMIFS(Movimientos!$D$2:$D$3001,Movimientos!$B$2:$B$3001,A326,Movimientos!$C$2:$C$3001,"Entrada"))</f>
        <v/>
      </c>
      <c r="I326" s="33">
        <f>IF(A326="","",SUMIFS(Movimientos!$D$2:$D$3001,Movimientos!$B$2:$B$3001,A326,Movimientos!$C$2:$C$3001,"Venta"))</f>
        <v/>
      </c>
      <c r="J326" s="33">
        <f>IF(A326="","",F326+H326-I326)</f>
        <v/>
      </c>
      <c r="K326" s="33">
        <f>IF(A326="","",IF(J326&lt;=G326,"REPONER","OK"))</f>
        <v/>
      </c>
    </row>
    <row r="327" ht="15" customHeight="1" s="21">
      <c r="A327" s="30" t="n"/>
      <c r="B327" s="30" t="n"/>
      <c r="C327" s="31" t="n"/>
      <c r="D327" s="31" t="n"/>
      <c r="E327" s="32">
        <f>IF(A327="","",D327-C327)</f>
        <v/>
      </c>
      <c r="F327" s="30" t="n"/>
      <c r="G327" s="30" t="n"/>
      <c r="H327" s="33">
        <f>IF(A327="","",SUMIFS(Movimientos!$D$2:$D$3001,Movimientos!$B$2:$B$3001,A327,Movimientos!$C$2:$C$3001,"Entrada"))</f>
        <v/>
      </c>
      <c r="I327" s="33">
        <f>IF(A327="","",SUMIFS(Movimientos!$D$2:$D$3001,Movimientos!$B$2:$B$3001,A327,Movimientos!$C$2:$C$3001,"Venta"))</f>
        <v/>
      </c>
      <c r="J327" s="33">
        <f>IF(A327="","",F327+H327-I327)</f>
        <v/>
      </c>
      <c r="K327" s="33">
        <f>IF(A327="","",IF(J327&lt;=G327,"REPONER","OK"))</f>
        <v/>
      </c>
    </row>
    <row r="328" ht="15" customHeight="1" s="21">
      <c r="A328" s="30" t="n"/>
      <c r="B328" s="30" t="n"/>
      <c r="C328" s="31" t="n"/>
      <c r="D328" s="31" t="n"/>
      <c r="E328" s="32">
        <f>IF(A328="","",D328-C328)</f>
        <v/>
      </c>
      <c r="F328" s="30" t="n"/>
      <c r="G328" s="30" t="n"/>
      <c r="H328" s="33">
        <f>IF(A328="","",SUMIFS(Movimientos!$D$2:$D$3001,Movimientos!$B$2:$B$3001,A328,Movimientos!$C$2:$C$3001,"Entrada"))</f>
        <v/>
      </c>
      <c r="I328" s="33">
        <f>IF(A328="","",SUMIFS(Movimientos!$D$2:$D$3001,Movimientos!$B$2:$B$3001,A328,Movimientos!$C$2:$C$3001,"Venta"))</f>
        <v/>
      </c>
      <c r="J328" s="33">
        <f>IF(A328="","",F328+H328-I328)</f>
        <v/>
      </c>
      <c r="K328" s="33">
        <f>IF(A328="","",IF(J328&lt;=G328,"REPONER","OK"))</f>
        <v/>
      </c>
    </row>
    <row r="329" ht="15" customHeight="1" s="21">
      <c r="A329" s="30" t="n"/>
      <c r="B329" s="30" t="n"/>
      <c r="C329" s="31" t="n"/>
      <c r="D329" s="31" t="n"/>
      <c r="E329" s="32">
        <f>IF(A329="","",D329-C329)</f>
        <v/>
      </c>
      <c r="F329" s="30" t="n"/>
      <c r="G329" s="30" t="n"/>
      <c r="H329" s="33">
        <f>IF(A329="","",SUMIFS(Movimientos!$D$2:$D$3001,Movimientos!$B$2:$B$3001,A329,Movimientos!$C$2:$C$3001,"Entrada"))</f>
        <v/>
      </c>
      <c r="I329" s="33">
        <f>IF(A329="","",SUMIFS(Movimientos!$D$2:$D$3001,Movimientos!$B$2:$B$3001,A329,Movimientos!$C$2:$C$3001,"Venta"))</f>
        <v/>
      </c>
      <c r="J329" s="33">
        <f>IF(A329="","",F329+H329-I329)</f>
        <v/>
      </c>
      <c r="K329" s="33">
        <f>IF(A329="","",IF(J329&lt;=G329,"REPONER","OK"))</f>
        <v/>
      </c>
    </row>
    <row r="330" ht="15" customHeight="1" s="21">
      <c r="A330" s="30" t="n"/>
      <c r="B330" s="30" t="n"/>
      <c r="C330" s="31" t="n"/>
      <c r="D330" s="31" t="n"/>
      <c r="E330" s="32">
        <f>IF(A330="","",D330-C330)</f>
        <v/>
      </c>
      <c r="F330" s="30" t="n"/>
      <c r="G330" s="30" t="n"/>
      <c r="H330" s="33">
        <f>IF(A330="","",SUMIFS(Movimientos!$D$2:$D$3001,Movimientos!$B$2:$B$3001,A330,Movimientos!$C$2:$C$3001,"Entrada"))</f>
        <v/>
      </c>
      <c r="I330" s="33">
        <f>IF(A330="","",SUMIFS(Movimientos!$D$2:$D$3001,Movimientos!$B$2:$B$3001,A330,Movimientos!$C$2:$C$3001,"Venta"))</f>
        <v/>
      </c>
      <c r="J330" s="33">
        <f>IF(A330="","",F330+H330-I330)</f>
        <v/>
      </c>
      <c r="K330" s="33">
        <f>IF(A330="","",IF(J330&lt;=G330,"REPONER","OK"))</f>
        <v/>
      </c>
    </row>
    <row r="331" ht="15" customHeight="1" s="21">
      <c r="A331" s="30" t="n"/>
      <c r="B331" s="30" t="n"/>
      <c r="C331" s="31" t="n"/>
      <c r="D331" s="31" t="n"/>
      <c r="E331" s="32">
        <f>IF(A331="","",D331-C331)</f>
        <v/>
      </c>
      <c r="F331" s="30" t="n"/>
      <c r="G331" s="30" t="n"/>
      <c r="H331" s="33">
        <f>IF(A331="","",SUMIFS(Movimientos!$D$2:$D$3001,Movimientos!$B$2:$B$3001,A331,Movimientos!$C$2:$C$3001,"Entrada"))</f>
        <v/>
      </c>
      <c r="I331" s="33">
        <f>IF(A331="","",SUMIFS(Movimientos!$D$2:$D$3001,Movimientos!$B$2:$B$3001,A331,Movimientos!$C$2:$C$3001,"Venta"))</f>
        <v/>
      </c>
      <c r="J331" s="33">
        <f>IF(A331="","",F331+H331-I331)</f>
        <v/>
      </c>
      <c r="K331" s="33">
        <f>IF(A331="","",IF(J331&lt;=G331,"REPONER","OK"))</f>
        <v/>
      </c>
    </row>
    <row r="332" ht="15" customHeight="1" s="21">
      <c r="A332" s="30" t="n"/>
      <c r="B332" s="30" t="n"/>
      <c r="C332" s="31" t="n"/>
      <c r="D332" s="31" t="n"/>
      <c r="E332" s="32">
        <f>IF(A332="","",D332-C332)</f>
        <v/>
      </c>
      <c r="F332" s="30" t="n"/>
      <c r="G332" s="30" t="n"/>
      <c r="H332" s="33">
        <f>IF(A332="","",SUMIFS(Movimientos!$D$2:$D$3001,Movimientos!$B$2:$B$3001,A332,Movimientos!$C$2:$C$3001,"Entrada"))</f>
        <v/>
      </c>
      <c r="I332" s="33">
        <f>IF(A332="","",SUMIFS(Movimientos!$D$2:$D$3001,Movimientos!$B$2:$B$3001,A332,Movimientos!$C$2:$C$3001,"Venta"))</f>
        <v/>
      </c>
      <c r="J332" s="33">
        <f>IF(A332="","",F332+H332-I332)</f>
        <v/>
      </c>
      <c r="K332" s="33">
        <f>IF(A332="","",IF(J332&lt;=G332,"REPONER","OK"))</f>
        <v/>
      </c>
    </row>
    <row r="333" ht="15" customHeight="1" s="21">
      <c r="A333" s="30" t="n"/>
      <c r="B333" s="30" t="n"/>
      <c r="C333" s="31" t="n"/>
      <c r="D333" s="31" t="n"/>
      <c r="E333" s="32">
        <f>IF(A333="","",D333-C333)</f>
        <v/>
      </c>
      <c r="F333" s="30" t="n"/>
      <c r="G333" s="30" t="n"/>
      <c r="H333" s="33">
        <f>IF(A333="","",SUMIFS(Movimientos!$D$2:$D$3001,Movimientos!$B$2:$B$3001,A333,Movimientos!$C$2:$C$3001,"Entrada"))</f>
        <v/>
      </c>
      <c r="I333" s="33">
        <f>IF(A333="","",SUMIFS(Movimientos!$D$2:$D$3001,Movimientos!$B$2:$B$3001,A333,Movimientos!$C$2:$C$3001,"Venta"))</f>
        <v/>
      </c>
      <c r="J333" s="33">
        <f>IF(A333="","",F333+H333-I333)</f>
        <v/>
      </c>
      <c r="K333" s="33">
        <f>IF(A333="","",IF(J333&lt;=G333,"REPONER","OK"))</f>
        <v/>
      </c>
    </row>
    <row r="334" ht="15" customHeight="1" s="21">
      <c r="A334" s="30" t="n"/>
      <c r="B334" s="30" t="n"/>
      <c r="C334" s="31" t="n"/>
      <c r="D334" s="31" t="n"/>
      <c r="E334" s="32">
        <f>IF(A334="","",D334-C334)</f>
        <v/>
      </c>
      <c r="F334" s="30" t="n"/>
      <c r="G334" s="30" t="n"/>
      <c r="H334" s="33">
        <f>IF(A334="","",SUMIFS(Movimientos!$D$2:$D$3001,Movimientos!$B$2:$B$3001,A334,Movimientos!$C$2:$C$3001,"Entrada"))</f>
        <v/>
      </c>
      <c r="I334" s="33">
        <f>IF(A334="","",SUMIFS(Movimientos!$D$2:$D$3001,Movimientos!$B$2:$B$3001,A334,Movimientos!$C$2:$C$3001,"Venta"))</f>
        <v/>
      </c>
      <c r="J334" s="33">
        <f>IF(A334="","",F334+H334-I334)</f>
        <v/>
      </c>
      <c r="K334" s="33">
        <f>IF(A334="","",IF(J334&lt;=G334,"REPONER","OK"))</f>
        <v/>
      </c>
    </row>
    <row r="335" ht="15" customHeight="1" s="21">
      <c r="A335" s="30" t="n"/>
      <c r="B335" s="30" t="n"/>
      <c r="C335" s="31" t="n"/>
      <c r="D335" s="31" t="n"/>
      <c r="E335" s="32">
        <f>IF(A335="","",D335-C335)</f>
        <v/>
      </c>
      <c r="F335" s="30" t="n"/>
      <c r="G335" s="30" t="n"/>
      <c r="H335" s="33">
        <f>IF(A335="","",SUMIFS(Movimientos!$D$2:$D$3001,Movimientos!$B$2:$B$3001,A335,Movimientos!$C$2:$C$3001,"Entrada"))</f>
        <v/>
      </c>
      <c r="I335" s="33">
        <f>IF(A335="","",SUMIFS(Movimientos!$D$2:$D$3001,Movimientos!$B$2:$B$3001,A335,Movimientos!$C$2:$C$3001,"Venta"))</f>
        <v/>
      </c>
      <c r="J335" s="33">
        <f>IF(A335="","",F335+H335-I335)</f>
        <v/>
      </c>
      <c r="K335" s="33">
        <f>IF(A335="","",IF(J335&lt;=G335,"REPONER","OK"))</f>
        <v/>
      </c>
    </row>
    <row r="336" ht="15" customHeight="1" s="21">
      <c r="A336" s="30" t="n"/>
      <c r="B336" s="30" t="n"/>
      <c r="C336" s="31" t="n"/>
      <c r="D336" s="31" t="n"/>
      <c r="E336" s="32">
        <f>IF(A336="","",D336-C336)</f>
        <v/>
      </c>
      <c r="F336" s="30" t="n"/>
      <c r="G336" s="30" t="n"/>
      <c r="H336" s="33">
        <f>IF(A336="","",SUMIFS(Movimientos!$D$2:$D$3001,Movimientos!$B$2:$B$3001,A336,Movimientos!$C$2:$C$3001,"Entrada"))</f>
        <v/>
      </c>
      <c r="I336" s="33">
        <f>IF(A336="","",SUMIFS(Movimientos!$D$2:$D$3001,Movimientos!$B$2:$B$3001,A336,Movimientos!$C$2:$C$3001,"Venta"))</f>
        <v/>
      </c>
      <c r="J336" s="33">
        <f>IF(A336="","",F336+H336-I336)</f>
        <v/>
      </c>
      <c r="K336" s="33">
        <f>IF(A336="","",IF(J336&lt;=G336,"REPONER","OK"))</f>
        <v/>
      </c>
    </row>
    <row r="337" ht="15" customHeight="1" s="21">
      <c r="A337" s="30" t="n"/>
      <c r="B337" s="30" t="n"/>
      <c r="C337" s="31" t="n"/>
      <c r="D337" s="31" t="n"/>
      <c r="E337" s="32">
        <f>IF(A337="","",D337-C337)</f>
        <v/>
      </c>
      <c r="F337" s="30" t="n"/>
      <c r="G337" s="30" t="n"/>
      <c r="H337" s="33">
        <f>IF(A337="","",SUMIFS(Movimientos!$D$2:$D$3001,Movimientos!$B$2:$B$3001,A337,Movimientos!$C$2:$C$3001,"Entrada"))</f>
        <v/>
      </c>
      <c r="I337" s="33">
        <f>IF(A337="","",SUMIFS(Movimientos!$D$2:$D$3001,Movimientos!$B$2:$B$3001,A337,Movimientos!$C$2:$C$3001,"Venta"))</f>
        <v/>
      </c>
      <c r="J337" s="33">
        <f>IF(A337="","",F337+H337-I337)</f>
        <v/>
      </c>
      <c r="K337" s="33">
        <f>IF(A337="","",IF(J337&lt;=G337,"REPONER","OK"))</f>
        <v/>
      </c>
    </row>
    <row r="338" ht="15" customHeight="1" s="21">
      <c r="A338" s="30" t="n"/>
      <c r="B338" s="30" t="n"/>
      <c r="C338" s="31" t="n"/>
      <c r="D338" s="31" t="n"/>
      <c r="E338" s="32">
        <f>IF(A338="","",D338-C338)</f>
        <v/>
      </c>
      <c r="F338" s="30" t="n"/>
      <c r="G338" s="30" t="n"/>
      <c r="H338" s="33">
        <f>IF(A338="","",SUMIFS(Movimientos!$D$2:$D$3001,Movimientos!$B$2:$B$3001,A338,Movimientos!$C$2:$C$3001,"Entrada"))</f>
        <v/>
      </c>
      <c r="I338" s="33">
        <f>IF(A338="","",SUMIFS(Movimientos!$D$2:$D$3001,Movimientos!$B$2:$B$3001,A338,Movimientos!$C$2:$C$3001,"Venta"))</f>
        <v/>
      </c>
      <c r="J338" s="33">
        <f>IF(A338="","",F338+H338-I338)</f>
        <v/>
      </c>
      <c r="K338" s="33">
        <f>IF(A338="","",IF(J338&lt;=G338,"REPONER","OK"))</f>
        <v/>
      </c>
    </row>
    <row r="339" ht="15" customHeight="1" s="21">
      <c r="A339" s="30" t="n"/>
      <c r="B339" s="30" t="n"/>
      <c r="C339" s="31" t="n"/>
      <c r="D339" s="31" t="n"/>
      <c r="E339" s="32">
        <f>IF(A339="","",D339-C339)</f>
        <v/>
      </c>
      <c r="F339" s="30" t="n"/>
      <c r="G339" s="30" t="n"/>
      <c r="H339" s="33">
        <f>IF(A339="","",SUMIFS(Movimientos!$D$2:$D$3001,Movimientos!$B$2:$B$3001,A339,Movimientos!$C$2:$C$3001,"Entrada"))</f>
        <v/>
      </c>
      <c r="I339" s="33">
        <f>IF(A339="","",SUMIFS(Movimientos!$D$2:$D$3001,Movimientos!$B$2:$B$3001,A339,Movimientos!$C$2:$C$3001,"Venta"))</f>
        <v/>
      </c>
      <c r="J339" s="33">
        <f>IF(A339="","",F339+H339-I339)</f>
        <v/>
      </c>
      <c r="K339" s="33">
        <f>IF(A339="","",IF(J339&lt;=G339,"REPONER","OK"))</f>
        <v/>
      </c>
    </row>
    <row r="340" ht="15" customHeight="1" s="21">
      <c r="A340" s="30" t="n"/>
      <c r="B340" s="30" t="n"/>
      <c r="C340" s="31" t="n"/>
      <c r="D340" s="31" t="n"/>
      <c r="E340" s="32">
        <f>IF(A340="","",D340-C340)</f>
        <v/>
      </c>
      <c r="F340" s="30" t="n"/>
      <c r="G340" s="30" t="n"/>
      <c r="H340" s="33">
        <f>IF(A340="","",SUMIFS(Movimientos!$D$2:$D$3001,Movimientos!$B$2:$B$3001,A340,Movimientos!$C$2:$C$3001,"Entrada"))</f>
        <v/>
      </c>
      <c r="I340" s="33">
        <f>IF(A340="","",SUMIFS(Movimientos!$D$2:$D$3001,Movimientos!$B$2:$B$3001,A340,Movimientos!$C$2:$C$3001,"Venta"))</f>
        <v/>
      </c>
      <c r="J340" s="33">
        <f>IF(A340="","",F340+H340-I340)</f>
        <v/>
      </c>
      <c r="K340" s="33">
        <f>IF(A340="","",IF(J340&lt;=G340,"REPONER","OK"))</f>
        <v/>
      </c>
    </row>
    <row r="341" ht="15" customHeight="1" s="21">
      <c r="A341" s="30" t="n"/>
      <c r="B341" s="30" t="n"/>
      <c r="C341" s="31" t="n"/>
      <c r="D341" s="31" t="n"/>
      <c r="E341" s="32">
        <f>IF(A341="","",D341-C341)</f>
        <v/>
      </c>
      <c r="F341" s="30" t="n"/>
      <c r="G341" s="30" t="n"/>
      <c r="H341" s="33">
        <f>IF(A341="","",SUMIFS(Movimientos!$D$2:$D$3001,Movimientos!$B$2:$B$3001,A341,Movimientos!$C$2:$C$3001,"Entrada"))</f>
        <v/>
      </c>
      <c r="I341" s="33">
        <f>IF(A341="","",SUMIFS(Movimientos!$D$2:$D$3001,Movimientos!$B$2:$B$3001,A341,Movimientos!$C$2:$C$3001,"Venta"))</f>
        <v/>
      </c>
      <c r="J341" s="33">
        <f>IF(A341="","",F341+H341-I341)</f>
        <v/>
      </c>
      <c r="K341" s="33">
        <f>IF(A341="","",IF(J341&lt;=G341,"REPONER","OK"))</f>
        <v/>
      </c>
    </row>
    <row r="342" ht="15" customHeight="1" s="21">
      <c r="A342" s="30" t="n"/>
      <c r="B342" s="30" t="n"/>
      <c r="C342" s="31" t="n"/>
      <c r="D342" s="31" t="n"/>
      <c r="E342" s="32">
        <f>IF(A342="","",D342-C342)</f>
        <v/>
      </c>
      <c r="F342" s="30" t="n"/>
      <c r="G342" s="30" t="n"/>
      <c r="H342" s="33">
        <f>IF(A342="","",SUMIFS(Movimientos!$D$2:$D$3001,Movimientos!$B$2:$B$3001,A342,Movimientos!$C$2:$C$3001,"Entrada"))</f>
        <v/>
      </c>
      <c r="I342" s="33">
        <f>IF(A342="","",SUMIFS(Movimientos!$D$2:$D$3001,Movimientos!$B$2:$B$3001,A342,Movimientos!$C$2:$C$3001,"Venta"))</f>
        <v/>
      </c>
      <c r="J342" s="33">
        <f>IF(A342="","",F342+H342-I342)</f>
        <v/>
      </c>
      <c r="K342" s="33">
        <f>IF(A342="","",IF(J342&lt;=G342,"REPONER","OK"))</f>
        <v/>
      </c>
    </row>
    <row r="343" ht="15" customHeight="1" s="21">
      <c r="A343" s="30" t="n"/>
      <c r="B343" s="30" t="n"/>
      <c r="C343" s="31" t="n"/>
      <c r="D343" s="31" t="n"/>
      <c r="E343" s="32">
        <f>IF(A343="","",D343-C343)</f>
        <v/>
      </c>
      <c r="F343" s="30" t="n"/>
      <c r="G343" s="30" t="n"/>
      <c r="H343" s="33">
        <f>IF(A343="","",SUMIFS(Movimientos!$D$2:$D$3001,Movimientos!$B$2:$B$3001,A343,Movimientos!$C$2:$C$3001,"Entrada"))</f>
        <v/>
      </c>
      <c r="I343" s="33">
        <f>IF(A343="","",SUMIFS(Movimientos!$D$2:$D$3001,Movimientos!$B$2:$B$3001,A343,Movimientos!$C$2:$C$3001,"Venta"))</f>
        <v/>
      </c>
      <c r="J343" s="33">
        <f>IF(A343="","",F343+H343-I343)</f>
        <v/>
      </c>
      <c r="K343" s="33">
        <f>IF(A343="","",IF(J343&lt;=G343,"REPONER","OK"))</f>
        <v/>
      </c>
    </row>
    <row r="344" ht="15" customHeight="1" s="21">
      <c r="A344" s="30" t="n"/>
      <c r="B344" s="30" t="n"/>
      <c r="C344" s="31" t="n"/>
      <c r="D344" s="31" t="n"/>
      <c r="E344" s="32">
        <f>IF(A344="","",D344-C344)</f>
        <v/>
      </c>
      <c r="F344" s="30" t="n"/>
      <c r="G344" s="30" t="n"/>
      <c r="H344" s="33">
        <f>IF(A344="","",SUMIFS(Movimientos!$D$2:$D$3001,Movimientos!$B$2:$B$3001,A344,Movimientos!$C$2:$C$3001,"Entrada"))</f>
        <v/>
      </c>
      <c r="I344" s="33">
        <f>IF(A344="","",SUMIFS(Movimientos!$D$2:$D$3001,Movimientos!$B$2:$B$3001,A344,Movimientos!$C$2:$C$3001,"Venta"))</f>
        <v/>
      </c>
      <c r="J344" s="33">
        <f>IF(A344="","",F344+H344-I344)</f>
        <v/>
      </c>
      <c r="K344" s="33">
        <f>IF(A344="","",IF(J344&lt;=G344,"REPONER","OK"))</f>
        <v/>
      </c>
    </row>
    <row r="345" ht="15" customHeight="1" s="21">
      <c r="A345" s="30" t="n"/>
      <c r="B345" s="30" t="n"/>
      <c r="C345" s="31" t="n"/>
      <c r="D345" s="31" t="n"/>
      <c r="E345" s="32">
        <f>IF(A345="","",D345-C345)</f>
        <v/>
      </c>
      <c r="F345" s="30" t="n"/>
      <c r="G345" s="30" t="n"/>
      <c r="H345" s="33">
        <f>IF(A345="","",SUMIFS(Movimientos!$D$2:$D$3001,Movimientos!$B$2:$B$3001,A345,Movimientos!$C$2:$C$3001,"Entrada"))</f>
        <v/>
      </c>
      <c r="I345" s="33">
        <f>IF(A345="","",SUMIFS(Movimientos!$D$2:$D$3001,Movimientos!$B$2:$B$3001,A345,Movimientos!$C$2:$C$3001,"Venta"))</f>
        <v/>
      </c>
      <c r="J345" s="33">
        <f>IF(A345="","",F345+H345-I345)</f>
        <v/>
      </c>
      <c r="K345" s="33">
        <f>IF(A345="","",IF(J345&lt;=G345,"REPONER","OK"))</f>
        <v/>
      </c>
    </row>
    <row r="346" ht="15" customHeight="1" s="21">
      <c r="A346" s="30" t="n"/>
      <c r="B346" s="30" t="n"/>
      <c r="C346" s="31" t="n"/>
      <c r="D346" s="31" t="n"/>
      <c r="E346" s="32">
        <f>IF(A346="","",D346-C346)</f>
        <v/>
      </c>
      <c r="F346" s="30" t="n"/>
      <c r="G346" s="30" t="n"/>
      <c r="H346" s="33">
        <f>IF(A346="","",SUMIFS(Movimientos!$D$2:$D$3001,Movimientos!$B$2:$B$3001,A346,Movimientos!$C$2:$C$3001,"Entrada"))</f>
        <v/>
      </c>
      <c r="I346" s="33">
        <f>IF(A346="","",SUMIFS(Movimientos!$D$2:$D$3001,Movimientos!$B$2:$B$3001,A346,Movimientos!$C$2:$C$3001,"Venta"))</f>
        <v/>
      </c>
      <c r="J346" s="33">
        <f>IF(A346="","",F346+H346-I346)</f>
        <v/>
      </c>
      <c r="K346" s="33">
        <f>IF(A346="","",IF(J346&lt;=G346,"REPONER","OK"))</f>
        <v/>
      </c>
    </row>
    <row r="347" ht="15" customHeight="1" s="21">
      <c r="A347" s="30" t="n"/>
      <c r="B347" s="30" t="n"/>
      <c r="C347" s="31" t="n"/>
      <c r="D347" s="31" t="n"/>
      <c r="E347" s="32">
        <f>IF(A347="","",D347-C347)</f>
        <v/>
      </c>
      <c r="F347" s="30" t="n"/>
      <c r="G347" s="30" t="n"/>
      <c r="H347" s="33">
        <f>IF(A347="","",SUMIFS(Movimientos!$D$2:$D$3001,Movimientos!$B$2:$B$3001,A347,Movimientos!$C$2:$C$3001,"Entrada"))</f>
        <v/>
      </c>
      <c r="I347" s="33">
        <f>IF(A347="","",SUMIFS(Movimientos!$D$2:$D$3001,Movimientos!$B$2:$B$3001,A347,Movimientos!$C$2:$C$3001,"Venta"))</f>
        <v/>
      </c>
      <c r="J347" s="33">
        <f>IF(A347="","",F347+H347-I347)</f>
        <v/>
      </c>
      <c r="K347" s="33">
        <f>IF(A347="","",IF(J347&lt;=G347,"REPONER","OK"))</f>
        <v/>
      </c>
    </row>
    <row r="348" ht="15" customHeight="1" s="21">
      <c r="A348" s="30" t="n"/>
      <c r="B348" s="30" t="n"/>
      <c r="C348" s="31" t="n"/>
      <c r="D348" s="31" t="n"/>
      <c r="E348" s="32">
        <f>IF(A348="","",D348-C348)</f>
        <v/>
      </c>
      <c r="F348" s="30" t="n"/>
      <c r="G348" s="30" t="n"/>
      <c r="H348" s="33">
        <f>IF(A348="","",SUMIFS(Movimientos!$D$2:$D$3001,Movimientos!$B$2:$B$3001,A348,Movimientos!$C$2:$C$3001,"Entrada"))</f>
        <v/>
      </c>
      <c r="I348" s="33">
        <f>IF(A348="","",SUMIFS(Movimientos!$D$2:$D$3001,Movimientos!$B$2:$B$3001,A348,Movimientos!$C$2:$C$3001,"Venta"))</f>
        <v/>
      </c>
      <c r="J348" s="33">
        <f>IF(A348="","",F348+H348-I348)</f>
        <v/>
      </c>
      <c r="K348" s="33">
        <f>IF(A348="","",IF(J348&lt;=G348,"REPONER","OK"))</f>
        <v/>
      </c>
    </row>
    <row r="349" ht="15" customHeight="1" s="21">
      <c r="A349" s="30" t="n"/>
      <c r="B349" s="30" t="n"/>
      <c r="C349" s="31" t="n"/>
      <c r="D349" s="31" t="n"/>
      <c r="E349" s="32">
        <f>IF(A349="","",D349-C349)</f>
        <v/>
      </c>
      <c r="F349" s="30" t="n"/>
      <c r="G349" s="30" t="n"/>
      <c r="H349" s="33">
        <f>IF(A349="","",SUMIFS(Movimientos!$D$2:$D$3001,Movimientos!$B$2:$B$3001,A349,Movimientos!$C$2:$C$3001,"Entrada"))</f>
        <v/>
      </c>
      <c r="I349" s="33">
        <f>IF(A349="","",SUMIFS(Movimientos!$D$2:$D$3001,Movimientos!$B$2:$B$3001,A349,Movimientos!$C$2:$C$3001,"Venta"))</f>
        <v/>
      </c>
      <c r="J349" s="33">
        <f>IF(A349="","",F349+H349-I349)</f>
        <v/>
      </c>
      <c r="K349" s="33">
        <f>IF(A349="","",IF(J349&lt;=G349,"REPONER","OK"))</f>
        <v/>
      </c>
    </row>
    <row r="350" ht="15" customHeight="1" s="21">
      <c r="A350" s="30" t="n"/>
      <c r="B350" s="30" t="n"/>
      <c r="C350" s="31" t="n"/>
      <c r="D350" s="31" t="n"/>
      <c r="E350" s="32">
        <f>IF(A350="","",D350-C350)</f>
        <v/>
      </c>
      <c r="F350" s="30" t="n"/>
      <c r="G350" s="30" t="n"/>
      <c r="H350" s="33">
        <f>IF(A350="","",SUMIFS(Movimientos!$D$2:$D$3001,Movimientos!$B$2:$B$3001,A350,Movimientos!$C$2:$C$3001,"Entrada"))</f>
        <v/>
      </c>
      <c r="I350" s="33">
        <f>IF(A350="","",SUMIFS(Movimientos!$D$2:$D$3001,Movimientos!$B$2:$B$3001,A350,Movimientos!$C$2:$C$3001,"Venta"))</f>
        <v/>
      </c>
      <c r="J350" s="33">
        <f>IF(A350="","",F350+H350-I350)</f>
        <v/>
      </c>
      <c r="K350" s="33">
        <f>IF(A350="","",IF(J350&lt;=G350,"REPONER","OK"))</f>
        <v/>
      </c>
    </row>
    <row r="351" ht="15" customHeight="1" s="21">
      <c r="A351" s="30" t="n"/>
      <c r="B351" s="30" t="n"/>
      <c r="C351" s="31" t="n"/>
      <c r="D351" s="31" t="n"/>
      <c r="E351" s="32">
        <f>IF(A351="","",D351-C351)</f>
        <v/>
      </c>
      <c r="F351" s="30" t="n"/>
      <c r="G351" s="30" t="n"/>
      <c r="H351" s="33">
        <f>IF(A351="","",SUMIFS(Movimientos!$D$2:$D$3001,Movimientos!$B$2:$B$3001,A351,Movimientos!$C$2:$C$3001,"Entrada"))</f>
        <v/>
      </c>
      <c r="I351" s="33">
        <f>IF(A351="","",SUMIFS(Movimientos!$D$2:$D$3001,Movimientos!$B$2:$B$3001,A351,Movimientos!$C$2:$C$3001,"Venta"))</f>
        <v/>
      </c>
      <c r="J351" s="33">
        <f>IF(A351="","",F351+H351-I351)</f>
        <v/>
      </c>
      <c r="K351" s="33">
        <f>IF(A351="","",IF(J351&lt;=G351,"REPONER","OK"))</f>
        <v/>
      </c>
    </row>
    <row r="352" ht="15" customHeight="1" s="21">
      <c r="A352" s="30" t="n"/>
      <c r="B352" s="30" t="n"/>
      <c r="C352" s="31" t="n"/>
      <c r="D352" s="31" t="n"/>
      <c r="E352" s="32">
        <f>IF(A352="","",D352-C352)</f>
        <v/>
      </c>
      <c r="F352" s="30" t="n"/>
      <c r="G352" s="30" t="n"/>
      <c r="H352" s="33">
        <f>IF(A352="","",SUMIFS(Movimientos!$D$2:$D$3001,Movimientos!$B$2:$B$3001,A352,Movimientos!$C$2:$C$3001,"Entrada"))</f>
        <v/>
      </c>
      <c r="I352" s="33">
        <f>IF(A352="","",SUMIFS(Movimientos!$D$2:$D$3001,Movimientos!$B$2:$B$3001,A352,Movimientos!$C$2:$C$3001,"Venta"))</f>
        <v/>
      </c>
      <c r="J352" s="33">
        <f>IF(A352="","",F352+H352-I352)</f>
        <v/>
      </c>
      <c r="K352" s="33">
        <f>IF(A352="","",IF(J352&lt;=G352,"REPONER","OK"))</f>
        <v/>
      </c>
    </row>
    <row r="353" ht="15" customHeight="1" s="21">
      <c r="A353" s="30" t="n"/>
      <c r="B353" s="30" t="n"/>
      <c r="C353" s="31" t="n"/>
      <c r="D353" s="31" t="n"/>
      <c r="E353" s="32">
        <f>IF(A353="","",D353-C353)</f>
        <v/>
      </c>
      <c r="F353" s="30" t="n"/>
      <c r="G353" s="30" t="n"/>
      <c r="H353" s="33">
        <f>IF(A353="","",SUMIFS(Movimientos!$D$2:$D$3001,Movimientos!$B$2:$B$3001,A353,Movimientos!$C$2:$C$3001,"Entrada"))</f>
        <v/>
      </c>
      <c r="I353" s="33">
        <f>IF(A353="","",SUMIFS(Movimientos!$D$2:$D$3001,Movimientos!$B$2:$B$3001,A353,Movimientos!$C$2:$C$3001,"Venta"))</f>
        <v/>
      </c>
      <c r="J353" s="33">
        <f>IF(A353="","",F353+H353-I353)</f>
        <v/>
      </c>
      <c r="K353" s="33">
        <f>IF(A353="","",IF(J353&lt;=G353,"REPONER","OK"))</f>
        <v/>
      </c>
    </row>
    <row r="354" ht="15" customHeight="1" s="21">
      <c r="A354" s="30" t="n"/>
      <c r="B354" s="30" t="n"/>
      <c r="C354" s="31" t="n"/>
      <c r="D354" s="31" t="n"/>
      <c r="E354" s="32">
        <f>IF(A354="","",D354-C354)</f>
        <v/>
      </c>
      <c r="F354" s="30" t="n"/>
      <c r="G354" s="30" t="n"/>
      <c r="H354" s="33">
        <f>IF(A354="","",SUMIFS(Movimientos!$D$2:$D$3001,Movimientos!$B$2:$B$3001,A354,Movimientos!$C$2:$C$3001,"Entrada"))</f>
        <v/>
      </c>
      <c r="I354" s="33">
        <f>IF(A354="","",SUMIFS(Movimientos!$D$2:$D$3001,Movimientos!$B$2:$B$3001,A354,Movimientos!$C$2:$C$3001,"Venta"))</f>
        <v/>
      </c>
      <c r="J354" s="33">
        <f>IF(A354="","",F354+H354-I354)</f>
        <v/>
      </c>
      <c r="K354" s="33">
        <f>IF(A354="","",IF(J354&lt;=G354,"REPONER","OK"))</f>
        <v/>
      </c>
    </row>
    <row r="355" ht="15" customHeight="1" s="21">
      <c r="A355" s="30" t="n"/>
      <c r="B355" s="30" t="n"/>
      <c r="C355" s="31" t="n"/>
      <c r="D355" s="31" t="n"/>
      <c r="E355" s="32">
        <f>IF(A355="","",D355-C355)</f>
        <v/>
      </c>
      <c r="F355" s="30" t="n"/>
      <c r="G355" s="30" t="n"/>
      <c r="H355" s="33">
        <f>IF(A355="","",SUMIFS(Movimientos!$D$2:$D$3001,Movimientos!$B$2:$B$3001,A355,Movimientos!$C$2:$C$3001,"Entrada"))</f>
        <v/>
      </c>
      <c r="I355" s="33">
        <f>IF(A355="","",SUMIFS(Movimientos!$D$2:$D$3001,Movimientos!$B$2:$B$3001,A355,Movimientos!$C$2:$C$3001,"Venta"))</f>
        <v/>
      </c>
      <c r="J355" s="33">
        <f>IF(A355="","",F355+H355-I355)</f>
        <v/>
      </c>
      <c r="K355" s="33">
        <f>IF(A355="","",IF(J355&lt;=G355,"REPONER","OK"))</f>
        <v/>
      </c>
    </row>
    <row r="356" ht="15" customHeight="1" s="21">
      <c r="A356" s="30" t="n"/>
      <c r="B356" s="30" t="n"/>
      <c r="C356" s="31" t="n"/>
      <c r="D356" s="31" t="n"/>
      <c r="E356" s="32">
        <f>IF(A356="","",D356-C356)</f>
        <v/>
      </c>
      <c r="F356" s="30" t="n"/>
      <c r="G356" s="30" t="n"/>
      <c r="H356" s="33">
        <f>IF(A356="","",SUMIFS(Movimientos!$D$2:$D$3001,Movimientos!$B$2:$B$3001,A356,Movimientos!$C$2:$C$3001,"Entrada"))</f>
        <v/>
      </c>
      <c r="I356" s="33">
        <f>IF(A356="","",SUMIFS(Movimientos!$D$2:$D$3001,Movimientos!$B$2:$B$3001,A356,Movimientos!$C$2:$C$3001,"Venta"))</f>
        <v/>
      </c>
      <c r="J356" s="33">
        <f>IF(A356="","",F356+H356-I356)</f>
        <v/>
      </c>
      <c r="K356" s="33">
        <f>IF(A356="","",IF(J356&lt;=G356,"REPONER","OK"))</f>
        <v/>
      </c>
    </row>
    <row r="357" ht="15" customHeight="1" s="21">
      <c r="A357" s="30" t="n"/>
      <c r="B357" s="30" t="n"/>
      <c r="C357" s="31" t="n"/>
      <c r="D357" s="31" t="n"/>
      <c r="E357" s="32">
        <f>IF(A357="","",D357-C357)</f>
        <v/>
      </c>
      <c r="F357" s="30" t="n"/>
      <c r="G357" s="30" t="n"/>
      <c r="H357" s="33">
        <f>IF(A357="","",SUMIFS(Movimientos!$D$2:$D$3001,Movimientos!$B$2:$B$3001,A357,Movimientos!$C$2:$C$3001,"Entrada"))</f>
        <v/>
      </c>
      <c r="I357" s="33">
        <f>IF(A357="","",SUMIFS(Movimientos!$D$2:$D$3001,Movimientos!$B$2:$B$3001,A357,Movimientos!$C$2:$C$3001,"Venta"))</f>
        <v/>
      </c>
      <c r="J357" s="33">
        <f>IF(A357="","",F357+H357-I357)</f>
        <v/>
      </c>
      <c r="K357" s="33">
        <f>IF(A357="","",IF(J357&lt;=G357,"REPONER","OK"))</f>
        <v/>
      </c>
    </row>
    <row r="358" ht="15" customHeight="1" s="21">
      <c r="A358" s="30" t="n"/>
      <c r="B358" s="30" t="n"/>
      <c r="C358" s="31" t="n"/>
      <c r="D358" s="31" t="n"/>
      <c r="E358" s="32">
        <f>IF(A358="","",D358-C358)</f>
        <v/>
      </c>
      <c r="F358" s="30" t="n"/>
      <c r="G358" s="30" t="n"/>
      <c r="H358" s="33">
        <f>IF(A358="","",SUMIFS(Movimientos!$D$2:$D$3001,Movimientos!$B$2:$B$3001,A358,Movimientos!$C$2:$C$3001,"Entrada"))</f>
        <v/>
      </c>
      <c r="I358" s="33">
        <f>IF(A358="","",SUMIFS(Movimientos!$D$2:$D$3001,Movimientos!$B$2:$B$3001,A358,Movimientos!$C$2:$C$3001,"Venta"))</f>
        <v/>
      </c>
      <c r="J358" s="33">
        <f>IF(A358="","",F358+H358-I358)</f>
        <v/>
      </c>
      <c r="K358" s="33">
        <f>IF(A358="","",IF(J358&lt;=G358,"REPONER","OK"))</f>
        <v/>
      </c>
    </row>
    <row r="359" ht="15" customHeight="1" s="21">
      <c r="A359" s="30" t="n"/>
      <c r="B359" s="30" t="n"/>
      <c r="C359" s="31" t="n"/>
      <c r="D359" s="31" t="n"/>
      <c r="E359" s="32">
        <f>IF(A359="","",D359-C359)</f>
        <v/>
      </c>
      <c r="F359" s="30" t="n"/>
      <c r="G359" s="30" t="n"/>
      <c r="H359" s="33">
        <f>IF(A359="","",SUMIFS(Movimientos!$D$2:$D$3001,Movimientos!$B$2:$B$3001,A359,Movimientos!$C$2:$C$3001,"Entrada"))</f>
        <v/>
      </c>
      <c r="I359" s="33">
        <f>IF(A359="","",SUMIFS(Movimientos!$D$2:$D$3001,Movimientos!$B$2:$B$3001,A359,Movimientos!$C$2:$C$3001,"Venta"))</f>
        <v/>
      </c>
      <c r="J359" s="33">
        <f>IF(A359="","",F359+H359-I359)</f>
        <v/>
      </c>
      <c r="K359" s="33">
        <f>IF(A359="","",IF(J359&lt;=G359,"REPONER","OK"))</f>
        <v/>
      </c>
    </row>
    <row r="360" ht="15" customHeight="1" s="21">
      <c r="A360" s="30" t="n"/>
      <c r="B360" s="30" t="n"/>
      <c r="C360" s="31" t="n"/>
      <c r="D360" s="31" t="n"/>
      <c r="E360" s="32">
        <f>IF(A360="","",D360-C360)</f>
        <v/>
      </c>
      <c r="F360" s="30" t="n"/>
      <c r="G360" s="30" t="n"/>
      <c r="H360" s="33">
        <f>IF(A360="","",SUMIFS(Movimientos!$D$2:$D$3001,Movimientos!$B$2:$B$3001,A360,Movimientos!$C$2:$C$3001,"Entrada"))</f>
        <v/>
      </c>
      <c r="I360" s="33">
        <f>IF(A360="","",SUMIFS(Movimientos!$D$2:$D$3001,Movimientos!$B$2:$B$3001,A360,Movimientos!$C$2:$C$3001,"Venta"))</f>
        <v/>
      </c>
      <c r="J360" s="33">
        <f>IF(A360="","",F360+H360-I360)</f>
        <v/>
      </c>
      <c r="K360" s="33">
        <f>IF(A360="","",IF(J360&lt;=G360,"REPONER","OK"))</f>
        <v/>
      </c>
    </row>
    <row r="361" ht="15" customHeight="1" s="21">
      <c r="A361" s="30" t="n"/>
      <c r="B361" s="30" t="n"/>
      <c r="C361" s="31" t="n"/>
      <c r="D361" s="31" t="n"/>
      <c r="E361" s="32">
        <f>IF(A361="","",D361-C361)</f>
        <v/>
      </c>
      <c r="F361" s="30" t="n"/>
      <c r="G361" s="30" t="n"/>
      <c r="H361" s="33">
        <f>IF(A361="","",SUMIFS(Movimientos!$D$2:$D$3001,Movimientos!$B$2:$B$3001,A361,Movimientos!$C$2:$C$3001,"Entrada"))</f>
        <v/>
      </c>
      <c r="I361" s="33">
        <f>IF(A361="","",SUMIFS(Movimientos!$D$2:$D$3001,Movimientos!$B$2:$B$3001,A361,Movimientos!$C$2:$C$3001,"Venta"))</f>
        <v/>
      </c>
      <c r="J361" s="33">
        <f>IF(A361="","",F361+H361-I361)</f>
        <v/>
      </c>
      <c r="K361" s="33">
        <f>IF(A361="","",IF(J361&lt;=G361,"REPONER","OK"))</f>
        <v/>
      </c>
    </row>
    <row r="362" ht="15" customHeight="1" s="21">
      <c r="A362" s="30" t="n"/>
      <c r="B362" s="30" t="n"/>
      <c r="C362" s="31" t="n"/>
      <c r="D362" s="31" t="n"/>
      <c r="E362" s="32">
        <f>IF(A362="","",D362-C362)</f>
        <v/>
      </c>
      <c r="F362" s="30" t="n"/>
      <c r="G362" s="30" t="n"/>
      <c r="H362" s="33">
        <f>IF(A362="","",SUMIFS(Movimientos!$D$2:$D$3001,Movimientos!$B$2:$B$3001,A362,Movimientos!$C$2:$C$3001,"Entrada"))</f>
        <v/>
      </c>
      <c r="I362" s="33">
        <f>IF(A362="","",SUMIFS(Movimientos!$D$2:$D$3001,Movimientos!$B$2:$B$3001,A362,Movimientos!$C$2:$C$3001,"Venta"))</f>
        <v/>
      </c>
      <c r="J362" s="33">
        <f>IF(A362="","",F362+H362-I362)</f>
        <v/>
      </c>
      <c r="K362" s="33">
        <f>IF(A362="","",IF(J362&lt;=G362,"REPONER","OK"))</f>
        <v/>
      </c>
    </row>
    <row r="363" ht="15" customHeight="1" s="21">
      <c r="A363" s="30" t="n"/>
      <c r="B363" s="30" t="n"/>
      <c r="C363" s="31" t="n"/>
      <c r="D363" s="31" t="n"/>
      <c r="E363" s="32">
        <f>IF(A363="","",D363-C363)</f>
        <v/>
      </c>
      <c r="F363" s="30" t="n"/>
      <c r="G363" s="30" t="n"/>
      <c r="H363" s="33">
        <f>IF(A363="","",SUMIFS(Movimientos!$D$2:$D$3001,Movimientos!$B$2:$B$3001,A363,Movimientos!$C$2:$C$3001,"Entrada"))</f>
        <v/>
      </c>
      <c r="I363" s="33">
        <f>IF(A363="","",SUMIFS(Movimientos!$D$2:$D$3001,Movimientos!$B$2:$B$3001,A363,Movimientos!$C$2:$C$3001,"Venta"))</f>
        <v/>
      </c>
      <c r="J363" s="33">
        <f>IF(A363="","",F363+H363-I363)</f>
        <v/>
      </c>
      <c r="K363" s="33">
        <f>IF(A363="","",IF(J363&lt;=G363,"REPONER","OK"))</f>
        <v/>
      </c>
    </row>
    <row r="364" ht="15" customHeight="1" s="21">
      <c r="A364" s="30" t="n"/>
      <c r="B364" s="30" t="n"/>
      <c r="C364" s="31" t="n"/>
      <c r="D364" s="31" t="n"/>
      <c r="E364" s="32">
        <f>IF(A364="","",D364-C364)</f>
        <v/>
      </c>
      <c r="F364" s="30" t="n"/>
      <c r="G364" s="30" t="n"/>
      <c r="H364" s="33">
        <f>IF(A364="","",SUMIFS(Movimientos!$D$2:$D$3001,Movimientos!$B$2:$B$3001,A364,Movimientos!$C$2:$C$3001,"Entrada"))</f>
        <v/>
      </c>
      <c r="I364" s="33">
        <f>IF(A364="","",SUMIFS(Movimientos!$D$2:$D$3001,Movimientos!$B$2:$B$3001,A364,Movimientos!$C$2:$C$3001,"Venta"))</f>
        <v/>
      </c>
      <c r="J364" s="33">
        <f>IF(A364="","",F364+H364-I364)</f>
        <v/>
      </c>
      <c r="K364" s="33">
        <f>IF(A364="","",IF(J364&lt;=G364,"REPONER","OK"))</f>
        <v/>
      </c>
    </row>
    <row r="365" ht="15" customHeight="1" s="21">
      <c r="A365" s="30" t="n"/>
      <c r="B365" s="30" t="n"/>
      <c r="C365" s="31" t="n"/>
      <c r="D365" s="31" t="n"/>
      <c r="E365" s="32">
        <f>IF(A365="","",D365-C365)</f>
        <v/>
      </c>
      <c r="F365" s="30" t="n"/>
      <c r="G365" s="30" t="n"/>
      <c r="H365" s="33">
        <f>IF(A365="","",SUMIFS(Movimientos!$D$2:$D$3001,Movimientos!$B$2:$B$3001,A365,Movimientos!$C$2:$C$3001,"Entrada"))</f>
        <v/>
      </c>
      <c r="I365" s="33">
        <f>IF(A365="","",SUMIFS(Movimientos!$D$2:$D$3001,Movimientos!$B$2:$B$3001,A365,Movimientos!$C$2:$C$3001,"Venta"))</f>
        <v/>
      </c>
      <c r="J365" s="33">
        <f>IF(A365="","",F365+H365-I365)</f>
        <v/>
      </c>
      <c r="K365" s="33">
        <f>IF(A365="","",IF(J365&lt;=G365,"REPONER","OK"))</f>
        <v/>
      </c>
    </row>
    <row r="366" ht="15" customHeight="1" s="21">
      <c r="A366" s="30" t="n"/>
      <c r="B366" s="30" t="n"/>
      <c r="C366" s="31" t="n"/>
      <c r="D366" s="31" t="n"/>
      <c r="E366" s="32">
        <f>IF(A366="","",D366-C366)</f>
        <v/>
      </c>
      <c r="F366" s="30" t="n"/>
      <c r="G366" s="30" t="n"/>
      <c r="H366" s="33">
        <f>IF(A366="","",SUMIFS(Movimientos!$D$2:$D$3001,Movimientos!$B$2:$B$3001,A366,Movimientos!$C$2:$C$3001,"Entrada"))</f>
        <v/>
      </c>
      <c r="I366" s="33">
        <f>IF(A366="","",SUMIFS(Movimientos!$D$2:$D$3001,Movimientos!$B$2:$B$3001,A366,Movimientos!$C$2:$C$3001,"Venta"))</f>
        <v/>
      </c>
      <c r="J366" s="33">
        <f>IF(A366="","",F366+H366-I366)</f>
        <v/>
      </c>
      <c r="K366" s="33">
        <f>IF(A366="","",IF(J366&lt;=G366,"REPONER","OK"))</f>
        <v/>
      </c>
    </row>
    <row r="367" ht="15" customHeight="1" s="21">
      <c r="A367" s="30" t="n"/>
      <c r="B367" s="30" t="n"/>
      <c r="C367" s="31" t="n"/>
      <c r="D367" s="31" t="n"/>
      <c r="E367" s="32">
        <f>IF(A367="","",D367-C367)</f>
        <v/>
      </c>
      <c r="F367" s="30" t="n"/>
      <c r="G367" s="30" t="n"/>
      <c r="H367" s="33">
        <f>IF(A367="","",SUMIFS(Movimientos!$D$2:$D$3001,Movimientos!$B$2:$B$3001,A367,Movimientos!$C$2:$C$3001,"Entrada"))</f>
        <v/>
      </c>
      <c r="I367" s="33">
        <f>IF(A367="","",SUMIFS(Movimientos!$D$2:$D$3001,Movimientos!$B$2:$B$3001,A367,Movimientos!$C$2:$C$3001,"Venta"))</f>
        <v/>
      </c>
      <c r="J367" s="33">
        <f>IF(A367="","",F367+H367-I367)</f>
        <v/>
      </c>
      <c r="K367" s="33">
        <f>IF(A367="","",IF(J367&lt;=G367,"REPONER","OK"))</f>
        <v/>
      </c>
    </row>
    <row r="368" ht="15" customHeight="1" s="21">
      <c r="A368" s="30" t="n"/>
      <c r="B368" s="30" t="n"/>
      <c r="C368" s="31" t="n"/>
      <c r="D368" s="31" t="n"/>
      <c r="E368" s="32">
        <f>IF(A368="","",D368-C368)</f>
        <v/>
      </c>
      <c r="F368" s="30" t="n"/>
      <c r="G368" s="30" t="n"/>
      <c r="H368" s="33">
        <f>IF(A368="","",SUMIFS(Movimientos!$D$2:$D$3001,Movimientos!$B$2:$B$3001,A368,Movimientos!$C$2:$C$3001,"Entrada"))</f>
        <v/>
      </c>
      <c r="I368" s="33">
        <f>IF(A368="","",SUMIFS(Movimientos!$D$2:$D$3001,Movimientos!$B$2:$B$3001,A368,Movimientos!$C$2:$C$3001,"Venta"))</f>
        <v/>
      </c>
      <c r="J368" s="33">
        <f>IF(A368="","",F368+H368-I368)</f>
        <v/>
      </c>
      <c r="K368" s="33">
        <f>IF(A368="","",IF(J368&lt;=G368,"REPONER","OK"))</f>
        <v/>
      </c>
    </row>
    <row r="369" ht="15" customHeight="1" s="21">
      <c r="A369" s="30" t="n"/>
      <c r="B369" s="30" t="n"/>
      <c r="C369" s="31" t="n"/>
      <c r="D369" s="31" t="n"/>
      <c r="E369" s="32">
        <f>IF(A369="","",D369-C369)</f>
        <v/>
      </c>
      <c r="F369" s="30" t="n"/>
      <c r="G369" s="30" t="n"/>
      <c r="H369" s="33">
        <f>IF(A369="","",SUMIFS(Movimientos!$D$2:$D$3001,Movimientos!$B$2:$B$3001,A369,Movimientos!$C$2:$C$3001,"Entrada"))</f>
        <v/>
      </c>
      <c r="I369" s="33">
        <f>IF(A369="","",SUMIFS(Movimientos!$D$2:$D$3001,Movimientos!$B$2:$B$3001,A369,Movimientos!$C$2:$C$3001,"Venta"))</f>
        <v/>
      </c>
      <c r="J369" s="33">
        <f>IF(A369="","",F369+H369-I369)</f>
        <v/>
      </c>
      <c r="K369" s="33">
        <f>IF(A369="","",IF(J369&lt;=G369,"REPONER","OK"))</f>
        <v/>
      </c>
    </row>
    <row r="370" ht="15" customHeight="1" s="21">
      <c r="A370" s="30" t="n"/>
      <c r="B370" s="30" t="n"/>
      <c r="C370" s="31" t="n"/>
      <c r="D370" s="31" t="n"/>
      <c r="E370" s="32">
        <f>IF(A370="","",D370-C370)</f>
        <v/>
      </c>
      <c r="F370" s="30" t="n"/>
      <c r="G370" s="30" t="n"/>
      <c r="H370" s="33">
        <f>IF(A370="","",SUMIFS(Movimientos!$D$2:$D$3001,Movimientos!$B$2:$B$3001,A370,Movimientos!$C$2:$C$3001,"Entrada"))</f>
        <v/>
      </c>
      <c r="I370" s="33">
        <f>IF(A370="","",SUMIFS(Movimientos!$D$2:$D$3001,Movimientos!$B$2:$B$3001,A370,Movimientos!$C$2:$C$3001,"Venta"))</f>
        <v/>
      </c>
      <c r="J370" s="33">
        <f>IF(A370="","",F370+H370-I370)</f>
        <v/>
      </c>
      <c r="K370" s="33">
        <f>IF(A370="","",IF(J370&lt;=G370,"REPONER","OK"))</f>
        <v/>
      </c>
    </row>
    <row r="371" ht="15" customHeight="1" s="21">
      <c r="A371" s="30" t="n"/>
      <c r="B371" s="30" t="n"/>
      <c r="C371" s="31" t="n"/>
      <c r="D371" s="31" t="n"/>
      <c r="E371" s="32">
        <f>IF(A371="","",D371-C371)</f>
        <v/>
      </c>
      <c r="F371" s="30" t="n"/>
      <c r="G371" s="30" t="n"/>
      <c r="H371" s="33">
        <f>IF(A371="","",SUMIFS(Movimientos!$D$2:$D$3001,Movimientos!$B$2:$B$3001,A371,Movimientos!$C$2:$C$3001,"Entrada"))</f>
        <v/>
      </c>
      <c r="I371" s="33">
        <f>IF(A371="","",SUMIFS(Movimientos!$D$2:$D$3001,Movimientos!$B$2:$B$3001,A371,Movimientos!$C$2:$C$3001,"Venta"))</f>
        <v/>
      </c>
      <c r="J371" s="33">
        <f>IF(A371="","",F371+H371-I371)</f>
        <v/>
      </c>
      <c r="K371" s="33">
        <f>IF(A371="","",IF(J371&lt;=G371,"REPONER","OK"))</f>
        <v/>
      </c>
    </row>
    <row r="372" ht="15" customHeight="1" s="21">
      <c r="A372" s="30" t="n"/>
      <c r="B372" s="30" t="n"/>
      <c r="C372" s="31" t="n"/>
      <c r="D372" s="31" t="n"/>
      <c r="E372" s="32">
        <f>IF(A372="","",D372-C372)</f>
        <v/>
      </c>
      <c r="F372" s="30" t="n"/>
      <c r="G372" s="30" t="n"/>
      <c r="H372" s="33">
        <f>IF(A372="","",SUMIFS(Movimientos!$D$2:$D$3001,Movimientos!$B$2:$B$3001,A372,Movimientos!$C$2:$C$3001,"Entrada"))</f>
        <v/>
      </c>
      <c r="I372" s="33">
        <f>IF(A372="","",SUMIFS(Movimientos!$D$2:$D$3001,Movimientos!$B$2:$B$3001,A372,Movimientos!$C$2:$C$3001,"Venta"))</f>
        <v/>
      </c>
      <c r="J372" s="33">
        <f>IF(A372="","",F372+H372-I372)</f>
        <v/>
      </c>
      <c r="K372" s="33">
        <f>IF(A372="","",IF(J372&lt;=G372,"REPONER","OK"))</f>
        <v/>
      </c>
    </row>
    <row r="373" ht="15" customHeight="1" s="21">
      <c r="A373" s="30" t="n"/>
      <c r="B373" s="30" t="n"/>
      <c r="C373" s="31" t="n"/>
      <c r="D373" s="31" t="n"/>
      <c r="E373" s="32">
        <f>IF(A373="","",D373-C373)</f>
        <v/>
      </c>
      <c r="F373" s="30" t="n"/>
      <c r="G373" s="30" t="n"/>
      <c r="H373" s="33">
        <f>IF(A373="","",SUMIFS(Movimientos!$D$2:$D$3001,Movimientos!$B$2:$B$3001,A373,Movimientos!$C$2:$C$3001,"Entrada"))</f>
        <v/>
      </c>
      <c r="I373" s="33">
        <f>IF(A373="","",SUMIFS(Movimientos!$D$2:$D$3001,Movimientos!$B$2:$B$3001,A373,Movimientos!$C$2:$C$3001,"Venta"))</f>
        <v/>
      </c>
      <c r="J373" s="33">
        <f>IF(A373="","",F373+H373-I373)</f>
        <v/>
      </c>
      <c r="K373" s="33">
        <f>IF(A373="","",IF(J373&lt;=G373,"REPONER","OK"))</f>
        <v/>
      </c>
    </row>
    <row r="374" ht="15" customHeight="1" s="21">
      <c r="A374" s="30" t="n"/>
      <c r="B374" s="30" t="n"/>
      <c r="C374" s="31" t="n"/>
      <c r="D374" s="31" t="n"/>
      <c r="E374" s="32">
        <f>IF(A374="","",D374-C374)</f>
        <v/>
      </c>
      <c r="F374" s="30" t="n"/>
      <c r="G374" s="30" t="n"/>
      <c r="H374" s="33">
        <f>IF(A374="","",SUMIFS(Movimientos!$D$2:$D$3001,Movimientos!$B$2:$B$3001,A374,Movimientos!$C$2:$C$3001,"Entrada"))</f>
        <v/>
      </c>
      <c r="I374" s="33">
        <f>IF(A374="","",SUMIFS(Movimientos!$D$2:$D$3001,Movimientos!$B$2:$B$3001,A374,Movimientos!$C$2:$C$3001,"Venta"))</f>
        <v/>
      </c>
      <c r="J374" s="33">
        <f>IF(A374="","",F374+H374-I374)</f>
        <v/>
      </c>
      <c r="K374" s="33">
        <f>IF(A374="","",IF(J374&lt;=G374,"REPONER","OK"))</f>
        <v/>
      </c>
    </row>
    <row r="375" ht="15" customHeight="1" s="21">
      <c r="A375" s="30" t="n"/>
      <c r="B375" s="30" t="n"/>
      <c r="C375" s="31" t="n"/>
      <c r="D375" s="31" t="n"/>
      <c r="E375" s="32">
        <f>IF(A375="","",D375-C375)</f>
        <v/>
      </c>
      <c r="F375" s="30" t="n"/>
      <c r="G375" s="30" t="n"/>
      <c r="H375" s="33">
        <f>IF(A375="","",SUMIFS(Movimientos!$D$2:$D$3001,Movimientos!$B$2:$B$3001,A375,Movimientos!$C$2:$C$3001,"Entrada"))</f>
        <v/>
      </c>
      <c r="I375" s="33">
        <f>IF(A375="","",SUMIFS(Movimientos!$D$2:$D$3001,Movimientos!$B$2:$B$3001,A375,Movimientos!$C$2:$C$3001,"Venta"))</f>
        <v/>
      </c>
      <c r="J375" s="33">
        <f>IF(A375="","",F375+H375-I375)</f>
        <v/>
      </c>
      <c r="K375" s="33">
        <f>IF(A375="","",IF(J375&lt;=G375,"REPONER","OK"))</f>
        <v/>
      </c>
    </row>
    <row r="376" ht="15" customHeight="1" s="21">
      <c r="A376" s="30" t="n"/>
      <c r="B376" s="30" t="n"/>
      <c r="C376" s="31" t="n"/>
      <c r="D376" s="31" t="n"/>
      <c r="E376" s="32">
        <f>IF(A376="","",D376-C376)</f>
        <v/>
      </c>
      <c r="F376" s="30" t="n"/>
      <c r="G376" s="30" t="n"/>
      <c r="H376" s="33">
        <f>IF(A376="","",SUMIFS(Movimientos!$D$2:$D$3001,Movimientos!$B$2:$B$3001,A376,Movimientos!$C$2:$C$3001,"Entrada"))</f>
        <v/>
      </c>
      <c r="I376" s="33">
        <f>IF(A376="","",SUMIFS(Movimientos!$D$2:$D$3001,Movimientos!$B$2:$B$3001,A376,Movimientos!$C$2:$C$3001,"Venta"))</f>
        <v/>
      </c>
      <c r="J376" s="33">
        <f>IF(A376="","",F376+H376-I376)</f>
        <v/>
      </c>
      <c r="K376" s="33">
        <f>IF(A376="","",IF(J376&lt;=G376,"REPONER","OK"))</f>
        <v/>
      </c>
    </row>
    <row r="377" ht="15" customHeight="1" s="21">
      <c r="A377" s="30" t="n"/>
      <c r="B377" s="30" t="n"/>
      <c r="C377" s="31" t="n"/>
      <c r="D377" s="31" t="n"/>
      <c r="E377" s="32">
        <f>IF(A377="","",D377-C377)</f>
        <v/>
      </c>
      <c r="F377" s="30" t="n"/>
      <c r="G377" s="30" t="n"/>
      <c r="H377" s="33">
        <f>IF(A377="","",SUMIFS(Movimientos!$D$2:$D$3001,Movimientos!$B$2:$B$3001,A377,Movimientos!$C$2:$C$3001,"Entrada"))</f>
        <v/>
      </c>
      <c r="I377" s="33">
        <f>IF(A377="","",SUMIFS(Movimientos!$D$2:$D$3001,Movimientos!$B$2:$B$3001,A377,Movimientos!$C$2:$C$3001,"Venta"))</f>
        <v/>
      </c>
      <c r="J377" s="33">
        <f>IF(A377="","",F377+H377-I377)</f>
        <v/>
      </c>
      <c r="K377" s="33">
        <f>IF(A377="","",IF(J377&lt;=G377,"REPONER","OK"))</f>
        <v/>
      </c>
    </row>
    <row r="378" ht="15" customHeight="1" s="21">
      <c r="A378" s="30" t="n"/>
      <c r="B378" s="30" t="n"/>
      <c r="C378" s="31" t="n"/>
      <c r="D378" s="31" t="n"/>
      <c r="E378" s="32">
        <f>IF(A378="","",D378-C378)</f>
        <v/>
      </c>
      <c r="F378" s="30" t="n"/>
      <c r="G378" s="30" t="n"/>
      <c r="H378" s="33">
        <f>IF(A378="","",SUMIFS(Movimientos!$D$2:$D$3001,Movimientos!$B$2:$B$3001,A378,Movimientos!$C$2:$C$3001,"Entrada"))</f>
        <v/>
      </c>
      <c r="I378" s="33">
        <f>IF(A378="","",SUMIFS(Movimientos!$D$2:$D$3001,Movimientos!$B$2:$B$3001,A378,Movimientos!$C$2:$C$3001,"Venta"))</f>
        <v/>
      </c>
      <c r="J378" s="33">
        <f>IF(A378="","",F378+H378-I378)</f>
        <v/>
      </c>
      <c r="K378" s="33">
        <f>IF(A378="","",IF(J378&lt;=G378,"REPONER","OK"))</f>
        <v/>
      </c>
    </row>
    <row r="379" ht="15" customHeight="1" s="21">
      <c r="A379" s="30" t="n"/>
      <c r="B379" s="30" t="n"/>
      <c r="C379" s="31" t="n"/>
      <c r="D379" s="31" t="n"/>
      <c r="E379" s="32">
        <f>IF(A379="","",D379-C379)</f>
        <v/>
      </c>
      <c r="F379" s="30" t="n"/>
      <c r="G379" s="30" t="n"/>
      <c r="H379" s="33">
        <f>IF(A379="","",SUMIFS(Movimientos!$D$2:$D$3001,Movimientos!$B$2:$B$3001,A379,Movimientos!$C$2:$C$3001,"Entrada"))</f>
        <v/>
      </c>
      <c r="I379" s="33">
        <f>IF(A379="","",SUMIFS(Movimientos!$D$2:$D$3001,Movimientos!$B$2:$B$3001,A379,Movimientos!$C$2:$C$3001,"Venta"))</f>
        <v/>
      </c>
      <c r="J379" s="33">
        <f>IF(A379="","",F379+H379-I379)</f>
        <v/>
      </c>
      <c r="K379" s="33">
        <f>IF(A379="","",IF(J379&lt;=G379,"REPONER","OK"))</f>
        <v/>
      </c>
    </row>
    <row r="380" ht="15" customHeight="1" s="21">
      <c r="A380" s="30" t="n"/>
      <c r="B380" s="30" t="n"/>
      <c r="C380" s="31" t="n"/>
      <c r="D380" s="31" t="n"/>
      <c r="E380" s="32">
        <f>IF(A380="","",D380-C380)</f>
        <v/>
      </c>
      <c r="F380" s="30" t="n"/>
      <c r="G380" s="30" t="n"/>
      <c r="H380" s="33">
        <f>IF(A380="","",SUMIFS(Movimientos!$D$2:$D$3001,Movimientos!$B$2:$B$3001,A380,Movimientos!$C$2:$C$3001,"Entrada"))</f>
        <v/>
      </c>
      <c r="I380" s="33">
        <f>IF(A380="","",SUMIFS(Movimientos!$D$2:$D$3001,Movimientos!$B$2:$B$3001,A380,Movimientos!$C$2:$C$3001,"Venta"))</f>
        <v/>
      </c>
      <c r="J380" s="33">
        <f>IF(A380="","",F380+H380-I380)</f>
        <v/>
      </c>
      <c r="K380" s="33">
        <f>IF(A380="","",IF(J380&lt;=G380,"REPONER","OK"))</f>
        <v/>
      </c>
    </row>
    <row r="381" ht="15" customHeight="1" s="21">
      <c r="A381" s="30" t="n"/>
      <c r="B381" s="30" t="n"/>
      <c r="C381" s="31" t="n"/>
      <c r="D381" s="31" t="n"/>
      <c r="E381" s="32">
        <f>IF(A381="","",D381-C381)</f>
        <v/>
      </c>
      <c r="F381" s="30" t="n"/>
      <c r="G381" s="30" t="n"/>
      <c r="H381" s="33">
        <f>IF(A381="","",SUMIFS(Movimientos!$D$2:$D$3001,Movimientos!$B$2:$B$3001,A381,Movimientos!$C$2:$C$3001,"Entrada"))</f>
        <v/>
      </c>
      <c r="I381" s="33">
        <f>IF(A381="","",SUMIFS(Movimientos!$D$2:$D$3001,Movimientos!$B$2:$B$3001,A381,Movimientos!$C$2:$C$3001,"Venta"))</f>
        <v/>
      </c>
      <c r="J381" s="33">
        <f>IF(A381="","",F381+H381-I381)</f>
        <v/>
      </c>
      <c r="K381" s="33">
        <f>IF(A381="","",IF(J381&lt;=G381,"REPONER","OK"))</f>
        <v/>
      </c>
    </row>
    <row r="382" ht="15" customHeight="1" s="21">
      <c r="A382" s="30" t="n"/>
      <c r="B382" s="30" t="n"/>
      <c r="C382" s="31" t="n"/>
      <c r="D382" s="31" t="n"/>
      <c r="E382" s="32">
        <f>IF(A382="","",D382-C382)</f>
        <v/>
      </c>
      <c r="F382" s="30" t="n"/>
      <c r="G382" s="30" t="n"/>
      <c r="H382" s="33">
        <f>IF(A382="","",SUMIFS(Movimientos!$D$2:$D$3001,Movimientos!$B$2:$B$3001,A382,Movimientos!$C$2:$C$3001,"Entrada"))</f>
        <v/>
      </c>
      <c r="I382" s="33">
        <f>IF(A382="","",SUMIFS(Movimientos!$D$2:$D$3001,Movimientos!$B$2:$B$3001,A382,Movimientos!$C$2:$C$3001,"Venta"))</f>
        <v/>
      </c>
      <c r="J382" s="33">
        <f>IF(A382="","",F382+H382-I382)</f>
        <v/>
      </c>
      <c r="K382" s="33">
        <f>IF(A382="","",IF(J382&lt;=G382,"REPONER","OK"))</f>
        <v/>
      </c>
    </row>
    <row r="383" ht="15" customHeight="1" s="21">
      <c r="A383" s="30" t="n"/>
      <c r="B383" s="30" t="n"/>
      <c r="C383" s="31" t="n"/>
      <c r="D383" s="31" t="n"/>
      <c r="E383" s="32">
        <f>IF(A383="","",D383-C383)</f>
        <v/>
      </c>
      <c r="F383" s="30" t="n"/>
      <c r="G383" s="30" t="n"/>
      <c r="H383" s="33">
        <f>IF(A383="","",SUMIFS(Movimientos!$D$2:$D$3001,Movimientos!$B$2:$B$3001,A383,Movimientos!$C$2:$C$3001,"Entrada"))</f>
        <v/>
      </c>
      <c r="I383" s="33">
        <f>IF(A383="","",SUMIFS(Movimientos!$D$2:$D$3001,Movimientos!$B$2:$B$3001,A383,Movimientos!$C$2:$C$3001,"Venta"))</f>
        <v/>
      </c>
      <c r="J383" s="33">
        <f>IF(A383="","",F383+H383-I383)</f>
        <v/>
      </c>
      <c r="K383" s="33">
        <f>IF(A383="","",IF(J383&lt;=G383,"REPONER","OK"))</f>
        <v/>
      </c>
    </row>
    <row r="384" ht="15" customHeight="1" s="21">
      <c r="A384" s="30" t="n"/>
      <c r="B384" s="30" t="n"/>
      <c r="C384" s="31" t="n"/>
      <c r="D384" s="31" t="n"/>
      <c r="E384" s="32">
        <f>IF(A384="","",D384-C384)</f>
        <v/>
      </c>
      <c r="F384" s="30" t="n"/>
      <c r="G384" s="30" t="n"/>
      <c r="H384" s="33">
        <f>IF(A384="","",SUMIFS(Movimientos!$D$2:$D$3001,Movimientos!$B$2:$B$3001,A384,Movimientos!$C$2:$C$3001,"Entrada"))</f>
        <v/>
      </c>
      <c r="I384" s="33">
        <f>IF(A384="","",SUMIFS(Movimientos!$D$2:$D$3001,Movimientos!$B$2:$B$3001,A384,Movimientos!$C$2:$C$3001,"Venta"))</f>
        <v/>
      </c>
      <c r="J384" s="33">
        <f>IF(A384="","",F384+H384-I384)</f>
        <v/>
      </c>
      <c r="K384" s="33">
        <f>IF(A384="","",IF(J384&lt;=G384,"REPONER","OK"))</f>
        <v/>
      </c>
    </row>
    <row r="385" ht="15" customHeight="1" s="21">
      <c r="A385" s="30" t="n"/>
      <c r="B385" s="30" t="n"/>
      <c r="C385" s="31" t="n"/>
      <c r="D385" s="31" t="n"/>
      <c r="E385" s="32">
        <f>IF(A385="","",D385-C385)</f>
        <v/>
      </c>
      <c r="F385" s="30" t="n"/>
      <c r="G385" s="30" t="n"/>
      <c r="H385" s="33">
        <f>IF(A385="","",SUMIFS(Movimientos!$D$2:$D$3001,Movimientos!$B$2:$B$3001,A385,Movimientos!$C$2:$C$3001,"Entrada"))</f>
        <v/>
      </c>
      <c r="I385" s="33">
        <f>IF(A385="","",SUMIFS(Movimientos!$D$2:$D$3001,Movimientos!$B$2:$B$3001,A385,Movimientos!$C$2:$C$3001,"Venta"))</f>
        <v/>
      </c>
      <c r="J385" s="33">
        <f>IF(A385="","",F385+H385-I385)</f>
        <v/>
      </c>
      <c r="K385" s="33">
        <f>IF(A385="","",IF(J385&lt;=G385,"REPONER","OK"))</f>
        <v/>
      </c>
    </row>
    <row r="386" ht="15" customHeight="1" s="21">
      <c r="A386" s="30" t="n"/>
      <c r="B386" s="30" t="n"/>
      <c r="C386" s="31" t="n"/>
      <c r="D386" s="31" t="n"/>
      <c r="E386" s="32">
        <f>IF(A386="","",D386-C386)</f>
        <v/>
      </c>
      <c r="F386" s="30" t="n"/>
      <c r="G386" s="30" t="n"/>
      <c r="H386" s="33">
        <f>IF(A386="","",SUMIFS(Movimientos!$D$2:$D$3001,Movimientos!$B$2:$B$3001,A386,Movimientos!$C$2:$C$3001,"Entrada"))</f>
        <v/>
      </c>
      <c r="I386" s="33">
        <f>IF(A386="","",SUMIFS(Movimientos!$D$2:$D$3001,Movimientos!$B$2:$B$3001,A386,Movimientos!$C$2:$C$3001,"Venta"))</f>
        <v/>
      </c>
      <c r="J386" s="33">
        <f>IF(A386="","",F386+H386-I386)</f>
        <v/>
      </c>
      <c r="K386" s="33">
        <f>IF(A386="","",IF(J386&lt;=G386,"REPONER","OK"))</f>
        <v/>
      </c>
    </row>
    <row r="387" ht="15" customHeight="1" s="21">
      <c r="A387" s="30" t="n"/>
      <c r="B387" s="30" t="n"/>
      <c r="C387" s="31" t="n"/>
      <c r="D387" s="31" t="n"/>
      <c r="E387" s="32">
        <f>IF(A387="","",D387-C387)</f>
        <v/>
      </c>
      <c r="F387" s="30" t="n"/>
      <c r="G387" s="30" t="n"/>
      <c r="H387" s="33">
        <f>IF(A387="","",SUMIFS(Movimientos!$D$2:$D$3001,Movimientos!$B$2:$B$3001,A387,Movimientos!$C$2:$C$3001,"Entrada"))</f>
        <v/>
      </c>
      <c r="I387" s="33">
        <f>IF(A387="","",SUMIFS(Movimientos!$D$2:$D$3001,Movimientos!$B$2:$B$3001,A387,Movimientos!$C$2:$C$3001,"Venta"))</f>
        <v/>
      </c>
      <c r="J387" s="33">
        <f>IF(A387="","",F387+H387-I387)</f>
        <v/>
      </c>
      <c r="K387" s="33">
        <f>IF(A387="","",IF(J387&lt;=G387,"REPONER","OK"))</f>
        <v/>
      </c>
    </row>
    <row r="388" ht="15" customHeight="1" s="21">
      <c r="A388" s="30" t="n"/>
      <c r="B388" s="30" t="n"/>
      <c r="C388" s="31" t="n"/>
      <c r="D388" s="31" t="n"/>
      <c r="E388" s="32">
        <f>IF(A388="","",D388-C388)</f>
        <v/>
      </c>
      <c r="F388" s="30" t="n"/>
      <c r="G388" s="30" t="n"/>
      <c r="H388" s="33">
        <f>IF(A388="","",SUMIFS(Movimientos!$D$2:$D$3001,Movimientos!$B$2:$B$3001,A388,Movimientos!$C$2:$C$3001,"Entrada"))</f>
        <v/>
      </c>
      <c r="I388" s="33">
        <f>IF(A388="","",SUMIFS(Movimientos!$D$2:$D$3001,Movimientos!$B$2:$B$3001,A388,Movimientos!$C$2:$C$3001,"Venta"))</f>
        <v/>
      </c>
      <c r="J388" s="33">
        <f>IF(A388="","",F388+H388-I388)</f>
        <v/>
      </c>
      <c r="K388" s="33">
        <f>IF(A388="","",IF(J388&lt;=G388,"REPONER","OK"))</f>
        <v/>
      </c>
    </row>
    <row r="389" ht="15" customHeight="1" s="21">
      <c r="A389" s="30" t="n"/>
      <c r="B389" s="30" t="n"/>
      <c r="C389" s="31" t="n"/>
      <c r="D389" s="31" t="n"/>
      <c r="E389" s="32">
        <f>IF(A389="","",D389-C389)</f>
        <v/>
      </c>
      <c r="F389" s="30" t="n"/>
      <c r="G389" s="30" t="n"/>
      <c r="H389" s="33">
        <f>IF(A389="","",SUMIFS(Movimientos!$D$2:$D$3001,Movimientos!$B$2:$B$3001,A389,Movimientos!$C$2:$C$3001,"Entrada"))</f>
        <v/>
      </c>
      <c r="I389" s="33">
        <f>IF(A389="","",SUMIFS(Movimientos!$D$2:$D$3001,Movimientos!$B$2:$B$3001,A389,Movimientos!$C$2:$C$3001,"Venta"))</f>
        <v/>
      </c>
      <c r="J389" s="33">
        <f>IF(A389="","",F389+H389-I389)</f>
        <v/>
      </c>
      <c r="K389" s="33">
        <f>IF(A389="","",IF(J389&lt;=G389,"REPONER","OK"))</f>
        <v/>
      </c>
    </row>
    <row r="390" ht="15" customHeight="1" s="21">
      <c r="A390" s="30" t="n"/>
      <c r="B390" s="30" t="n"/>
      <c r="C390" s="31" t="n"/>
      <c r="D390" s="31" t="n"/>
      <c r="E390" s="32">
        <f>IF(A390="","",D390-C390)</f>
        <v/>
      </c>
      <c r="F390" s="30" t="n"/>
      <c r="G390" s="30" t="n"/>
      <c r="H390" s="33">
        <f>IF(A390="","",SUMIFS(Movimientos!$D$2:$D$3001,Movimientos!$B$2:$B$3001,A390,Movimientos!$C$2:$C$3001,"Entrada"))</f>
        <v/>
      </c>
      <c r="I390" s="33">
        <f>IF(A390="","",SUMIFS(Movimientos!$D$2:$D$3001,Movimientos!$B$2:$B$3001,A390,Movimientos!$C$2:$C$3001,"Venta"))</f>
        <v/>
      </c>
      <c r="J390" s="33">
        <f>IF(A390="","",F390+H390-I390)</f>
        <v/>
      </c>
      <c r="K390" s="33">
        <f>IF(A390="","",IF(J390&lt;=G390,"REPONER","OK"))</f>
        <v/>
      </c>
    </row>
    <row r="391" ht="15" customHeight="1" s="21">
      <c r="A391" s="30" t="n"/>
      <c r="B391" s="30" t="n"/>
      <c r="C391" s="31" t="n"/>
      <c r="D391" s="31" t="n"/>
      <c r="E391" s="32">
        <f>IF(A391="","",D391-C391)</f>
        <v/>
      </c>
      <c r="F391" s="30" t="n"/>
      <c r="G391" s="30" t="n"/>
      <c r="H391" s="33">
        <f>IF(A391="","",SUMIFS(Movimientos!$D$2:$D$3001,Movimientos!$B$2:$B$3001,A391,Movimientos!$C$2:$C$3001,"Entrada"))</f>
        <v/>
      </c>
      <c r="I391" s="33">
        <f>IF(A391="","",SUMIFS(Movimientos!$D$2:$D$3001,Movimientos!$B$2:$B$3001,A391,Movimientos!$C$2:$C$3001,"Venta"))</f>
        <v/>
      </c>
      <c r="J391" s="33">
        <f>IF(A391="","",F391+H391-I391)</f>
        <v/>
      </c>
      <c r="K391" s="33">
        <f>IF(A391="","",IF(J391&lt;=G391,"REPONER","OK"))</f>
        <v/>
      </c>
    </row>
    <row r="392" ht="15" customHeight="1" s="21">
      <c r="A392" s="30" t="n"/>
      <c r="B392" s="30" t="n"/>
      <c r="C392" s="31" t="n"/>
      <c r="D392" s="31" t="n"/>
      <c r="E392" s="32">
        <f>IF(A392="","",D392-C392)</f>
        <v/>
      </c>
      <c r="F392" s="30" t="n"/>
      <c r="G392" s="30" t="n"/>
      <c r="H392" s="33">
        <f>IF(A392="","",SUMIFS(Movimientos!$D$2:$D$3001,Movimientos!$B$2:$B$3001,A392,Movimientos!$C$2:$C$3001,"Entrada"))</f>
        <v/>
      </c>
      <c r="I392" s="33">
        <f>IF(A392="","",SUMIFS(Movimientos!$D$2:$D$3001,Movimientos!$B$2:$B$3001,A392,Movimientos!$C$2:$C$3001,"Venta"))</f>
        <v/>
      </c>
      <c r="J392" s="33">
        <f>IF(A392="","",F392+H392-I392)</f>
        <v/>
      </c>
      <c r="K392" s="33">
        <f>IF(A392="","",IF(J392&lt;=G392,"REPONER","OK"))</f>
        <v/>
      </c>
    </row>
    <row r="393" ht="15" customHeight="1" s="21">
      <c r="A393" s="30" t="n"/>
      <c r="B393" s="30" t="n"/>
      <c r="C393" s="31" t="n"/>
      <c r="D393" s="31" t="n"/>
      <c r="E393" s="32">
        <f>IF(A393="","",D393-C393)</f>
        <v/>
      </c>
      <c r="F393" s="30" t="n"/>
      <c r="G393" s="30" t="n"/>
      <c r="H393" s="33">
        <f>IF(A393="","",SUMIFS(Movimientos!$D$2:$D$3001,Movimientos!$B$2:$B$3001,A393,Movimientos!$C$2:$C$3001,"Entrada"))</f>
        <v/>
      </c>
      <c r="I393" s="33">
        <f>IF(A393="","",SUMIFS(Movimientos!$D$2:$D$3001,Movimientos!$B$2:$B$3001,A393,Movimientos!$C$2:$C$3001,"Venta"))</f>
        <v/>
      </c>
      <c r="J393" s="33">
        <f>IF(A393="","",F393+H393-I393)</f>
        <v/>
      </c>
      <c r="K393" s="33">
        <f>IF(A393="","",IF(J393&lt;=G393,"REPONER","OK"))</f>
        <v/>
      </c>
    </row>
    <row r="394" ht="15" customHeight="1" s="21">
      <c r="A394" s="30" t="n"/>
      <c r="B394" s="30" t="n"/>
      <c r="C394" s="31" t="n"/>
      <c r="D394" s="31" t="n"/>
      <c r="E394" s="32">
        <f>IF(A394="","",D394-C394)</f>
        <v/>
      </c>
      <c r="F394" s="30" t="n"/>
      <c r="G394" s="30" t="n"/>
      <c r="H394" s="33">
        <f>IF(A394="","",SUMIFS(Movimientos!$D$2:$D$3001,Movimientos!$B$2:$B$3001,A394,Movimientos!$C$2:$C$3001,"Entrada"))</f>
        <v/>
      </c>
      <c r="I394" s="33">
        <f>IF(A394="","",SUMIFS(Movimientos!$D$2:$D$3001,Movimientos!$B$2:$B$3001,A394,Movimientos!$C$2:$C$3001,"Venta"))</f>
        <v/>
      </c>
      <c r="J394" s="33">
        <f>IF(A394="","",F394+H394-I394)</f>
        <v/>
      </c>
      <c r="K394" s="33">
        <f>IF(A394="","",IF(J394&lt;=G394,"REPONER","OK"))</f>
        <v/>
      </c>
    </row>
    <row r="395" ht="15" customHeight="1" s="21">
      <c r="A395" s="30" t="n"/>
      <c r="B395" s="30" t="n"/>
      <c r="C395" s="31" t="n"/>
      <c r="D395" s="31" t="n"/>
      <c r="E395" s="32">
        <f>IF(A395="","",D395-C395)</f>
        <v/>
      </c>
      <c r="F395" s="30" t="n"/>
      <c r="G395" s="30" t="n"/>
      <c r="H395" s="33">
        <f>IF(A395="","",SUMIFS(Movimientos!$D$2:$D$3001,Movimientos!$B$2:$B$3001,A395,Movimientos!$C$2:$C$3001,"Entrada"))</f>
        <v/>
      </c>
      <c r="I395" s="33">
        <f>IF(A395="","",SUMIFS(Movimientos!$D$2:$D$3001,Movimientos!$B$2:$B$3001,A395,Movimientos!$C$2:$C$3001,"Venta"))</f>
        <v/>
      </c>
      <c r="J395" s="33">
        <f>IF(A395="","",F395+H395-I395)</f>
        <v/>
      </c>
      <c r="K395" s="33">
        <f>IF(A395="","",IF(J395&lt;=G395,"REPONER","OK"))</f>
        <v/>
      </c>
    </row>
    <row r="396" ht="15" customHeight="1" s="21">
      <c r="A396" s="30" t="n"/>
      <c r="B396" s="30" t="n"/>
      <c r="C396" s="31" t="n"/>
      <c r="D396" s="31" t="n"/>
      <c r="E396" s="32">
        <f>IF(A396="","",D396-C396)</f>
        <v/>
      </c>
      <c r="F396" s="30" t="n"/>
      <c r="G396" s="30" t="n"/>
      <c r="H396" s="33">
        <f>IF(A396="","",SUMIFS(Movimientos!$D$2:$D$3001,Movimientos!$B$2:$B$3001,A396,Movimientos!$C$2:$C$3001,"Entrada"))</f>
        <v/>
      </c>
      <c r="I396" s="33">
        <f>IF(A396="","",SUMIFS(Movimientos!$D$2:$D$3001,Movimientos!$B$2:$B$3001,A396,Movimientos!$C$2:$C$3001,"Venta"))</f>
        <v/>
      </c>
      <c r="J396" s="33">
        <f>IF(A396="","",F396+H396-I396)</f>
        <v/>
      </c>
      <c r="K396" s="33">
        <f>IF(A396="","",IF(J396&lt;=G396,"REPONER","OK"))</f>
        <v/>
      </c>
    </row>
    <row r="397" ht="15" customHeight="1" s="21">
      <c r="A397" s="30" t="n"/>
      <c r="B397" s="30" t="n"/>
      <c r="C397" s="31" t="n"/>
      <c r="D397" s="31" t="n"/>
      <c r="E397" s="32">
        <f>IF(A397="","",D397-C397)</f>
        <v/>
      </c>
      <c r="F397" s="30" t="n"/>
      <c r="G397" s="30" t="n"/>
      <c r="H397" s="33">
        <f>IF(A397="","",SUMIFS(Movimientos!$D$2:$D$3001,Movimientos!$B$2:$B$3001,A397,Movimientos!$C$2:$C$3001,"Entrada"))</f>
        <v/>
      </c>
      <c r="I397" s="33">
        <f>IF(A397="","",SUMIFS(Movimientos!$D$2:$D$3001,Movimientos!$B$2:$B$3001,A397,Movimientos!$C$2:$C$3001,"Venta"))</f>
        <v/>
      </c>
      <c r="J397" s="33">
        <f>IF(A397="","",F397+H397-I397)</f>
        <v/>
      </c>
      <c r="K397" s="33">
        <f>IF(A397="","",IF(J397&lt;=G397,"REPONER","OK"))</f>
        <v/>
      </c>
    </row>
    <row r="398" ht="15" customHeight="1" s="21">
      <c r="A398" s="30" t="n"/>
      <c r="B398" s="30" t="n"/>
      <c r="C398" s="31" t="n"/>
      <c r="D398" s="31" t="n"/>
      <c r="E398" s="32">
        <f>IF(A398="","",D398-C398)</f>
        <v/>
      </c>
      <c r="F398" s="30" t="n"/>
      <c r="G398" s="30" t="n"/>
      <c r="H398" s="33">
        <f>IF(A398="","",SUMIFS(Movimientos!$D$2:$D$3001,Movimientos!$B$2:$B$3001,A398,Movimientos!$C$2:$C$3001,"Entrada"))</f>
        <v/>
      </c>
      <c r="I398" s="33">
        <f>IF(A398="","",SUMIFS(Movimientos!$D$2:$D$3001,Movimientos!$B$2:$B$3001,A398,Movimientos!$C$2:$C$3001,"Venta"))</f>
        <v/>
      </c>
      <c r="J398" s="33">
        <f>IF(A398="","",F398+H398-I398)</f>
        <v/>
      </c>
      <c r="K398" s="33">
        <f>IF(A398="","",IF(J398&lt;=G398,"REPONER","OK"))</f>
        <v/>
      </c>
    </row>
    <row r="399" ht="15" customHeight="1" s="21">
      <c r="A399" s="30" t="n"/>
      <c r="B399" s="30" t="n"/>
      <c r="C399" s="31" t="n"/>
      <c r="D399" s="31" t="n"/>
      <c r="E399" s="32">
        <f>IF(A399="","",D399-C399)</f>
        <v/>
      </c>
      <c r="F399" s="30" t="n"/>
      <c r="G399" s="30" t="n"/>
      <c r="H399" s="33">
        <f>IF(A399="","",SUMIFS(Movimientos!$D$2:$D$3001,Movimientos!$B$2:$B$3001,A399,Movimientos!$C$2:$C$3001,"Entrada"))</f>
        <v/>
      </c>
      <c r="I399" s="33">
        <f>IF(A399="","",SUMIFS(Movimientos!$D$2:$D$3001,Movimientos!$B$2:$B$3001,A399,Movimientos!$C$2:$C$3001,"Venta"))</f>
        <v/>
      </c>
      <c r="J399" s="33">
        <f>IF(A399="","",F399+H399-I399)</f>
        <v/>
      </c>
      <c r="K399" s="33">
        <f>IF(A399="","",IF(J399&lt;=G399,"REPONER","OK"))</f>
        <v/>
      </c>
    </row>
    <row r="400" ht="15" customHeight="1" s="21">
      <c r="A400" s="30" t="n"/>
      <c r="B400" s="30" t="n"/>
      <c r="C400" s="31" t="n"/>
      <c r="D400" s="31" t="n"/>
      <c r="E400" s="32">
        <f>IF(A400="","",D400-C400)</f>
        <v/>
      </c>
      <c r="F400" s="30" t="n"/>
      <c r="G400" s="30" t="n"/>
      <c r="H400" s="33">
        <f>IF(A400="","",SUMIFS(Movimientos!$D$2:$D$3001,Movimientos!$B$2:$B$3001,A400,Movimientos!$C$2:$C$3001,"Entrada"))</f>
        <v/>
      </c>
      <c r="I400" s="33">
        <f>IF(A400="","",SUMIFS(Movimientos!$D$2:$D$3001,Movimientos!$B$2:$B$3001,A400,Movimientos!$C$2:$C$3001,"Venta"))</f>
        <v/>
      </c>
      <c r="J400" s="33">
        <f>IF(A400="","",F400+H400-I400)</f>
        <v/>
      </c>
      <c r="K400" s="33">
        <f>IF(A400="","",IF(J400&lt;=G400,"REPONER","OK"))</f>
        <v/>
      </c>
    </row>
    <row r="401" ht="15" customHeight="1" s="21">
      <c r="A401" s="30" t="n"/>
      <c r="B401" s="30" t="n"/>
      <c r="C401" s="31" t="n"/>
      <c r="D401" s="31" t="n"/>
      <c r="E401" s="32">
        <f>IF(A401="","",D401-C401)</f>
        <v/>
      </c>
      <c r="F401" s="30" t="n"/>
      <c r="G401" s="30" t="n"/>
      <c r="H401" s="33">
        <f>IF(A401="","",SUMIFS(Movimientos!$D$2:$D$3001,Movimientos!$B$2:$B$3001,A401,Movimientos!$C$2:$C$3001,"Entrada"))</f>
        <v/>
      </c>
      <c r="I401" s="33">
        <f>IF(A401="","",SUMIFS(Movimientos!$D$2:$D$3001,Movimientos!$B$2:$B$3001,A401,Movimientos!$C$2:$C$3001,"Venta"))</f>
        <v/>
      </c>
      <c r="J401" s="33">
        <f>IF(A401="","",F401+H401-I401)</f>
        <v/>
      </c>
      <c r="K401" s="33">
        <f>IF(A401="","",IF(J401&lt;=G401,"REPONER","OK"))</f>
        <v/>
      </c>
    </row>
    <row r="402" ht="15" customHeight="1" s="21">
      <c r="A402" s="30" t="n"/>
      <c r="B402" s="30" t="n"/>
      <c r="C402" s="31" t="n"/>
      <c r="D402" s="31" t="n"/>
      <c r="E402" s="32">
        <f>IF(A402="","",D402-C402)</f>
        <v/>
      </c>
      <c r="F402" s="30" t="n"/>
      <c r="G402" s="30" t="n"/>
      <c r="H402" s="33">
        <f>IF(A402="","",SUMIFS(Movimientos!$D$2:$D$3001,Movimientos!$B$2:$B$3001,A402,Movimientos!$C$2:$C$3001,"Entrada"))</f>
        <v/>
      </c>
      <c r="I402" s="33">
        <f>IF(A402="","",SUMIFS(Movimientos!$D$2:$D$3001,Movimientos!$B$2:$B$3001,A402,Movimientos!$C$2:$C$3001,"Venta"))</f>
        <v/>
      </c>
      <c r="J402" s="33">
        <f>IF(A402="","",F402+H402-I402)</f>
        <v/>
      </c>
      <c r="K402" s="33">
        <f>IF(A402="","",IF(J402&lt;=G402,"REPONER","OK"))</f>
        <v/>
      </c>
    </row>
    <row r="403" ht="15" customHeight="1" s="21">
      <c r="A403" s="30" t="n"/>
      <c r="B403" s="30" t="n"/>
      <c r="C403" s="31" t="n"/>
      <c r="D403" s="31" t="n"/>
      <c r="E403" s="32">
        <f>IF(A403="","",D403-C403)</f>
        <v/>
      </c>
      <c r="F403" s="30" t="n"/>
      <c r="G403" s="30" t="n"/>
      <c r="H403" s="33">
        <f>IF(A403="","",SUMIFS(Movimientos!$D$2:$D$3001,Movimientos!$B$2:$B$3001,A403,Movimientos!$C$2:$C$3001,"Entrada"))</f>
        <v/>
      </c>
      <c r="I403" s="33">
        <f>IF(A403="","",SUMIFS(Movimientos!$D$2:$D$3001,Movimientos!$B$2:$B$3001,A403,Movimientos!$C$2:$C$3001,"Venta"))</f>
        <v/>
      </c>
      <c r="J403" s="33">
        <f>IF(A403="","",F403+H403-I403)</f>
        <v/>
      </c>
      <c r="K403" s="33">
        <f>IF(A403="","",IF(J403&lt;=G403,"REPONER","OK"))</f>
        <v/>
      </c>
    </row>
    <row r="404" ht="15" customHeight="1" s="21">
      <c r="A404" s="30" t="n"/>
      <c r="B404" s="30" t="n"/>
      <c r="C404" s="31" t="n"/>
      <c r="D404" s="31" t="n"/>
      <c r="E404" s="32">
        <f>IF(A404="","",D404-C404)</f>
        <v/>
      </c>
      <c r="F404" s="30" t="n"/>
      <c r="G404" s="30" t="n"/>
      <c r="H404" s="33">
        <f>IF(A404="","",SUMIFS(Movimientos!$D$2:$D$3001,Movimientos!$B$2:$B$3001,A404,Movimientos!$C$2:$C$3001,"Entrada"))</f>
        <v/>
      </c>
      <c r="I404" s="33">
        <f>IF(A404="","",SUMIFS(Movimientos!$D$2:$D$3001,Movimientos!$B$2:$B$3001,A404,Movimientos!$C$2:$C$3001,"Venta"))</f>
        <v/>
      </c>
      <c r="J404" s="33">
        <f>IF(A404="","",F404+H404-I404)</f>
        <v/>
      </c>
      <c r="K404" s="33">
        <f>IF(A404="","",IF(J404&lt;=G404,"REPONER","OK"))</f>
        <v/>
      </c>
    </row>
    <row r="405" ht="15" customHeight="1" s="21">
      <c r="A405" s="30" t="n"/>
      <c r="B405" s="30" t="n"/>
      <c r="C405" s="31" t="n"/>
      <c r="D405" s="31" t="n"/>
      <c r="E405" s="32">
        <f>IF(A405="","",D405-C405)</f>
        <v/>
      </c>
      <c r="F405" s="30" t="n"/>
      <c r="G405" s="30" t="n"/>
      <c r="H405" s="33">
        <f>IF(A405="","",SUMIFS(Movimientos!$D$2:$D$3001,Movimientos!$B$2:$B$3001,A405,Movimientos!$C$2:$C$3001,"Entrada"))</f>
        <v/>
      </c>
      <c r="I405" s="33">
        <f>IF(A405="","",SUMIFS(Movimientos!$D$2:$D$3001,Movimientos!$B$2:$B$3001,A405,Movimientos!$C$2:$C$3001,"Venta"))</f>
        <v/>
      </c>
      <c r="J405" s="33">
        <f>IF(A405="","",F405+H405-I405)</f>
        <v/>
      </c>
      <c r="K405" s="33">
        <f>IF(A405="","",IF(J405&lt;=G405,"REPONER","OK"))</f>
        <v/>
      </c>
    </row>
    <row r="406" ht="15" customHeight="1" s="21">
      <c r="A406" s="30" t="n"/>
      <c r="B406" s="30" t="n"/>
      <c r="C406" s="31" t="n"/>
      <c r="D406" s="31" t="n"/>
      <c r="E406" s="32">
        <f>IF(A406="","",D406-C406)</f>
        <v/>
      </c>
      <c r="F406" s="30" t="n"/>
      <c r="G406" s="30" t="n"/>
      <c r="H406" s="33">
        <f>IF(A406="","",SUMIFS(Movimientos!$D$2:$D$3001,Movimientos!$B$2:$B$3001,A406,Movimientos!$C$2:$C$3001,"Entrada"))</f>
        <v/>
      </c>
      <c r="I406" s="33">
        <f>IF(A406="","",SUMIFS(Movimientos!$D$2:$D$3001,Movimientos!$B$2:$B$3001,A406,Movimientos!$C$2:$C$3001,"Venta"))</f>
        <v/>
      </c>
      <c r="J406" s="33">
        <f>IF(A406="","",F406+H406-I406)</f>
        <v/>
      </c>
      <c r="K406" s="33">
        <f>IF(A406="","",IF(J406&lt;=G406,"REPONER","OK"))</f>
        <v/>
      </c>
    </row>
    <row r="407" ht="15" customHeight="1" s="21">
      <c r="A407" s="30" t="n"/>
      <c r="B407" s="30" t="n"/>
      <c r="C407" s="31" t="n"/>
      <c r="D407" s="31" t="n"/>
      <c r="E407" s="32">
        <f>IF(A407="","",D407-C407)</f>
        <v/>
      </c>
      <c r="F407" s="30" t="n"/>
      <c r="G407" s="30" t="n"/>
      <c r="H407" s="33">
        <f>IF(A407="","",SUMIFS(Movimientos!$D$2:$D$3001,Movimientos!$B$2:$B$3001,A407,Movimientos!$C$2:$C$3001,"Entrada"))</f>
        <v/>
      </c>
      <c r="I407" s="33">
        <f>IF(A407="","",SUMIFS(Movimientos!$D$2:$D$3001,Movimientos!$B$2:$B$3001,A407,Movimientos!$C$2:$C$3001,"Venta"))</f>
        <v/>
      </c>
      <c r="J407" s="33">
        <f>IF(A407="","",F407+H407-I407)</f>
        <v/>
      </c>
      <c r="K407" s="33">
        <f>IF(A407="","",IF(J407&lt;=G407,"REPONER","OK"))</f>
        <v/>
      </c>
    </row>
    <row r="408" ht="15" customHeight="1" s="21">
      <c r="A408" s="30" t="n"/>
      <c r="B408" s="30" t="n"/>
      <c r="C408" s="31" t="n"/>
      <c r="D408" s="31" t="n"/>
      <c r="E408" s="32">
        <f>IF(A408="","",D408-C408)</f>
        <v/>
      </c>
      <c r="F408" s="30" t="n"/>
      <c r="G408" s="30" t="n"/>
      <c r="H408" s="33">
        <f>IF(A408="","",SUMIFS(Movimientos!$D$2:$D$3001,Movimientos!$B$2:$B$3001,A408,Movimientos!$C$2:$C$3001,"Entrada"))</f>
        <v/>
      </c>
      <c r="I408" s="33">
        <f>IF(A408="","",SUMIFS(Movimientos!$D$2:$D$3001,Movimientos!$B$2:$B$3001,A408,Movimientos!$C$2:$C$3001,"Venta"))</f>
        <v/>
      </c>
      <c r="J408" s="33">
        <f>IF(A408="","",F408+H408-I408)</f>
        <v/>
      </c>
      <c r="K408" s="33">
        <f>IF(A408="","",IF(J408&lt;=G408,"REPONER","OK"))</f>
        <v/>
      </c>
    </row>
    <row r="409" ht="15" customHeight="1" s="21">
      <c r="A409" s="30" t="n"/>
      <c r="B409" s="30" t="n"/>
      <c r="C409" s="31" t="n"/>
      <c r="D409" s="31" t="n"/>
      <c r="E409" s="32">
        <f>IF(A409="","",D409-C409)</f>
        <v/>
      </c>
      <c r="F409" s="30" t="n"/>
      <c r="G409" s="30" t="n"/>
      <c r="H409" s="33">
        <f>IF(A409="","",SUMIFS(Movimientos!$D$2:$D$3001,Movimientos!$B$2:$B$3001,A409,Movimientos!$C$2:$C$3001,"Entrada"))</f>
        <v/>
      </c>
      <c r="I409" s="33">
        <f>IF(A409="","",SUMIFS(Movimientos!$D$2:$D$3001,Movimientos!$B$2:$B$3001,A409,Movimientos!$C$2:$C$3001,"Venta"))</f>
        <v/>
      </c>
      <c r="J409" s="33">
        <f>IF(A409="","",F409+H409-I409)</f>
        <v/>
      </c>
      <c r="K409" s="33">
        <f>IF(A409="","",IF(J409&lt;=G409,"REPONER","OK"))</f>
        <v/>
      </c>
    </row>
    <row r="410" ht="15" customHeight="1" s="21">
      <c r="A410" s="30" t="n"/>
      <c r="B410" s="30" t="n"/>
      <c r="C410" s="31" t="n"/>
      <c r="D410" s="31" t="n"/>
      <c r="E410" s="32">
        <f>IF(A410="","",D410-C410)</f>
        <v/>
      </c>
      <c r="F410" s="30" t="n"/>
      <c r="G410" s="30" t="n"/>
      <c r="H410" s="33">
        <f>IF(A410="","",SUMIFS(Movimientos!$D$2:$D$3001,Movimientos!$B$2:$B$3001,A410,Movimientos!$C$2:$C$3001,"Entrada"))</f>
        <v/>
      </c>
      <c r="I410" s="33">
        <f>IF(A410="","",SUMIFS(Movimientos!$D$2:$D$3001,Movimientos!$B$2:$B$3001,A410,Movimientos!$C$2:$C$3001,"Venta"))</f>
        <v/>
      </c>
      <c r="J410" s="33">
        <f>IF(A410="","",F410+H410-I410)</f>
        <v/>
      </c>
      <c r="K410" s="33">
        <f>IF(A410="","",IF(J410&lt;=G410,"REPONER","OK"))</f>
        <v/>
      </c>
    </row>
    <row r="411" ht="15" customHeight="1" s="21">
      <c r="A411" s="30" t="n"/>
      <c r="B411" s="30" t="n"/>
      <c r="C411" s="31" t="n"/>
      <c r="D411" s="31" t="n"/>
      <c r="E411" s="32">
        <f>IF(A411="","",D411-C411)</f>
        <v/>
      </c>
      <c r="F411" s="30" t="n"/>
      <c r="G411" s="30" t="n"/>
      <c r="H411" s="33">
        <f>IF(A411="","",SUMIFS(Movimientos!$D$2:$D$3001,Movimientos!$B$2:$B$3001,A411,Movimientos!$C$2:$C$3001,"Entrada"))</f>
        <v/>
      </c>
      <c r="I411" s="33">
        <f>IF(A411="","",SUMIFS(Movimientos!$D$2:$D$3001,Movimientos!$B$2:$B$3001,A411,Movimientos!$C$2:$C$3001,"Venta"))</f>
        <v/>
      </c>
      <c r="J411" s="33">
        <f>IF(A411="","",F411+H411-I411)</f>
        <v/>
      </c>
      <c r="K411" s="33">
        <f>IF(A411="","",IF(J411&lt;=G411,"REPONER","OK"))</f>
        <v/>
      </c>
    </row>
    <row r="412" ht="15" customHeight="1" s="21">
      <c r="A412" s="30" t="n"/>
      <c r="B412" s="30" t="n"/>
      <c r="C412" s="31" t="n"/>
      <c r="D412" s="31" t="n"/>
      <c r="E412" s="32">
        <f>IF(A412="","",D412-C412)</f>
        <v/>
      </c>
      <c r="F412" s="30" t="n"/>
      <c r="G412" s="30" t="n"/>
      <c r="H412" s="33">
        <f>IF(A412="","",SUMIFS(Movimientos!$D$2:$D$3001,Movimientos!$B$2:$B$3001,A412,Movimientos!$C$2:$C$3001,"Entrada"))</f>
        <v/>
      </c>
      <c r="I412" s="33">
        <f>IF(A412="","",SUMIFS(Movimientos!$D$2:$D$3001,Movimientos!$B$2:$B$3001,A412,Movimientos!$C$2:$C$3001,"Venta"))</f>
        <v/>
      </c>
      <c r="J412" s="33">
        <f>IF(A412="","",F412+H412-I412)</f>
        <v/>
      </c>
      <c r="K412" s="33">
        <f>IF(A412="","",IF(J412&lt;=G412,"REPONER","OK"))</f>
        <v/>
      </c>
    </row>
    <row r="413" ht="15" customHeight="1" s="21">
      <c r="A413" s="30" t="n"/>
      <c r="B413" s="30" t="n"/>
      <c r="C413" s="31" t="n"/>
      <c r="D413" s="31" t="n"/>
      <c r="E413" s="32">
        <f>IF(A413="","",D413-C413)</f>
        <v/>
      </c>
      <c r="F413" s="30" t="n"/>
      <c r="G413" s="30" t="n"/>
      <c r="H413" s="33">
        <f>IF(A413="","",SUMIFS(Movimientos!$D$2:$D$3001,Movimientos!$B$2:$B$3001,A413,Movimientos!$C$2:$C$3001,"Entrada"))</f>
        <v/>
      </c>
      <c r="I413" s="33">
        <f>IF(A413="","",SUMIFS(Movimientos!$D$2:$D$3001,Movimientos!$B$2:$B$3001,A413,Movimientos!$C$2:$C$3001,"Venta"))</f>
        <v/>
      </c>
      <c r="J413" s="33">
        <f>IF(A413="","",F413+H413-I413)</f>
        <v/>
      </c>
      <c r="K413" s="33">
        <f>IF(A413="","",IF(J413&lt;=G413,"REPONER","OK"))</f>
        <v/>
      </c>
    </row>
    <row r="414" ht="15" customHeight="1" s="21">
      <c r="A414" s="30" t="n"/>
      <c r="B414" s="30" t="n"/>
      <c r="C414" s="31" t="n"/>
      <c r="D414" s="31" t="n"/>
      <c r="E414" s="32">
        <f>IF(A414="","",D414-C414)</f>
        <v/>
      </c>
      <c r="F414" s="30" t="n"/>
      <c r="G414" s="30" t="n"/>
      <c r="H414" s="33">
        <f>IF(A414="","",SUMIFS(Movimientos!$D$2:$D$3001,Movimientos!$B$2:$B$3001,A414,Movimientos!$C$2:$C$3001,"Entrada"))</f>
        <v/>
      </c>
      <c r="I414" s="33">
        <f>IF(A414="","",SUMIFS(Movimientos!$D$2:$D$3001,Movimientos!$B$2:$B$3001,A414,Movimientos!$C$2:$C$3001,"Venta"))</f>
        <v/>
      </c>
      <c r="J414" s="33">
        <f>IF(A414="","",F414+H414-I414)</f>
        <v/>
      </c>
      <c r="K414" s="33">
        <f>IF(A414="","",IF(J414&lt;=G414,"REPONER","OK"))</f>
        <v/>
      </c>
    </row>
    <row r="415" ht="15" customHeight="1" s="21">
      <c r="A415" s="30" t="n"/>
      <c r="B415" s="30" t="n"/>
      <c r="C415" s="31" t="n"/>
      <c r="D415" s="31" t="n"/>
      <c r="E415" s="32">
        <f>IF(A415="","",D415-C415)</f>
        <v/>
      </c>
      <c r="F415" s="30" t="n"/>
      <c r="G415" s="30" t="n"/>
      <c r="H415" s="33">
        <f>IF(A415="","",SUMIFS(Movimientos!$D$2:$D$3001,Movimientos!$B$2:$B$3001,A415,Movimientos!$C$2:$C$3001,"Entrada"))</f>
        <v/>
      </c>
      <c r="I415" s="33">
        <f>IF(A415="","",SUMIFS(Movimientos!$D$2:$D$3001,Movimientos!$B$2:$B$3001,A415,Movimientos!$C$2:$C$3001,"Venta"))</f>
        <v/>
      </c>
      <c r="J415" s="33">
        <f>IF(A415="","",F415+H415-I415)</f>
        <v/>
      </c>
      <c r="K415" s="33">
        <f>IF(A415="","",IF(J415&lt;=G415,"REPONER","OK"))</f>
        <v/>
      </c>
    </row>
    <row r="416" ht="15" customHeight="1" s="21">
      <c r="A416" s="30" t="n"/>
      <c r="B416" s="30" t="n"/>
      <c r="C416" s="31" t="n"/>
      <c r="D416" s="31" t="n"/>
      <c r="E416" s="32">
        <f>IF(A416="","",D416-C416)</f>
        <v/>
      </c>
      <c r="F416" s="30" t="n"/>
      <c r="G416" s="30" t="n"/>
      <c r="H416" s="33">
        <f>IF(A416="","",SUMIFS(Movimientos!$D$2:$D$3001,Movimientos!$B$2:$B$3001,A416,Movimientos!$C$2:$C$3001,"Entrada"))</f>
        <v/>
      </c>
      <c r="I416" s="33">
        <f>IF(A416="","",SUMIFS(Movimientos!$D$2:$D$3001,Movimientos!$B$2:$B$3001,A416,Movimientos!$C$2:$C$3001,"Venta"))</f>
        <v/>
      </c>
      <c r="J416" s="33">
        <f>IF(A416="","",F416+H416-I416)</f>
        <v/>
      </c>
      <c r="K416" s="33">
        <f>IF(A416="","",IF(J416&lt;=G416,"REPONER","OK"))</f>
        <v/>
      </c>
    </row>
    <row r="417" ht="15" customHeight="1" s="21">
      <c r="A417" s="30" t="n"/>
      <c r="B417" s="30" t="n"/>
      <c r="C417" s="31" t="n"/>
      <c r="D417" s="31" t="n"/>
      <c r="E417" s="32">
        <f>IF(A417="","",D417-C417)</f>
        <v/>
      </c>
      <c r="F417" s="30" t="n"/>
      <c r="G417" s="30" t="n"/>
      <c r="H417" s="33">
        <f>IF(A417="","",SUMIFS(Movimientos!$D$2:$D$3001,Movimientos!$B$2:$B$3001,A417,Movimientos!$C$2:$C$3001,"Entrada"))</f>
        <v/>
      </c>
      <c r="I417" s="33">
        <f>IF(A417="","",SUMIFS(Movimientos!$D$2:$D$3001,Movimientos!$B$2:$B$3001,A417,Movimientos!$C$2:$C$3001,"Venta"))</f>
        <v/>
      </c>
      <c r="J417" s="33">
        <f>IF(A417="","",F417+H417-I417)</f>
        <v/>
      </c>
      <c r="K417" s="33">
        <f>IF(A417="","",IF(J417&lt;=G417,"REPONER","OK"))</f>
        <v/>
      </c>
    </row>
    <row r="418" ht="15" customHeight="1" s="21">
      <c r="A418" s="30" t="n"/>
      <c r="B418" s="30" t="n"/>
      <c r="C418" s="31" t="n"/>
      <c r="D418" s="31" t="n"/>
      <c r="E418" s="32">
        <f>IF(A418="","",D418-C418)</f>
        <v/>
      </c>
      <c r="F418" s="30" t="n"/>
      <c r="G418" s="30" t="n"/>
      <c r="H418" s="33">
        <f>IF(A418="","",SUMIFS(Movimientos!$D$2:$D$3001,Movimientos!$B$2:$B$3001,A418,Movimientos!$C$2:$C$3001,"Entrada"))</f>
        <v/>
      </c>
      <c r="I418" s="33">
        <f>IF(A418="","",SUMIFS(Movimientos!$D$2:$D$3001,Movimientos!$B$2:$B$3001,A418,Movimientos!$C$2:$C$3001,"Venta"))</f>
        <v/>
      </c>
      <c r="J418" s="33">
        <f>IF(A418="","",F418+H418-I418)</f>
        <v/>
      </c>
      <c r="K418" s="33">
        <f>IF(A418="","",IF(J418&lt;=G418,"REPONER","OK"))</f>
        <v/>
      </c>
    </row>
    <row r="419" ht="15" customHeight="1" s="21">
      <c r="A419" s="30" t="n"/>
      <c r="B419" s="30" t="n"/>
      <c r="C419" s="31" t="n"/>
      <c r="D419" s="31" t="n"/>
      <c r="E419" s="32">
        <f>IF(A419="","",D419-C419)</f>
        <v/>
      </c>
      <c r="F419" s="30" t="n"/>
      <c r="G419" s="30" t="n"/>
      <c r="H419" s="33">
        <f>IF(A419="","",SUMIFS(Movimientos!$D$2:$D$3001,Movimientos!$B$2:$B$3001,A419,Movimientos!$C$2:$C$3001,"Entrada"))</f>
        <v/>
      </c>
      <c r="I419" s="33">
        <f>IF(A419="","",SUMIFS(Movimientos!$D$2:$D$3001,Movimientos!$B$2:$B$3001,A419,Movimientos!$C$2:$C$3001,"Venta"))</f>
        <v/>
      </c>
      <c r="J419" s="33">
        <f>IF(A419="","",F419+H419-I419)</f>
        <v/>
      </c>
      <c r="K419" s="33">
        <f>IF(A419="","",IF(J419&lt;=G419,"REPONER","OK"))</f>
        <v/>
      </c>
    </row>
    <row r="420" ht="15" customHeight="1" s="21">
      <c r="A420" s="30" t="n"/>
      <c r="B420" s="30" t="n"/>
      <c r="C420" s="31" t="n"/>
      <c r="D420" s="31" t="n"/>
      <c r="E420" s="32">
        <f>IF(A420="","",D420-C420)</f>
        <v/>
      </c>
      <c r="F420" s="30" t="n"/>
      <c r="G420" s="30" t="n"/>
      <c r="H420" s="33">
        <f>IF(A420="","",SUMIFS(Movimientos!$D$2:$D$3001,Movimientos!$B$2:$B$3001,A420,Movimientos!$C$2:$C$3001,"Entrada"))</f>
        <v/>
      </c>
      <c r="I420" s="33">
        <f>IF(A420="","",SUMIFS(Movimientos!$D$2:$D$3001,Movimientos!$B$2:$B$3001,A420,Movimientos!$C$2:$C$3001,"Venta"))</f>
        <v/>
      </c>
      <c r="J420" s="33">
        <f>IF(A420="","",F420+H420-I420)</f>
        <v/>
      </c>
      <c r="K420" s="33">
        <f>IF(A420="","",IF(J420&lt;=G420,"REPONER","OK"))</f>
        <v/>
      </c>
    </row>
    <row r="421" ht="15" customHeight="1" s="21">
      <c r="A421" s="30" t="n"/>
      <c r="B421" s="30" t="n"/>
      <c r="C421" s="31" t="n"/>
      <c r="D421" s="31" t="n"/>
      <c r="E421" s="32">
        <f>IF(A421="","",D421-C421)</f>
        <v/>
      </c>
      <c r="F421" s="30" t="n"/>
      <c r="G421" s="30" t="n"/>
      <c r="H421" s="33">
        <f>IF(A421="","",SUMIFS(Movimientos!$D$2:$D$3001,Movimientos!$B$2:$B$3001,A421,Movimientos!$C$2:$C$3001,"Entrada"))</f>
        <v/>
      </c>
      <c r="I421" s="33">
        <f>IF(A421="","",SUMIFS(Movimientos!$D$2:$D$3001,Movimientos!$B$2:$B$3001,A421,Movimientos!$C$2:$C$3001,"Venta"))</f>
        <v/>
      </c>
      <c r="J421" s="33">
        <f>IF(A421="","",F421+H421-I421)</f>
        <v/>
      </c>
      <c r="K421" s="33">
        <f>IF(A421="","",IF(J421&lt;=G421,"REPONER","OK"))</f>
        <v/>
      </c>
    </row>
    <row r="422" ht="15" customHeight="1" s="21">
      <c r="A422" s="30" t="n"/>
      <c r="B422" s="30" t="n"/>
      <c r="C422" s="31" t="n"/>
      <c r="D422" s="31" t="n"/>
      <c r="E422" s="32">
        <f>IF(A422="","",D422-C422)</f>
        <v/>
      </c>
      <c r="F422" s="30" t="n"/>
      <c r="G422" s="30" t="n"/>
      <c r="H422" s="33">
        <f>IF(A422="","",SUMIFS(Movimientos!$D$2:$D$3001,Movimientos!$B$2:$B$3001,A422,Movimientos!$C$2:$C$3001,"Entrada"))</f>
        <v/>
      </c>
      <c r="I422" s="33">
        <f>IF(A422="","",SUMIFS(Movimientos!$D$2:$D$3001,Movimientos!$B$2:$B$3001,A422,Movimientos!$C$2:$C$3001,"Venta"))</f>
        <v/>
      </c>
      <c r="J422" s="33">
        <f>IF(A422="","",F422+H422-I422)</f>
        <v/>
      </c>
      <c r="K422" s="33">
        <f>IF(A422="","",IF(J422&lt;=G422,"REPONER","OK"))</f>
        <v/>
      </c>
    </row>
    <row r="423" ht="15" customHeight="1" s="21">
      <c r="A423" s="30" t="n"/>
      <c r="B423" s="30" t="n"/>
      <c r="C423" s="31" t="n"/>
      <c r="D423" s="31" t="n"/>
      <c r="E423" s="32">
        <f>IF(A423="","",D423-C423)</f>
        <v/>
      </c>
      <c r="F423" s="30" t="n"/>
      <c r="G423" s="30" t="n"/>
      <c r="H423" s="33">
        <f>IF(A423="","",SUMIFS(Movimientos!$D$2:$D$3001,Movimientos!$B$2:$B$3001,A423,Movimientos!$C$2:$C$3001,"Entrada"))</f>
        <v/>
      </c>
      <c r="I423" s="33">
        <f>IF(A423="","",SUMIFS(Movimientos!$D$2:$D$3001,Movimientos!$B$2:$B$3001,A423,Movimientos!$C$2:$C$3001,"Venta"))</f>
        <v/>
      </c>
      <c r="J423" s="33">
        <f>IF(A423="","",F423+H423-I423)</f>
        <v/>
      </c>
      <c r="K423" s="33">
        <f>IF(A423="","",IF(J423&lt;=G423,"REPONER","OK"))</f>
        <v/>
      </c>
    </row>
    <row r="424" ht="15" customHeight="1" s="21">
      <c r="A424" s="30" t="n"/>
      <c r="B424" s="30" t="n"/>
      <c r="C424" s="31" t="n"/>
      <c r="D424" s="31" t="n"/>
      <c r="E424" s="32">
        <f>IF(A424="","",D424-C424)</f>
        <v/>
      </c>
      <c r="F424" s="30" t="n"/>
      <c r="G424" s="30" t="n"/>
      <c r="H424" s="33">
        <f>IF(A424="","",SUMIFS(Movimientos!$D$2:$D$3001,Movimientos!$B$2:$B$3001,A424,Movimientos!$C$2:$C$3001,"Entrada"))</f>
        <v/>
      </c>
      <c r="I424" s="33">
        <f>IF(A424="","",SUMIFS(Movimientos!$D$2:$D$3001,Movimientos!$B$2:$B$3001,A424,Movimientos!$C$2:$C$3001,"Venta"))</f>
        <v/>
      </c>
      <c r="J424" s="33">
        <f>IF(A424="","",F424+H424-I424)</f>
        <v/>
      </c>
      <c r="K424" s="33">
        <f>IF(A424="","",IF(J424&lt;=G424,"REPONER","OK"))</f>
        <v/>
      </c>
    </row>
    <row r="425" ht="15" customHeight="1" s="21">
      <c r="A425" s="30" t="n"/>
      <c r="B425" s="30" t="n"/>
      <c r="C425" s="31" t="n"/>
      <c r="D425" s="31" t="n"/>
      <c r="E425" s="32">
        <f>IF(A425="","",D425-C425)</f>
        <v/>
      </c>
      <c r="F425" s="30" t="n"/>
      <c r="G425" s="30" t="n"/>
      <c r="H425" s="33">
        <f>IF(A425="","",SUMIFS(Movimientos!$D$2:$D$3001,Movimientos!$B$2:$B$3001,A425,Movimientos!$C$2:$C$3001,"Entrada"))</f>
        <v/>
      </c>
      <c r="I425" s="33">
        <f>IF(A425="","",SUMIFS(Movimientos!$D$2:$D$3001,Movimientos!$B$2:$B$3001,A425,Movimientos!$C$2:$C$3001,"Venta"))</f>
        <v/>
      </c>
      <c r="J425" s="33">
        <f>IF(A425="","",F425+H425-I425)</f>
        <v/>
      </c>
      <c r="K425" s="33">
        <f>IF(A425="","",IF(J425&lt;=G425,"REPONER","OK"))</f>
        <v/>
      </c>
    </row>
    <row r="426" ht="15" customHeight="1" s="21">
      <c r="A426" s="30" t="n"/>
      <c r="B426" s="30" t="n"/>
      <c r="C426" s="31" t="n"/>
      <c r="D426" s="31" t="n"/>
      <c r="E426" s="32">
        <f>IF(A426="","",D426-C426)</f>
        <v/>
      </c>
      <c r="F426" s="30" t="n"/>
      <c r="G426" s="30" t="n"/>
      <c r="H426" s="33">
        <f>IF(A426="","",SUMIFS(Movimientos!$D$2:$D$3001,Movimientos!$B$2:$B$3001,A426,Movimientos!$C$2:$C$3001,"Entrada"))</f>
        <v/>
      </c>
      <c r="I426" s="33">
        <f>IF(A426="","",SUMIFS(Movimientos!$D$2:$D$3001,Movimientos!$B$2:$B$3001,A426,Movimientos!$C$2:$C$3001,"Venta"))</f>
        <v/>
      </c>
      <c r="J426" s="33">
        <f>IF(A426="","",F426+H426-I426)</f>
        <v/>
      </c>
      <c r="K426" s="33">
        <f>IF(A426="","",IF(J426&lt;=G426,"REPONER","OK"))</f>
        <v/>
      </c>
    </row>
    <row r="427" ht="15" customHeight="1" s="21">
      <c r="A427" s="30" t="n"/>
      <c r="B427" s="30" t="n"/>
      <c r="C427" s="31" t="n"/>
      <c r="D427" s="31" t="n"/>
      <c r="E427" s="32">
        <f>IF(A427="","",D427-C427)</f>
        <v/>
      </c>
      <c r="F427" s="30" t="n"/>
      <c r="G427" s="30" t="n"/>
      <c r="H427" s="33">
        <f>IF(A427="","",SUMIFS(Movimientos!$D$2:$D$3001,Movimientos!$B$2:$B$3001,A427,Movimientos!$C$2:$C$3001,"Entrada"))</f>
        <v/>
      </c>
      <c r="I427" s="33">
        <f>IF(A427="","",SUMIFS(Movimientos!$D$2:$D$3001,Movimientos!$B$2:$B$3001,A427,Movimientos!$C$2:$C$3001,"Venta"))</f>
        <v/>
      </c>
      <c r="J427" s="33">
        <f>IF(A427="","",F427+H427-I427)</f>
        <v/>
      </c>
      <c r="K427" s="33">
        <f>IF(A427="","",IF(J427&lt;=G427,"REPONER","OK"))</f>
        <v/>
      </c>
    </row>
    <row r="428" ht="15" customHeight="1" s="21">
      <c r="A428" s="30" t="n"/>
      <c r="B428" s="30" t="n"/>
      <c r="C428" s="31" t="n"/>
      <c r="D428" s="31" t="n"/>
      <c r="E428" s="32">
        <f>IF(A428="","",D428-C428)</f>
        <v/>
      </c>
      <c r="F428" s="30" t="n"/>
      <c r="G428" s="30" t="n"/>
      <c r="H428" s="33">
        <f>IF(A428="","",SUMIFS(Movimientos!$D$2:$D$3001,Movimientos!$B$2:$B$3001,A428,Movimientos!$C$2:$C$3001,"Entrada"))</f>
        <v/>
      </c>
      <c r="I428" s="33">
        <f>IF(A428="","",SUMIFS(Movimientos!$D$2:$D$3001,Movimientos!$B$2:$B$3001,A428,Movimientos!$C$2:$C$3001,"Venta"))</f>
        <v/>
      </c>
      <c r="J428" s="33">
        <f>IF(A428="","",F428+H428-I428)</f>
        <v/>
      </c>
      <c r="K428" s="33">
        <f>IF(A428="","",IF(J428&lt;=G428,"REPONER","OK"))</f>
        <v/>
      </c>
    </row>
    <row r="429" ht="15" customHeight="1" s="21">
      <c r="A429" s="30" t="n"/>
      <c r="B429" s="30" t="n"/>
      <c r="C429" s="31" t="n"/>
      <c r="D429" s="31" t="n"/>
      <c r="E429" s="32">
        <f>IF(A429="","",D429-C429)</f>
        <v/>
      </c>
      <c r="F429" s="30" t="n"/>
      <c r="G429" s="30" t="n"/>
      <c r="H429" s="33">
        <f>IF(A429="","",SUMIFS(Movimientos!$D$2:$D$3001,Movimientos!$B$2:$B$3001,A429,Movimientos!$C$2:$C$3001,"Entrada"))</f>
        <v/>
      </c>
      <c r="I429" s="33">
        <f>IF(A429="","",SUMIFS(Movimientos!$D$2:$D$3001,Movimientos!$B$2:$B$3001,A429,Movimientos!$C$2:$C$3001,"Venta"))</f>
        <v/>
      </c>
      <c r="J429" s="33">
        <f>IF(A429="","",F429+H429-I429)</f>
        <v/>
      </c>
      <c r="K429" s="33">
        <f>IF(A429="","",IF(J429&lt;=G429,"REPONER","OK"))</f>
        <v/>
      </c>
    </row>
    <row r="430" ht="15" customHeight="1" s="21">
      <c r="A430" s="30" t="n"/>
      <c r="B430" s="30" t="n"/>
      <c r="C430" s="31" t="n"/>
      <c r="D430" s="31" t="n"/>
      <c r="E430" s="32">
        <f>IF(A430="","",D430-C430)</f>
        <v/>
      </c>
      <c r="F430" s="30" t="n"/>
      <c r="G430" s="30" t="n"/>
      <c r="H430" s="33">
        <f>IF(A430="","",SUMIFS(Movimientos!$D$2:$D$3001,Movimientos!$B$2:$B$3001,A430,Movimientos!$C$2:$C$3001,"Entrada"))</f>
        <v/>
      </c>
      <c r="I430" s="33">
        <f>IF(A430="","",SUMIFS(Movimientos!$D$2:$D$3001,Movimientos!$B$2:$B$3001,A430,Movimientos!$C$2:$C$3001,"Venta"))</f>
        <v/>
      </c>
      <c r="J430" s="33">
        <f>IF(A430="","",F430+H430-I430)</f>
        <v/>
      </c>
      <c r="K430" s="33">
        <f>IF(A430="","",IF(J430&lt;=G430,"REPONER","OK"))</f>
        <v/>
      </c>
    </row>
    <row r="431" ht="15" customHeight="1" s="21">
      <c r="A431" s="30" t="n"/>
      <c r="B431" s="30" t="n"/>
      <c r="C431" s="31" t="n"/>
      <c r="D431" s="31" t="n"/>
      <c r="E431" s="32">
        <f>IF(A431="","",D431-C431)</f>
        <v/>
      </c>
      <c r="F431" s="30" t="n"/>
      <c r="G431" s="30" t="n"/>
      <c r="H431" s="33">
        <f>IF(A431="","",SUMIFS(Movimientos!$D$2:$D$3001,Movimientos!$B$2:$B$3001,A431,Movimientos!$C$2:$C$3001,"Entrada"))</f>
        <v/>
      </c>
      <c r="I431" s="33">
        <f>IF(A431="","",SUMIFS(Movimientos!$D$2:$D$3001,Movimientos!$B$2:$B$3001,A431,Movimientos!$C$2:$C$3001,"Venta"))</f>
        <v/>
      </c>
      <c r="J431" s="33">
        <f>IF(A431="","",F431+H431-I431)</f>
        <v/>
      </c>
      <c r="K431" s="33">
        <f>IF(A431="","",IF(J431&lt;=G431,"REPONER","OK"))</f>
        <v/>
      </c>
    </row>
    <row r="432" ht="15" customHeight="1" s="21">
      <c r="A432" s="30" t="n"/>
      <c r="B432" s="30" t="n"/>
      <c r="C432" s="31" t="n"/>
      <c r="D432" s="31" t="n"/>
      <c r="E432" s="32">
        <f>IF(A432="","",D432-C432)</f>
        <v/>
      </c>
      <c r="F432" s="30" t="n"/>
      <c r="G432" s="30" t="n"/>
      <c r="H432" s="33">
        <f>IF(A432="","",SUMIFS(Movimientos!$D$2:$D$3001,Movimientos!$B$2:$B$3001,A432,Movimientos!$C$2:$C$3001,"Entrada"))</f>
        <v/>
      </c>
      <c r="I432" s="33">
        <f>IF(A432="","",SUMIFS(Movimientos!$D$2:$D$3001,Movimientos!$B$2:$B$3001,A432,Movimientos!$C$2:$C$3001,"Venta"))</f>
        <v/>
      </c>
      <c r="J432" s="33">
        <f>IF(A432="","",F432+H432-I432)</f>
        <v/>
      </c>
      <c r="K432" s="33">
        <f>IF(A432="","",IF(J432&lt;=G432,"REPONER","OK"))</f>
        <v/>
      </c>
    </row>
    <row r="433" ht="15" customHeight="1" s="21">
      <c r="A433" s="30" t="n"/>
      <c r="B433" s="30" t="n"/>
      <c r="C433" s="31" t="n"/>
      <c r="D433" s="31" t="n"/>
      <c r="E433" s="32">
        <f>IF(A433="","",D433-C433)</f>
        <v/>
      </c>
      <c r="F433" s="30" t="n"/>
      <c r="G433" s="30" t="n"/>
      <c r="H433" s="33">
        <f>IF(A433="","",SUMIFS(Movimientos!$D$2:$D$3001,Movimientos!$B$2:$B$3001,A433,Movimientos!$C$2:$C$3001,"Entrada"))</f>
        <v/>
      </c>
      <c r="I433" s="33">
        <f>IF(A433="","",SUMIFS(Movimientos!$D$2:$D$3001,Movimientos!$B$2:$B$3001,A433,Movimientos!$C$2:$C$3001,"Venta"))</f>
        <v/>
      </c>
      <c r="J433" s="33">
        <f>IF(A433="","",F433+H433-I433)</f>
        <v/>
      </c>
      <c r="K433" s="33">
        <f>IF(A433="","",IF(J433&lt;=G433,"REPONER","OK"))</f>
        <v/>
      </c>
    </row>
    <row r="434" ht="15" customHeight="1" s="21">
      <c r="A434" s="30" t="n"/>
      <c r="B434" s="30" t="n"/>
      <c r="C434" s="31" t="n"/>
      <c r="D434" s="31" t="n"/>
      <c r="E434" s="32">
        <f>IF(A434="","",D434-C434)</f>
        <v/>
      </c>
      <c r="F434" s="30" t="n"/>
      <c r="G434" s="30" t="n"/>
      <c r="H434" s="33">
        <f>IF(A434="","",SUMIFS(Movimientos!$D$2:$D$3001,Movimientos!$B$2:$B$3001,A434,Movimientos!$C$2:$C$3001,"Entrada"))</f>
        <v/>
      </c>
      <c r="I434" s="33">
        <f>IF(A434="","",SUMIFS(Movimientos!$D$2:$D$3001,Movimientos!$B$2:$B$3001,A434,Movimientos!$C$2:$C$3001,"Venta"))</f>
        <v/>
      </c>
      <c r="J434" s="33">
        <f>IF(A434="","",F434+H434-I434)</f>
        <v/>
      </c>
      <c r="K434" s="33">
        <f>IF(A434="","",IF(J434&lt;=G434,"REPONER","OK"))</f>
        <v/>
      </c>
    </row>
    <row r="435" ht="15" customHeight="1" s="21">
      <c r="A435" s="30" t="n"/>
      <c r="B435" s="30" t="n"/>
      <c r="C435" s="31" t="n"/>
      <c r="D435" s="31" t="n"/>
      <c r="E435" s="32">
        <f>IF(A435="","",D435-C435)</f>
        <v/>
      </c>
      <c r="F435" s="30" t="n"/>
      <c r="G435" s="30" t="n"/>
      <c r="H435" s="33">
        <f>IF(A435="","",SUMIFS(Movimientos!$D$2:$D$3001,Movimientos!$B$2:$B$3001,A435,Movimientos!$C$2:$C$3001,"Entrada"))</f>
        <v/>
      </c>
      <c r="I435" s="33">
        <f>IF(A435="","",SUMIFS(Movimientos!$D$2:$D$3001,Movimientos!$B$2:$B$3001,A435,Movimientos!$C$2:$C$3001,"Venta"))</f>
        <v/>
      </c>
      <c r="J435" s="33">
        <f>IF(A435="","",F435+H435-I435)</f>
        <v/>
      </c>
      <c r="K435" s="33">
        <f>IF(A435="","",IF(J435&lt;=G435,"REPONER","OK"))</f>
        <v/>
      </c>
    </row>
    <row r="436" ht="15" customHeight="1" s="21">
      <c r="A436" s="30" t="n"/>
      <c r="B436" s="30" t="n"/>
      <c r="C436" s="31" t="n"/>
      <c r="D436" s="31" t="n"/>
      <c r="E436" s="32">
        <f>IF(A436="","",D436-C436)</f>
        <v/>
      </c>
      <c r="F436" s="30" t="n"/>
      <c r="G436" s="30" t="n"/>
      <c r="H436" s="33">
        <f>IF(A436="","",SUMIFS(Movimientos!$D$2:$D$3001,Movimientos!$B$2:$B$3001,A436,Movimientos!$C$2:$C$3001,"Entrada"))</f>
        <v/>
      </c>
      <c r="I436" s="33">
        <f>IF(A436="","",SUMIFS(Movimientos!$D$2:$D$3001,Movimientos!$B$2:$B$3001,A436,Movimientos!$C$2:$C$3001,"Venta"))</f>
        <v/>
      </c>
      <c r="J436" s="33">
        <f>IF(A436="","",F436+H436-I436)</f>
        <v/>
      </c>
      <c r="K436" s="33">
        <f>IF(A436="","",IF(J436&lt;=G436,"REPONER","OK"))</f>
        <v/>
      </c>
    </row>
    <row r="437" ht="15" customHeight="1" s="21">
      <c r="A437" s="30" t="n"/>
      <c r="B437" s="30" t="n"/>
      <c r="C437" s="31" t="n"/>
      <c r="D437" s="31" t="n"/>
      <c r="E437" s="32">
        <f>IF(A437="","",D437-C437)</f>
        <v/>
      </c>
      <c r="F437" s="30" t="n"/>
      <c r="G437" s="30" t="n"/>
      <c r="H437" s="33">
        <f>IF(A437="","",SUMIFS(Movimientos!$D$2:$D$3001,Movimientos!$B$2:$B$3001,A437,Movimientos!$C$2:$C$3001,"Entrada"))</f>
        <v/>
      </c>
      <c r="I437" s="33">
        <f>IF(A437="","",SUMIFS(Movimientos!$D$2:$D$3001,Movimientos!$B$2:$B$3001,A437,Movimientos!$C$2:$C$3001,"Venta"))</f>
        <v/>
      </c>
      <c r="J437" s="33">
        <f>IF(A437="","",F437+H437-I437)</f>
        <v/>
      </c>
      <c r="K437" s="33">
        <f>IF(A437="","",IF(J437&lt;=G437,"REPONER","OK"))</f>
        <v/>
      </c>
    </row>
    <row r="438" ht="15" customHeight="1" s="21">
      <c r="A438" s="30" t="n"/>
      <c r="B438" s="30" t="n"/>
      <c r="C438" s="31" t="n"/>
      <c r="D438" s="31" t="n"/>
      <c r="E438" s="32">
        <f>IF(A438="","",D438-C438)</f>
        <v/>
      </c>
      <c r="F438" s="30" t="n"/>
      <c r="G438" s="30" t="n"/>
      <c r="H438" s="33">
        <f>IF(A438="","",SUMIFS(Movimientos!$D$2:$D$3001,Movimientos!$B$2:$B$3001,A438,Movimientos!$C$2:$C$3001,"Entrada"))</f>
        <v/>
      </c>
      <c r="I438" s="33">
        <f>IF(A438="","",SUMIFS(Movimientos!$D$2:$D$3001,Movimientos!$B$2:$B$3001,A438,Movimientos!$C$2:$C$3001,"Venta"))</f>
        <v/>
      </c>
      <c r="J438" s="33">
        <f>IF(A438="","",F438+H438-I438)</f>
        <v/>
      </c>
      <c r="K438" s="33">
        <f>IF(A438="","",IF(J438&lt;=G438,"REPONER","OK"))</f>
        <v/>
      </c>
    </row>
    <row r="439" ht="15" customHeight="1" s="21">
      <c r="A439" s="30" t="n"/>
      <c r="B439" s="30" t="n"/>
      <c r="C439" s="31" t="n"/>
      <c r="D439" s="31" t="n"/>
      <c r="E439" s="32">
        <f>IF(A439="","",D439-C439)</f>
        <v/>
      </c>
      <c r="F439" s="30" t="n"/>
      <c r="G439" s="30" t="n"/>
      <c r="H439" s="33">
        <f>IF(A439="","",SUMIFS(Movimientos!$D$2:$D$3001,Movimientos!$B$2:$B$3001,A439,Movimientos!$C$2:$C$3001,"Entrada"))</f>
        <v/>
      </c>
      <c r="I439" s="33">
        <f>IF(A439="","",SUMIFS(Movimientos!$D$2:$D$3001,Movimientos!$B$2:$B$3001,A439,Movimientos!$C$2:$C$3001,"Venta"))</f>
        <v/>
      </c>
      <c r="J439" s="33">
        <f>IF(A439="","",F439+H439-I439)</f>
        <v/>
      </c>
      <c r="K439" s="33">
        <f>IF(A439="","",IF(J439&lt;=G439,"REPONER","OK"))</f>
        <v/>
      </c>
    </row>
    <row r="440" ht="15" customHeight="1" s="21">
      <c r="A440" s="30" t="n"/>
      <c r="B440" s="30" t="n"/>
      <c r="C440" s="31" t="n"/>
      <c r="D440" s="31" t="n"/>
      <c r="E440" s="32">
        <f>IF(A440="","",D440-C440)</f>
        <v/>
      </c>
      <c r="F440" s="30" t="n"/>
      <c r="G440" s="30" t="n"/>
      <c r="H440" s="33">
        <f>IF(A440="","",SUMIFS(Movimientos!$D$2:$D$3001,Movimientos!$B$2:$B$3001,A440,Movimientos!$C$2:$C$3001,"Entrada"))</f>
        <v/>
      </c>
      <c r="I440" s="33">
        <f>IF(A440="","",SUMIFS(Movimientos!$D$2:$D$3001,Movimientos!$B$2:$B$3001,A440,Movimientos!$C$2:$C$3001,"Venta"))</f>
        <v/>
      </c>
      <c r="J440" s="33">
        <f>IF(A440="","",F440+H440-I440)</f>
        <v/>
      </c>
      <c r="K440" s="33">
        <f>IF(A440="","",IF(J440&lt;=G440,"REPONER","OK"))</f>
        <v/>
      </c>
    </row>
    <row r="441" ht="15" customHeight="1" s="21">
      <c r="A441" s="30" t="n"/>
      <c r="B441" s="30" t="n"/>
      <c r="C441" s="31" t="n"/>
      <c r="D441" s="31" t="n"/>
      <c r="E441" s="32">
        <f>IF(A441="","",D441-C441)</f>
        <v/>
      </c>
      <c r="F441" s="30" t="n"/>
      <c r="G441" s="30" t="n"/>
      <c r="H441" s="33">
        <f>IF(A441="","",SUMIFS(Movimientos!$D$2:$D$3001,Movimientos!$B$2:$B$3001,A441,Movimientos!$C$2:$C$3001,"Entrada"))</f>
        <v/>
      </c>
      <c r="I441" s="33">
        <f>IF(A441="","",SUMIFS(Movimientos!$D$2:$D$3001,Movimientos!$B$2:$B$3001,A441,Movimientos!$C$2:$C$3001,"Venta"))</f>
        <v/>
      </c>
      <c r="J441" s="33">
        <f>IF(A441="","",F441+H441-I441)</f>
        <v/>
      </c>
      <c r="K441" s="33">
        <f>IF(A441="","",IF(J441&lt;=G441,"REPONER","OK"))</f>
        <v/>
      </c>
    </row>
    <row r="442" ht="15" customHeight="1" s="21">
      <c r="A442" s="30" t="n"/>
      <c r="B442" s="30" t="n"/>
      <c r="C442" s="31" t="n"/>
      <c r="D442" s="31" t="n"/>
      <c r="E442" s="32">
        <f>IF(A442="","",D442-C442)</f>
        <v/>
      </c>
      <c r="F442" s="30" t="n"/>
      <c r="G442" s="30" t="n"/>
      <c r="H442" s="33">
        <f>IF(A442="","",SUMIFS(Movimientos!$D$2:$D$3001,Movimientos!$B$2:$B$3001,A442,Movimientos!$C$2:$C$3001,"Entrada"))</f>
        <v/>
      </c>
      <c r="I442" s="33">
        <f>IF(A442="","",SUMIFS(Movimientos!$D$2:$D$3001,Movimientos!$B$2:$B$3001,A442,Movimientos!$C$2:$C$3001,"Venta"))</f>
        <v/>
      </c>
      <c r="J442" s="33">
        <f>IF(A442="","",F442+H442-I442)</f>
        <v/>
      </c>
      <c r="K442" s="33">
        <f>IF(A442="","",IF(J442&lt;=G442,"REPONER","OK"))</f>
        <v/>
      </c>
    </row>
    <row r="443" ht="15" customHeight="1" s="21">
      <c r="A443" s="30" t="n"/>
      <c r="B443" s="30" t="n"/>
      <c r="C443" s="31" t="n"/>
      <c r="D443" s="31" t="n"/>
      <c r="E443" s="32">
        <f>IF(A443="","",D443-C443)</f>
        <v/>
      </c>
      <c r="F443" s="30" t="n"/>
      <c r="G443" s="30" t="n"/>
      <c r="H443" s="33">
        <f>IF(A443="","",SUMIFS(Movimientos!$D$2:$D$3001,Movimientos!$B$2:$B$3001,A443,Movimientos!$C$2:$C$3001,"Entrada"))</f>
        <v/>
      </c>
      <c r="I443" s="33">
        <f>IF(A443="","",SUMIFS(Movimientos!$D$2:$D$3001,Movimientos!$B$2:$B$3001,A443,Movimientos!$C$2:$C$3001,"Venta"))</f>
        <v/>
      </c>
      <c r="J443" s="33">
        <f>IF(A443="","",F443+H443-I443)</f>
        <v/>
      </c>
      <c r="K443" s="33">
        <f>IF(A443="","",IF(J443&lt;=G443,"REPONER","OK"))</f>
        <v/>
      </c>
    </row>
    <row r="444" ht="15" customHeight="1" s="21">
      <c r="A444" s="30" t="n"/>
      <c r="B444" s="30" t="n"/>
      <c r="C444" s="31" t="n"/>
      <c r="D444" s="31" t="n"/>
      <c r="E444" s="32">
        <f>IF(A444="","",D444-C444)</f>
        <v/>
      </c>
      <c r="F444" s="30" t="n"/>
      <c r="G444" s="30" t="n"/>
      <c r="H444" s="33">
        <f>IF(A444="","",SUMIFS(Movimientos!$D$2:$D$3001,Movimientos!$B$2:$B$3001,A444,Movimientos!$C$2:$C$3001,"Entrada"))</f>
        <v/>
      </c>
      <c r="I444" s="33">
        <f>IF(A444="","",SUMIFS(Movimientos!$D$2:$D$3001,Movimientos!$B$2:$B$3001,A444,Movimientos!$C$2:$C$3001,"Venta"))</f>
        <v/>
      </c>
      <c r="J444" s="33">
        <f>IF(A444="","",F444+H444-I444)</f>
        <v/>
      </c>
      <c r="K444" s="33">
        <f>IF(A444="","",IF(J444&lt;=G444,"REPONER","OK"))</f>
        <v/>
      </c>
    </row>
    <row r="445" ht="15" customHeight="1" s="21">
      <c r="A445" s="30" t="n"/>
      <c r="B445" s="30" t="n"/>
      <c r="C445" s="31" t="n"/>
      <c r="D445" s="31" t="n"/>
      <c r="E445" s="32">
        <f>IF(A445="","",D445-C445)</f>
        <v/>
      </c>
      <c r="F445" s="30" t="n"/>
      <c r="G445" s="30" t="n"/>
      <c r="H445" s="33">
        <f>IF(A445="","",SUMIFS(Movimientos!$D$2:$D$3001,Movimientos!$B$2:$B$3001,A445,Movimientos!$C$2:$C$3001,"Entrada"))</f>
        <v/>
      </c>
      <c r="I445" s="33">
        <f>IF(A445="","",SUMIFS(Movimientos!$D$2:$D$3001,Movimientos!$B$2:$B$3001,A445,Movimientos!$C$2:$C$3001,"Venta"))</f>
        <v/>
      </c>
      <c r="J445" s="33">
        <f>IF(A445="","",F445+H445-I445)</f>
        <v/>
      </c>
      <c r="K445" s="33">
        <f>IF(A445="","",IF(J445&lt;=G445,"REPONER","OK"))</f>
        <v/>
      </c>
    </row>
    <row r="446" ht="15" customHeight="1" s="21">
      <c r="A446" s="30" t="n"/>
      <c r="B446" s="30" t="n"/>
      <c r="C446" s="31" t="n"/>
      <c r="D446" s="31" t="n"/>
      <c r="E446" s="32">
        <f>IF(A446="","",D446-C446)</f>
        <v/>
      </c>
      <c r="F446" s="30" t="n"/>
      <c r="G446" s="30" t="n"/>
      <c r="H446" s="33">
        <f>IF(A446="","",SUMIFS(Movimientos!$D$2:$D$3001,Movimientos!$B$2:$B$3001,A446,Movimientos!$C$2:$C$3001,"Entrada"))</f>
        <v/>
      </c>
      <c r="I446" s="33">
        <f>IF(A446="","",SUMIFS(Movimientos!$D$2:$D$3001,Movimientos!$B$2:$B$3001,A446,Movimientos!$C$2:$C$3001,"Venta"))</f>
        <v/>
      </c>
      <c r="J446" s="33">
        <f>IF(A446="","",F446+H446-I446)</f>
        <v/>
      </c>
      <c r="K446" s="33">
        <f>IF(A446="","",IF(J446&lt;=G446,"REPONER","OK"))</f>
        <v/>
      </c>
    </row>
    <row r="447" ht="15" customHeight="1" s="21">
      <c r="A447" s="30" t="n"/>
      <c r="B447" s="30" t="n"/>
      <c r="C447" s="31" t="n"/>
      <c r="D447" s="31" t="n"/>
      <c r="E447" s="32">
        <f>IF(A447="","",D447-C447)</f>
        <v/>
      </c>
      <c r="F447" s="30" t="n"/>
      <c r="G447" s="30" t="n"/>
      <c r="H447" s="33">
        <f>IF(A447="","",SUMIFS(Movimientos!$D$2:$D$3001,Movimientos!$B$2:$B$3001,A447,Movimientos!$C$2:$C$3001,"Entrada"))</f>
        <v/>
      </c>
      <c r="I447" s="33">
        <f>IF(A447="","",SUMIFS(Movimientos!$D$2:$D$3001,Movimientos!$B$2:$B$3001,A447,Movimientos!$C$2:$C$3001,"Venta"))</f>
        <v/>
      </c>
      <c r="J447" s="33">
        <f>IF(A447="","",F447+H447-I447)</f>
        <v/>
      </c>
      <c r="K447" s="33">
        <f>IF(A447="","",IF(J447&lt;=G447,"REPONER","OK"))</f>
        <v/>
      </c>
    </row>
    <row r="448" ht="15" customHeight="1" s="21">
      <c r="A448" s="30" t="n"/>
      <c r="B448" s="30" t="n"/>
      <c r="C448" s="31" t="n"/>
      <c r="D448" s="31" t="n"/>
      <c r="E448" s="32">
        <f>IF(A448="","",D448-C448)</f>
        <v/>
      </c>
      <c r="F448" s="30" t="n"/>
      <c r="G448" s="30" t="n"/>
      <c r="H448" s="33">
        <f>IF(A448="","",SUMIFS(Movimientos!$D$2:$D$3001,Movimientos!$B$2:$B$3001,A448,Movimientos!$C$2:$C$3001,"Entrada"))</f>
        <v/>
      </c>
      <c r="I448" s="33">
        <f>IF(A448="","",SUMIFS(Movimientos!$D$2:$D$3001,Movimientos!$B$2:$B$3001,A448,Movimientos!$C$2:$C$3001,"Venta"))</f>
        <v/>
      </c>
      <c r="J448" s="33">
        <f>IF(A448="","",F448+H448-I448)</f>
        <v/>
      </c>
      <c r="K448" s="33">
        <f>IF(A448="","",IF(J448&lt;=G448,"REPONER","OK"))</f>
        <v/>
      </c>
    </row>
    <row r="449" ht="15" customHeight="1" s="21">
      <c r="A449" s="30" t="n"/>
      <c r="B449" s="30" t="n"/>
      <c r="C449" s="31" t="n"/>
      <c r="D449" s="31" t="n"/>
      <c r="E449" s="32">
        <f>IF(A449="","",D449-C449)</f>
        <v/>
      </c>
      <c r="F449" s="30" t="n"/>
      <c r="G449" s="30" t="n"/>
      <c r="H449" s="33">
        <f>IF(A449="","",SUMIFS(Movimientos!$D$2:$D$3001,Movimientos!$B$2:$B$3001,A449,Movimientos!$C$2:$C$3001,"Entrada"))</f>
        <v/>
      </c>
      <c r="I449" s="33">
        <f>IF(A449="","",SUMIFS(Movimientos!$D$2:$D$3001,Movimientos!$B$2:$B$3001,A449,Movimientos!$C$2:$C$3001,"Venta"))</f>
        <v/>
      </c>
      <c r="J449" s="33">
        <f>IF(A449="","",F449+H449-I449)</f>
        <v/>
      </c>
      <c r="K449" s="33">
        <f>IF(A449="","",IF(J449&lt;=G449,"REPONER","OK"))</f>
        <v/>
      </c>
    </row>
    <row r="450" ht="15" customHeight="1" s="21">
      <c r="A450" s="30" t="n"/>
      <c r="B450" s="30" t="n"/>
      <c r="C450" s="31" t="n"/>
      <c r="D450" s="31" t="n"/>
      <c r="E450" s="32">
        <f>IF(A450="","",D450-C450)</f>
        <v/>
      </c>
      <c r="F450" s="30" t="n"/>
      <c r="G450" s="30" t="n"/>
      <c r="H450" s="33">
        <f>IF(A450="","",SUMIFS(Movimientos!$D$2:$D$3001,Movimientos!$B$2:$B$3001,A450,Movimientos!$C$2:$C$3001,"Entrada"))</f>
        <v/>
      </c>
      <c r="I450" s="33">
        <f>IF(A450="","",SUMIFS(Movimientos!$D$2:$D$3001,Movimientos!$B$2:$B$3001,A450,Movimientos!$C$2:$C$3001,"Venta"))</f>
        <v/>
      </c>
      <c r="J450" s="33">
        <f>IF(A450="","",F450+H450-I450)</f>
        <v/>
      </c>
      <c r="K450" s="33">
        <f>IF(A450="","",IF(J450&lt;=G450,"REPONER","OK"))</f>
        <v/>
      </c>
    </row>
    <row r="451" ht="15" customHeight="1" s="21">
      <c r="A451" s="30" t="n"/>
      <c r="B451" s="30" t="n"/>
      <c r="C451" s="31" t="n"/>
      <c r="D451" s="31" t="n"/>
      <c r="E451" s="32">
        <f>IF(A451="","",D451-C451)</f>
        <v/>
      </c>
      <c r="F451" s="30" t="n"/>
      <c r="G451" s="30" t="n"/>
      <c r="H451" s="33">
        <f>IF(A451="","",SUMIFS(Movimientos!$D$2:$D$3001,Movimientos!$B$2:$B$3001,A451,Movimientos!$C$2:$C$3001,"Entrada"))</f>
        <v/>
      </c>
      <c r="I451" s="33">
        <f>IF(A451="","",SUMIFS(Movimientos!$D$2:$D$3001,Movimientos!$B$2:$B$3001,A451,Movimientos!$C$2:$C$3001,"Venta"))</f>
        <v/>
      </c>
      <c r="J451" s="33">
        <f>IF(A451="","",F451+H451-I451)</f>
        <v/>
      </c>
      <c r="K451" s="33">
        <f>IF(A451="","",IF(J451&lt;=G451,"REPONER","OK"))</f>
        <v/>
      </c>
    </row>
    <row r="452" ht="15" customHeight="1" s="21">
      <c r="A452" s="30" t="n"/>
      <c r="B452" s="30" t="n"/>
      <c r="C452" s="31" t="n"/>
      <c r="D452" s="31" t="n"/>
      <c r="E452" s="32">
        <f>IF(A452="","",D452-C452)</f>
        <v/>
      </c>
      <c r="F452" s="30" t="n"/>
      <c r="G452" s="30" t="n"/>
      <c r="H452" s="33">
        <f>IF(A452="","",SUMIFS(Movimientos!$D$2:$D$3001,Movimientos!$B$2:$B$3001,A452,Movimientos!$C$2:$C$3001,"Entrada"))</f>
        <v/>
      </c>
      <c r="I452" s="33">
        <f>IF(A452="","",SUMIFS(Movimientos!$D$2:$D$3001,Movimientos!$B$2:$B$3001,A452,Movimientos!$C$2:$C$3001,"Venta"))</f>
        <v/>
      </c>
      <c r="J452" s="33">
        <f>IF(A452="","",F452+H452-I452)</f>
        <v/>
      </c>
      <c r="K452" s="33">
        <f>IF(A452="","",IF(J452&lt;=G452,"REPONER","OK"))</f>
        <v/>
      </c>
    </row>
    <row r="453" ht="15" customHeight="1" s="21">
      <c r="A453" s="30" t="n"/>
      <c r="B453" s="30" t="n"/>
      <c r="C453" s="31" t="n"/>
      <c r="D453" s="31" t="n"/>
      <c r="E453" s="32">
        <f>IF(A453="","",D453-C453)</f>
        <v/>
      </c>
      <c r="F453" s="30" t="n"/>
      <c r="G453" s="30" t="n"/>
      <c r="H453" s="33">
        <f>IF(A453="","",SUMIFS(Movimientos!$D$2:$D$3001,Movimientos!$B$2:$B$3001,A453,Movimientos!$C$2:$C$3001,"Entrada"))</f>
        <v/>
      </c>
      <c r="I453" s="33">
        <f>IF(A453="","",SUMIFS(Movimientos!$D$2:$D$3001,Movimientos!$B$2:$B$3001,A453,Movimientos!$C$2:$C$3001,"Venta"))</f>
        <v/>
      </c>
      <c r="J453" s="33">
        <f>IF(A453="","",F453+H453-I453)</f>
        <v/>
      </c>
      <c r="K453" s="33">
        <f>IF(A453="","",IF(J453&lt;=G453,"REPONER","OK"))</f>
        <v/>
      </c>
    </row>
    <row r="454" ht="15" customHeight="1" s="21">
      <c r="A454" s="30" t="n"/>
      <c r="B454" s="30" t="n"/>
      <c r="C454" s="31" t="n"/>
      <c r="D454" s="31" t="n"/>
      <c r="E454" s="32">
        <f>IF(A454="","",D454-C454)</f>
        <v/>
      </c>
      <c r="F454" s="30" t="n"/>
      <c r="G454" s="30" t="n"/>
      <c r="H454" s="33">
        <f>IF(A454="","",SUMIFS(Movimientos!$D$2:$D$3001,Movimientos!$B$2:$B$3001,A454,Movimientos!$C$2:$C$3001,"Entrada"))</f>
        <v/>
      </c>
      <c r="I454" s="33">
        <f>IF(A454="","",SUMIFS(Movimientos!$D$2:$D$3001,Movimientos!$B$2:$B$3001,A454,Movimientos!$C$2:$C$3001,"Venta"))</f>
        <v/>
      </c>
      <c r="J454" s="33">
        <f>IF(A454="","",F454+H454-I454)</f>
        <v/>
      </c>
      <c r="K454" s="33">
        <f>IF(A454="","",IF(J454&lt;=G454,"REPONER","OK"))</f>
        <v/>
      </c>
    </row>
    <row r="455" ht="15" customHeight="1" s="21">
      <c r="A455" s="30" t="n"/>
      <c r="B455" s="30" t="n"/>
      <c r="C455" s="31" t="n"/>
      <c r="D455" s="31" t="n"/>
      <c r="E455" s="32">
        <f>IF(A455="","",D455-C455)</f>
        <v/>
      </c>
      <c r="F455" s="30" t="n"/>
      <c r="G455" s="30" t="n"/>
      <c r="H455" s="33">
        <f>IF(A455="","",SUMIFS(Movimientos!$D$2:$D$3001,Movimientos!$B$2:$B$3001,A455,Movimientos!$C$2:$C$3001,"Entrada"))</f>
        <v/>
      </c>
      <c r="I455" s="33">
        <f>IF(A455="","",SUMIFS(Movimientos!$D$2:$D$3001,Movimientos!$B$2:$B$3001,A455,Movimientos!$C$2:$C$3001,"Venta"))</f>
        <v/>
      </c>
      <c r="J455" s="33">
        <f>IF(A455="","",F455+H455-I455)</f>
        <v/>
      </c>
      <c r="K455" s="33">
        <f>IF(A455="","",IF(J455&lt;=G455,"REPONER","OK"))</f>
        <v/>
      </c>
    </row>
    <row r="456" ht="15" customHeight="1" s="21">
      <c r="A456" s="30" t="n"/>
      <c r="B456" s="30" t="n"/>
      <c r="C456" s="31" t="n"/>
      <c r="D456" s="31" t="n"/>
      <c r="E456" s="32">
        <f>IF(A456="","",D456-C456)</f>
        <v/>
      </c>
      <c r="F456" s="30" t="n"/>
      <c r="G456" s="30" t="n"/>
      <c r="H456" s="33">
        <f>IF(A456="","",SUMIFS(Movimientos!$D$2:$D$3001,Movimientos!$B$2:$B$3001,A456,Movimientos!$C$2:$C$3001,"Entrada"))</f>
        <v/>
      </c>
      <c r="I456" s="33">
        <f>IF(A456="","",SUMIFS(Movimientos!$D$2:$D$3001,Movimientos!$B$2:$B$3001,A456,Movimientos!$C$2:$C$3001,"Venta"))</f>
        <v/>
      </c>
      <c r="J456" s="33">
        <f>IF(A456="","",F456+H456-I456)</f>
        <v/>
      </c>
      <c r="K456" s="33">
        <f>IF(A456="","",IF(J456&lt;=G456,"REPONER","OK"))</f>
        <v/>
      </c>
    </row>
    <row r="457" ht="15" customHeight="1" s="21">
      <c r="A457" s="30" t="n"/>
      <c r="B457" s="30" t="n"/>
      <c r="C457" s="31" t="n"/>
      <c r="D457" s="31" t="n"/>
      <c r="E457" s="32">
        <f>IF(A457="","",D457-C457)</f>
        <v/>
      </c>
      <c r="F457" s="30" t="n"/>
      <c r="G457" s="30" t="n"/>
      <c r="H457" s="33">
        <f>IF(A457="","",SUMIFS(Movimientos!$D$2:$D$3001,Movimientos!$B$2:$B$3001,A457,Movimientos!$C$2:$C$3001,"Entrada"))</f>
        <v/>
      </c>
      <c r="I457" s="33">
        <f>IF(A457="","",SUMIFS(Movimientos!$D$2:$D$3001,Movimientos!$B$2:$B$3001,A457,Movimientos!$C$2:$C$3001,"Venta"))</f>
        <v/>
      </c>
      <c r="J457" s="33">
        <f>IF(A457="","",F457+H457-I457)</f>
        <v/>
      </c>
      <c r="K457" s="33">
        <f>IF(A457="","",IF(J457&lt;=G457,"REPONER","OK"))</f>
        <v/>
      </c>
    </row>
    <row r="458" ht="15" customHeight="1" s="21">
      <c r="A458" s="30" t="n"/>
      <c r="B458" s="30" t="n"/>
      <c r="C458" s="31" t="n"/>
      <c r="D458" s="31" t="n"/>
      <c r="E458" s="32">
        <f>IF(A458="","",D458-C458)</f>
        <v/>
      </c>
      <c r="F458" s="30" t="n"/>
      <c r="G458" s="30" t="n"/>
      <c r="H458" s="33">
        <f>IF(A458="","",SUMIFS(Movimientos!$D$2:$D$3001,Movimientos!$B$2:$B$3001,A458,Movimientos!$C$2:$C$3001,"Entrada"))</f>
        <v/>
      </c>
      <c r="I458" s="33">
        <f>IF(A458="","",SUMIFS(Movimientos!$D$2:$D$3001,Movimientos!$B$2:$B$3001,A458,Movimientos!$C$2:$C$3001,"Venta"))</f>
        <v/>
      </c>
      <c r="J458" s="33">
        <f>IF(A458="","",F458+H458-I458)</f>
        <v/>
      </c>
      <c r="K458" s="33">
        <f>IF(A458="","",IF(J458&lt;=G458,"REPONER","OK"))</f>
        <v/>
      </c>
    </row>
    <row r="459" ht="15" customHeight="1" s="21">
      <c r="A459" s="30" t="n"/>
      <c r="B459" s="30" t="n"/>
      <c r="C459" s="31" t="n"/>
      <c r="D459" s="31" t="n"/>
      <c r="E459" s="32">
        <f>IF(A459="","",D459-C459)</f>
        <v/>
      </c>
      <c r="F459" s="30" t="n"/>
      <c r="G459" s="30" t="n"/>
      <c r="H459" s="33">
        <f>IF(A459="","",SUMIFS(Movimientos!$D$2:$D$3001,Movimientos!$B$2:$B$3001,A459,Movimientos!$C$2:$C$3001,"Entrada"))</f>
        <v/>
      </c>
      <c r="I459" s="33">
        <f>IF(A459="","",SUMIFS(Movimientos!$D$2:$D$3001,Movimientos!$B$2:$B$3001,A459,Movimientos!$C$2:$C$3001,"Venta"))</f>
        <v/>
      </c>
      <c r="J459" s="33">
        <f>IF(A459="","",F459+H459-I459)</f>
        <v/>
      </c>
      <c r="K459" s="33">
        <f>IF(A459="","",IF(J459&lt;=G459,"REPONER","OK"))</f>
        <v/>
      </c>
    </row>
    <row r="460" ht="15" customHeight="1" s="21">
      <c r="A460" s="30" t="n"/>
      <c r="B460" s="30" t="n"/>
      <c r="C460" s="31" t="n"/>
      <c r="D460" s="31" t="n"/>
      <c r="E460" s="32">
        <f>IF(A460="","",D460-C460)</f>
        <v/>
      </c>
      <c r="F460" s="30" t="n"/>
      <c r="G460" s="30" t="n"/>
      <c r="H460" s="33">
        <f>IF(A460="","",SUMIFS(Movimientos!$D$2:$D$3001,Movimientos!$B$2:$B$3001,A460,Movimientos!$C$2:$C$3001,"Entrada"))</f>
        <v/>
      </c>
      <c r="I460" s="33">
        <f>IF(A460="","",SUMIFS(Movimientos!$D$2:$D$3001,Movimientos!$B$2:$B$3001,A460,Movimientos!$C$2:$C$3001,"Venta"))</f>
        <v/>
      </c>
      <c r="J460" s="33">
        <f>IF(A460="","",F460+H460-I460)</f>
        <v/>
      </c>
      <c r="K460" s="33">
        <f>IF(A460="","",IF(J460&lt;=G460,"REPONER","OK"))</f>
        <v/>
      </c>
    </row>
    <row r="461" ht="15" customHeight="1" s="21">
      <c r="A461" s="30" t="n"/>
      <c r="B461" s="30" t="n"/>
      <c r="C461" s="31" t="n"/>
      <c r="D461" s="31" t="n"/>
      <c r="E461" s="32">
        <f>IF(A461="","",D461-C461)</f>
        <v/>
      </c>
      <c r="F461" s="30" t="n"/>
      <c r="G461" s="30" t="n"/>
      <c r="H461" s="33">
        <f>IF(A461="","",SUMIFS(Movimientos!$D$2:$D$3001,Movimientos!$B$2:$B$3001,A461,Movimientos!$C$2:$C$3001,"Entrada"))</f>
        <v/>
      </c>
      <c r="I461" s="33">
        <f>IF(A461="","",SUMIFS(Movimientos!$D$2:$D$3001,Movimientos!$B$2:$B$3001,A461,Movimientos!$C$2:$C$3001,"Venta"))</f>
        <v/>
      </c>
      <c r="J461" s="33">
        <f>IF(A461="","",F461+H461-I461)</f>
        <v/>
      </c>
      <c r="K461" s="33">
        <f>IF(A461="","",IF(J461&lt;=G461,"REPONER","OK"))</f>
        <v/>
      </c>
    </row>
    <row r="462" ht="15" customHeight="1" s="21">
      <c r="A462" s="30" t="n"/>
      <c r="B462" s="30" t="n"/>
      <c r="C462" s="31" t="n"/>
      <c r="D462" s="31" t="n"/>
      <c r="E462" s="32">
        <f>IF(A462="","",D462-C462)</f>
        <v/>
      </c>
      <c r="F462" s="30" t="n"/>
      <c r="G462" s="30" t="n"/>
      <c r="H462" s="33">
        <f>IF(A462="","",SUMIFS(Movimientos!$D$2:$D$3001,Movimientos!$B$2:$B$3001,A462,Movimientos!$C$2:$C$3001,"Entrada"))</f>
        <v/>
      </c>
      <c r="I462" s="33">
        <f>IF(A462="","",SUMIFS(Movimientos!$D$2:$D$3001,Movimientos!$B$2:$B$3001,A462,Movimientos!$C$2:$C$3001,"Venta"))</f>
        <v/>
      </c>
      <c r="J462" s="33">
        <f>IF(A462="","",F462+H462-I462)</f>
        <v/>
      </c>
      <c r="K462" s="33">
        <f>IF(A462="","",IF(J462&lt;=G462,"REPONER","OK"))</f>
        <v/>
      </c>
    </row>
    <row r="463" ht="15" customHeight="1" s="21">
      <c r="A463" s="30" t="n"/>
      <c r="B463" s="30" t="n"/>
      <c r="C463" s="31" t="n"/>
      <c r="D463" s="31" t="n"/>
      <c r="E463" s="32">
        <f>IF(A463="","",D463-C463)</f>
        <v/>
      </c>
      <c r="F463" s="30" t="n"/>
      <c r="G463" s="30" t="n"/>
      <c r="H463" s="33">
        <f>IF(A463="","",SUMIFS(Movimientos!$D$2:$D$3001,Movimientos!$B$2:$B$3001,A463,Movimientos!$C$2:$C$3001,"Entrada"))</f>
        <v/>
      </c>
      <c r="I463" s="33">
        <f>IF(A463="","",SUMIFS(Movimientos!$D$2:$D$3001,Movimientos!$B$2:$B$3001,A463,Movimientos!$C$2:$C$3001,"Venta"))</f>
        <v/>
      </c>
      <c r="J463" s="33">
        <f>IF(A463="","",F463+H463-I463)</f>
        <v/>
      </c>
      <c r="K463" s="33">
        <f>IF(A463="","",IF(J463&lt;=G463,"REPONER","OK"))</f>
        <v/>
      </c>
    </row>
    <row r="464" ht="15" customHeight="1" s="21">
      <c r="A464" s="30" t="n"/>
      <c r="B464" s="30" t="n"/>
      <c r="C464" s="31" t="n"/>
      <c r="D464" s="31" t="n"/>
      <c r="E464" s="32">
        <f>IF(A464="","",D464-C464)</f>
        <v/>
      </c>
      <c r="F464" s="30" t="n"/>
      <c r="G464" s="30" t="n"/>
      <c r="H464" s="33">
        <f>IF(A464="","",SUMIFS(Movimientos!$D$2:$D$3001,Movimientos!$B$2:$B$3001,A464,Movimientos!$C$2:$C$3001,"Entrada"))</f>
        <v/>
      </c>
      <c r="I464" s="33">
        <f>IF(A464="","",SUMIFS(Movimientos!$D$2:$D$3001,Movimientos!$B$2:$B$3001,A464,Movimientos!$C$2:$C$3001,"Venta"))</f>
        <v/>
      </c>
      <c r="J464" s="33">
        <f>IF(A464="","",F464+H464-I464)</f>
        <v/>
      </c>
      <c r="K464" s="33">
        <f>IF(A464="","",IF(J464&lt;=G464,"REPONER","OK"))</f>
        <v/>
      </c>
    </row>
    <row r="465" ht="15" customHeight="1" s="21">
      <c r="A465" s="30" t="n"/>
      <c r="B465" s="30" t="n"/>
      <c r="C465" s="31" t="n"/>
      <c r="D465" s="31" t="n"/>
      <c r="E465" s="32">
        <f>IF(A465="","",D465-C465)</f>
        <v/>
      </c>
      <c r="F465" s="30" t="n"/>
      <c r="G465" s="30" t="n"/>
      <c r="H465" s="33">
        <f>IF(A465="","",SUMIFS(Movimientos!$D$2:$D$3001,Movimientos!$B$2:$B$3001,A465,Movimientos!$C$2:$C$3001,"Entrada"))</f>
        <v/>
      </c>
      <c r="I465" s="33">
        <f>IF(A465="","",SUMIFS(Movimientos!$D$2:$D$3001,Movimientos!$B$2:$B$3001,A465,Movimientos!$C$2:$C$3001,"Venta"))</f>
        <v/>
      </c>
      <c r="J465" s="33">
        <f>IF(A465="","",F465+H465-I465)</f>
        <v/>
      </c>
      <c r="K465" s="33">
        <f>IF(A465="","",IF(J465&lt;=G465,"REPONER","OK"))</f>
        <v/>
      </c>
    </row>
    <row r="466" ht="15" customHeight="1" s="21">
      <c r="A466" s="30" t="n"/>
      <c r="B466" s="30" t="n"/>
      <c r="C466" s="31" t="n"/>
      <c r="D466" s="31" t="n"/>
      <c r="E466" s="32">
        <f>IF(A466="","",D466-C466)</f>
        <v/>
      </c>
      <c r="F466" s="30" t="n"/>
      <c r="G466" s="30" t="n"/>
      <c r="H466" s="33">
        <f>IF(A466="","",SUMIFS(Movimientos!$D$2:$D$3001,Movimientos!$B$2:$B$3001,A466,Movimientos!$C$2:$C$3001,"Entrada"))</f>
        <v/>
      </c>
      <c r="I466" s="33">
        <f>IF(A466="","",SUMIFS(Movimientos!$D$2:$D$3001,Movimientos!$B$2:$B$3001,A466,Movimientos!$C$2:$C$3001,"Venta"))</f>
        <v/>
      </c>
      <c r="J466" s="33">
        <f>IF(A466="","",F466+H466-I466)</f>
        <v/>
      </c>
      <c r="K466" s="33">
        <f>IF(A466="","",IF(J466&lt;=G466,"REPONER","OK"))</f>
        <v/>
      </c>
    </row>
    <row r="467" ht="15" customHeight="1" s="21">
      <c r="A467" s="30" t="n"/>
      <c r="B467" s="30" t="n"/>
      <c r="C467" s="31" t="n"/>
      <c r="D467" s="31" t="n"/>
      <c r="E467" s="32">
        <f>IF(A467="","",D467-C467)</f>
        <v/>
      </c>
      <c r="F467" s="30" t="n"/>
      <c r="G467" s="30" t="n"/>
      <c r="H467" s="33">
        <f>IF(A467="","",SUMIFS(Movimientos!$D$2:$D$3001,Movimientos!$B$2:$B$3001,A467,Movimientos!$C$2:$C$3001,"Entrada"))</f>
        <v/>
      </c>
      <c r="I467" s="33">
        <f>IF(A467="","",SUMIFS(Movimientos!$D$2:$D$3001,Movimientos!$B$2:$B$3001,A467,Movimientos!$C$2:$C$3001,"Venta"))</f>
        <v/>
      </c>
      <c r="J467" s="33">
        <f>IF(A467="","",F467+H467-I467)</f>
        <v/>
      </c>
      <c r="K467" s="33">
        <f>IF(A467="","",IF(J467&lt;=G467,"REPONER","OK"))</f>
        <v/>
      </c>
    </row>
    <row r="468" ht="15" customHeight="1" s="21">
      <c r="A468" s="30" t="n"/>
      <c r="B468" s="30" t="n"/>
      <c r="C468" s="31" t="n"/>
      <c r="D468" s="31" t="n"/>
      <c r="E468" s="32">
        <f>IF(A468="","",D468-C468)</f>
        <v/>
      </c>
      <c r="F468" s="30" t="n"/>
      <c r="G468" s="30" t="n"/>
      <c r="H468" s="33">
        <f>IF(A468="","",SUMIFS(Movimientos!$D$2:$D$3001,Movimientos!$B$2:$B$3001,A468,Movimientos!$C$2:$C$3001,"Entrada"))</f>
        <v/>
      </c>
      <c r="I468" s="33">
        <f>IF(A468="","",SUMIFS(Movimientos!$D$2:$D$3001,Movimientos!$B$2:$B$3001,A468,Movimientos!$C$2:$C$3001,"Venta"))</f>
        <v/>
      </c>
      <c r="J468" s="33">
        <f>IF(A468="","",F468+H468-I468)</f>
        <v/>
      </c>
      <c r="K468" s="33">
        <f>IF(A468="","",IF(J468&lt;=G468,"REPONER","OK"))</f>
        <v/>
      </c>
    </row>
    <row r="469" ht="15" customHeight="1" s="21">
      <c r="A469" s="30" t="n"/>
      <c r="B469" s="30" t="n"/>
      <c r="C469" s="31" t="n"/>
      <c r="D469" s="31" t="n"/>
      <c r="E469" s="32">
        <f>IF(A469="","",D469-C469)</f>
        <v/>
      </c>
      <c r="F469" s="30" t="n"/>
      <c r="G469" s="30" t="n"/>
      <c r="H469" s="33">
        <f>IF(A469="","",SUMIFS(Movimientos!$D$2:$D$3001,Movimientos!$B$2:$B$3001,A469,Movimientos!$C$2:$C$3001,"Entrada"))</f>
        <v/>
      </c>
      <c r="I469" s="33">
        <f>IF(A469="","",SUMIFS(Movimientos!$D$2:$D$3001,Movimientos!$B$2:$B$3001,A469,Movimientos!$C$2:$C$3001,"Venta"))</f>
        <v/>
      </c>
      <c r="J469" s="33">
        <f>IF(A469="","",F469+H469-I469)</f>
        <v/>
      </c>
      <c r="K469" s="33">
        <f>IF(A469="","",IF(J469&lt;=G469,"REPONER","OK"))</f>
        <v/>
      </c>
    </row>
    <row r="470" ht="15" customHeight="1" s="21">
      <c r="A470" s="30" t="n"/>
      <c r="B470" s="30" t="n"/>
      <c r="C470" s="31" t="n"/>
      <c r="D470" s="31" t="n"/>
      <c r="E470" s="32">
        <f>IF(A470="","",D470-C470)</f>
        <v/>
      </c>
      <c r="F470" s="30" t="n"/>
      <c r="G470" s="30" t="n"/>
      <c r="H470" s="33">
        <f>IF(A470="","",SUMIFS(Movimientos!$D$2:$D$3001,Movimientos!$B$2:$B$3001,A470,Movimientos!$C$2:$C$3001,"Entrada"))</f>
        <v/>
      </c>
      <c r="I470" s="33">
        <f>IF(A470="","",SUMIFS(Movimientos!$D$2:$D$3001,Movimientos!$B$2:$B$3001,A470,Movimientos!$C$2:$C$3001,"Venta"))</f>
        <v/>
      </c>
      <c r="J470" s="33">
        <f>IF(A470="","",F470+H470-I470)</f>
        <v/>
      </c>
      <c r="K470" s="33">
        <f>IF(A470="","",IF(J470&lt;=G470,"REPONER","OK"))</f>
        <v/>
      </c>
    </row>
    <row r="471" ht="15" customHeight="1" s="21">
      <c r="A471" s="30" t="n"/>
      <c r="B471" s="30" t="n"/>
      <c r="C471" s="31" t="n"/>
      <c r="D471" s="31" t="n"/>
      <c r="E471" s="32">
        <f>IF(A471="","",D471-C471)</f>
        <v/>
      </c>
      <c r="F471" s="30" t="n"/>
      <c r="G471" s="30" t="n"/>
      <c r="H471" s="33">
        <f>IF(A471="","",SUMIFS(Movimientos!$D$2:$D$3001,Movimientos!$B$2:$B$3001,A471,Movimientos!$C$2:$C$3001,"Entrada"))</f>
        <v/>
      </c>
      <c r="I471" s="33">
        <f>IF(A471="","",SUMIFS(Movimientos!$D$2:$D$3001,Movimientos!$B$2:$B$3001,A471,Movimientos!$C$2:$C$3001,"Venta"))</f>
        <v/>
      </c>
      <c r="J471" s="33">
        <f>IF(A471="","",F471+H471-I471)</f>
        <v/>
      </c>
      <c r="K471" s="33">
        <f>IF(A471="","",IF(J471&lt;=G471,"REPONER","OK"))</f>
        <v/>
      </c>
    </row>
    <row r="472" ht="15" customHeight="1" s="21">
      <c r="A472" s="30" t="n"/>
      <c r="B472" s="30" t="n"/>
      <c r="C472" s="31" t="n"/>
      <c r="D472" s="31" t="n"/>
      <c r="E472" s="32">
        <f>IF(A472="","",D472-C472)</f>
        <v/>
      </c>
      <c r="F472" s="30" t="n"/>
      <c r="G472" s="30" t="n"/>
      <c r="H472" s="33">
        <f>IF(A472="","",SUMIFS(Movimientos!$D$2:$D$3001,Movimientos!$B$2:$B$3001,A472,Movimientos!$C$2:$C$3001,"Entrada"))</f>
        <v/>
      </c>
      <c r="I472" s="33">
        <f>IF(A472="","",SUMIFS(Movimientos!$D$2:$D$3001,Movimientos!$B$2:$B$3001,A472,Movimientos!$C$2:$C$3001,"Venta"))</f>
        <v/>
      </c>
      <c r="J472" s="33">
        <f>IF(A472="","",F472+H472-I472)</f>
        <v/>
      </c>
      <c r="K472" s="33">
        <f>IF(A472="","",IF(J472&lt;=G472,"REPONER","OK"))</f>
        <v/>
      </c>
    </row>
    <row r="473" ht="15" customHeight="1" s="21">
      <c r="A473" s="30" t="n"/>
      <c r="B473" s="30" t="n"/>
      <c r="C473" s="31" t="n"/>
      <c r="D473" s="31" t="n"/>
      <c r="E473" s="32">
        <f>IF(A473="","",D473-C473)</f>
        <v/>
      </c>
      <c r="F473" s="30" t="n"/>
      <c r="G473" s="30" t="n"/>
      <c r="H473" s="33">
        <f>IF(A473="","",SUMIFS(Movimientos!$D$2:$D$3001,Movimientos!$B$2:$B$3001,A473,Movimientos!$C$2:$C$3001,"Entrada"))</f>
        <v/>
      </c>
      <c r="I473" s="33">
        <f>IF(A473="","",SUMIFS(Movimientos!$D$2:$D$3001,Movimientos!$B$2:$B$3001,A473,Movimientos!$C$2:$C$3001,"Venta"))</f>
        <v/>
      </c>
      <c r="J473" s="33">
        <f>IF(A473="","",F473+H473-I473)</f>
        <v/>
      </c>
      <c r="K473" s="33">
        <f>IF(A473="","",IF(J473&lt;=G473,"REPONER","OK"))</f>
        <v/>
      </c>
    </row>
    <row r="474" ht="15" customHeight="1" s="21">
      <c r="A474" s="30" t="n"/>
      <c r="B474" s="30" t="n"/>
      <c r="C474" s="31" t="n"/>
      <c r="D474" s="31" t="n"/>
      <c r="E474" s="32">
        <f>IF(A474="","",D474-C474)</f>
        <v/>
      </c>
      <c r="F474" s="30" t="n"/>
      <c r="G474" s="30" t="n"/>
      <c r="H474" s="33">
        <f>IF(A474="","",SUMIFS(Movimientos!$D$2:$D$3001,Movimientos!$B$2:$B$3001,A474,Movimientos!$C$2:$C$3001,"Entrada"))</f>
        <v/>
      </c>
      <c r="I474" s="33">
        <f>IF(A474="","",SUMIFS(Movimientos!$D$2:$D$3001,Movimientos!$B$2:$B$3001,A474,Movimientos!$C$2:$C$3001,"Venta"))</f>
        <v/>
      </c>
      <c r="J474" s="33">
        <f>IF(A474="","",F474+H474-I474)</f>
        <v/>
      </c>
      <c r="K474" s="33">
        <f>IF(A474="","",IF(J474&lt;=G474,"REPONER","OK"))</f>
        <v/>
      </c>
    </row>
    <row r="475" ht="15" customHeight="1" s="21">
      <c r="A475" s="30" t="n"/>
      <c r="B475" s="30" t="n"/>
      <c r="C475" s="31" t="n"/>
      <c r="D475" s="31" t="n"/>
      <c r="E475" s="32">
        <f>IF(A475="","",D475-C475)</f>
        <v/>
      </c>
      <c r="F475" s="30" t="n"/>
      <c r="G475" s="30" t="n"/>
      <c r="H475" s="33">
        <f>IF(A475="","",SUMIFS(Movimientos!$D$2:$D$3001,Movimientos!$B$2:$B$3001,A475,Movimientos!$C$2:$C$3001,"Entrada"))</f>
        <v/>
      </c>
      <c r="I475" s="33">
        <f>IF(A475="","",SUMIFS(Movimientos!$D$2:$D$3001,Movimientos!$B$2:$B$3001,A475,Movimientos!$C$2:$C$3001,"Venta"))</f>
        <v/>
      </c>
      <c r="J475" s="33">
        <f>IF(A475="","",F475+H475-I475)</f>
        <v/>
      </c>
      <c r="K475" s="33">
        <f>IF(A475="","",IF(J475&lt;=G475,"REPONER","OK"))</f>
        <v/>
      </c>
    </row>
    <row r="476" ht="15" customHeight="1" s="21">
      <c r="A476" s="30" t="n"/>
      <c r="B476" s="30" t="n"/>
      <c r="C476" s="31" t="n"/>
      <c r="D476" s="31" t="n"/>
      <c r="E476" s="32">
        <f>IF(A476="","",D476-C476)</f>
        <v/>
      </c>
      <c r="F476" s="30" t="n"/>
      <c r="G476" s="30" t="n"/>
      <c r="H476" s="33">
        <f>IF(A476="","",SUMIFS(Movimientos!$D$2:$D$3001,Movimientos!$B$2:$B$3001,A476,Movimientos!$C$2:$C$3001,"Entrada"))</f>
        <v/>
      </c>
      <c r="I476" s="33">
        <f>IF(A476="","",SUMIFS(Movimientos!$D$2:$D$3001,Movimientos!$B$2:$B$3001,A476,Movimientos!$C$2:$C$3001,"Venta"))</f>
        <v/>
      </c>
      <c r="J476" s="33">
        <f>IF(A476="","",F476+H476-I476)</f>
        <v/>
      </c>
      <c r="K476" s="33">
        <f>IF(A476="","",IF(J476&lt;=G476,"REPONER","OK"))</f>
        <v/>
      </c>
    </row>
    <row r="477" ht="15" customHeight="1" s="21">
      <c r="A477" s="30" t="n"/>
      <c r="B477" s="30" t="n"/>
      <c r="C477" s="31" t="n"/>
      <c r="D477" s="31" t="n"/>
      <c r="E477" s="32">
        <f>IF(A477="","",D477-C477)</f>
        <v/>
      </c>
      <c r="F477" s="30" t="n"/>
      <c r="G477" s="30" t="n"/>
      <c r="H477" s="33">
        <f>IF(A477="","",SUMIFS(Movimientos!$D$2:$D$3001,Movimientos!$B$2:$B$3001,A477,Movimientos!$C$2:$C$3001,"Entrada"))</f>
        <v/>
      </c>
      <c r="I477" s="33">
        <f>IF(A477="","",SUMIFS(Movimientos!$D$2:$D$3001,Movimientos!$B$2:$B$3001,A477,Movimientos!$C$2:$C$3001,"Venta"))</f>
        <v/>
      </c>
      <c r="J477" s="33">
        <f>IF(A477="","",F477+H477-I477)</f>
        <v/>
      </c>
      <c r="K477" s="33">
        <f>IF(A477="","",IF(J477&lt;=G477,"REPONER","OK"))</f>
        <v/>
      </c>
    </row>
    <row r="478" ht="15" customHeight="1" s="21">
      <c r="A478" s="30" t="n"/>
      <c r="B478" s="30" t="n"/>
      <c r="C478" s="31" t="n"/>
      <c r="D478" s="31" t="n"/>
      <c r="E478" s="32">
        <f>IF(A478="","",D478-C478)</f>
        <v/>
      </c>
      <c r="F478" s="30" t="n"/>
      <c r="G478" s="30" t="n"/>
      <c r="H478" s="33">
        <f>IF(A478="","",SUMIFS(Movimientos!$D$2:$D$3001,Movimientos!$B$2:$B$3001,A478,Movimientos!$C$2:$C$3001,"Entrada"))</f>
        <v/>
      </c>
      <c r="I478" s="33">
        <f>IF(A478="","",SUMIFS(Movimientos!$D$2:$D$3001,Movimientos!$B$2:$B$3001,A478,Movimientos!$C$2:$C$3001,"Venta"))</f>
        <v/>
      </c>
      <c r="J478" s="33">
        <f>IF(A478="","",F478+H478-I478)</f>
        <v/>
      </c>
      <c r="K478" s="33">
        <f>IF(A478="","",IF(J478&lt;=G478,"REPONER","OK"))</f>
        <v/>
      </c>
    </row>
    <row r="479" ht="15" customHeight="1" s="21">
      <c r="A479" s="30" t="n"/>
      <c r="B479" s="30" t="n"/>
      <c r="C479" s="31" t="n"/>
      <c r="D479" s="31" t="n"/>
      <c r="E479" s="32">
        <f>IF(A479="","",D479-C479)</f>
        <v/>
      </c>
      <c r="F479" s="30" t="n"/>
      <c r="G479" s="30" t="n"/>
      <c r="H479" s="33">
        <f>IF(A479="","",SUMIFS(Movimientos!$D$2:$D$3001,Movimientos!$B$2:$B$3001,A479,Movimientos!$C$2:$C$3001,"Entrada"))</f>
        <v/>
      </c>
      <c r="I479" s="33">
        <f>IF(A479="","",SUMIFS(Movimientos!$D$2:$D$3001,Movimientos!$B$2:$B$3001,A479,Movimientos!$C$2:$C$3001,"Venta"))</f>
        <v/>
      </c>
      <c r="J479" s="33">
        <f>IF(A479="","",F479+H479-I479)</f>
        <v/>
      </c>
      <c r="K479" s="33">
        <f>IF(A479="","",IF(J479&lt;=G479,"REPONER","OK"))</f>
        <v/>
      </c>
    </row>
    <row r="480" ht="15" customHeight="1" s="21">
      <c r="A480" s="30" t="n"/>
      <c r="B480" s="30" t="n"/>
      <c r="C480" s="31" t="n"/>
      <c r="D480" s="31" t="n"/>
      <c r="E480" s="32">
        <f>IF(A480="","",D480-C480)</f>
        <v/>
      </c>
      <c r="F480" s="30" t="n"/>
      <c r="G480" s="30" t="n"/>
      <c r="H480" s="33">
        <f>IF(A480="","",SUMIFS(Movimientos!$D$2:$D$3001,Movimientos!$B$2:$B$3001,A480,Movimientos!$C$2:$C$3001,"Entrada"))</f>
        <v/>
      </c>
      <c r="I480" s="33">
        <f>IF(A480="","",SUMIFS(Movimientos!$D$2:$D$3001,Movimientos!$B$2:$B$3001,A480,Movimientos!$C$2:$C$3001,"Venta"))</f>
        <v/>
      </c>
      <c r="J480" s="33">
        <f>IF(A480="","",F480+H480-I480)</f>
        <v/>
      </c>
      <c r="K480" s="33">
        <f>IF(A480="","",IF(J480&lt;=G480,"REPONER","OK"))</f>
        <v/>
      </c>
    </row>
    <row r="481" ht="15" customHeight="1" s="21">
      <c r="A481" s="30" t="n"/>
      <c r="B481" s="30" t="n"/>
      <c r="C481" s="31" t="n"/>
      <c r="D481" s="31" t="n"/>
      <c r="E481" s="32">
        <f>IF(A481="","",D481-C481)</f>
        <v/>
      </c>
      <c r="F481" s="30" t="n"/>
      <c r="G481" s="30" t="n"/>
      <c r="H481" s="33">
        <f>IF(A481="","",SUMIFS(Movimientos!$D$2:$D$3001,Movimientos!$B$2:$B$3001,A481,Movimientos!$C$2:$C$3001,"Entrada"))</f>
        <v/>
      </c>
      <c r="I481" s="33">
        <f>IF(A481="","",SUMIFS(Movimientos!$D$2:$D$3001,Movimientos!$B$2:$B$3001,A481,Movimientos!$C$2:$C$3001,"Venta"))</f>
        <v/>
      </c>
      <c r="J481" s="33">
        <f>IF(A481="","",F481+H481-I481)</f>
        <v/>
      </c>
      <c r="K481" s="33">
        <f>IF(A481="","",IF(J481&lt;=G481,"REPONER","OK"))</f>
        <v/>
      </c>
    </row>
    <row r="482" ht="15" customHeight="1" s="21">
      <c r="A482" s="30" t="n"/>
      <c r="B482" s="30" t="n"/>
      <c r="C482" s="31" t="n"/>
      <c r="D482" s="31" t="n"/>
      <c r="E482" s="32">
        <f>IF(A482="","",D482-C482)</f>
        <v/>
      </c>
      <c r="F482" s="30" t="n"/>
      <c r="G482" s="30" t="n"/>
      <c r="H482" s="33">
        <f>IF(A482="","",SUMIFS(Movimientos!$D$2:$D$3001,Movimientos!$B$2:$B$3001,A482,Movimientos!$C$2:$C$3001,"Entrada"))</f>
        <v/>
      </c>
      <c r="I482" s="33">
        <f>IF(A482="","",SUMIFS(Movimientos!$D$2:$D$3001,Movimientos!$B$2:$B$3001,A482,Movimientos!$C$2:$C$3001,"Venta"))</f>
        <v/>
      </c>
      <c r="J482" s="33">
        <f>IF(A482="","",F482+H482-I482)</f>
        <v/>
      </c>
      <c r="K482" s="33">
        <f>IF(A482="","",IF(J482&lt;=G482,"REPONER","OK"))</f>
        <v/>
      </c>
    </row>
    <row r="483" ht="15" customHeight="1" s="21">
      <c r="A483" s="30" t="n"/>
      <c r="B483" s="30" t="n"/>
      <c r="C483" s="31" t="n"/>
      <c r="D483" s="31" t="n"/>
      <c r="E483" s="32">
        <f>IF(A483="","",D483-C483)</f>
        <v/>
      </c>
      <c r="F483" s="30" t="n"/>
      <c r="G483" s="30" t="n"/>
      <c r="H483" s="33">
        <f>IF(A483="","",SUMIFS(Movimientos!$D$2:$D$3001,Movimientos!$B$2:$B$3001,A483,Movimientos!$C$2:$C$3001,"Entrada"))</f>
        <v/>
      </c>
      <c r="I483" s="33">
        <f>IF(A483="","",SUMIFS(Movimientos!$D$2:$D$3001,Movimientos!$B$2:$B$3001,A483,Movimientos!$C$2:$C$3001,"Venta"))</f>
        <v/>
      </c>
      <c r="J483" s="33">
        <f>IF(A483="","",F483+H483-I483)</f>
        <v/>
      </c>
      <c r="K483" s="33">
        <f>IF(A483="","",IF(J483&lt;=G483,"REPONER","OK"))</f>
        <v/>
      </c>
    </row>
    <row r="484" ht="15" customHeight="1" s="21">
      <c r="A484" s="30" t="n"/>
      <c r="B484" s="30" t="n"/>
      <c r="C484" s="31" t="n"/>
      <c r="D484" s="31" t="n"/>
      <c r="E484" s="32">
        <f>IF(A484="","",D484-C484)</f>
        <v/>
      </c>
      <c r="F484" s="30" t="n"/>
      <c r="G484" s="30" t="n"/>
      <c r="H484" s="33">
        <f>IF(A484="","",SUMIFS(Movimientos!$D$2:$D$3001,Movimientos!$B$2:$B$3001,A484,Movimientos!$C$2:$C$3001,"Entrada"))</f>
        <v/>
      </c>
      <c r="I484" s="33">
        <f>IF(A484="","",SUMIFS(Movimientos!$D$2:$D$3001,Movimientos!$B$2:$B$3001,A484,Movimientos!$C$2:$C$3001,"Venta"))</f>
        <v/>
      </c>
      <c r="J484" s="33">
        <f>IF(A484="","",F484+H484-I484)</f>
        <v/>
      </c>
      <c r="K484" s="33">
        <f>IF(A484="","",IF(J484&lt;=G484,"REPONER","OK"))</f>
        <v/>
      </c>
    </row>
    <row r="485" ht="15" customHeight="1" s="21">
      <c r="A485" s="30" t="n"/>
      <c r="B485" s="30" t="n"/>
      <c r="C485" s="31" t="n"/>
      <c r="D485" s="31" t="n"/>
      <c r="E485" s="32">
        <f>IF(A485="","",D485-C485)</f>
        <v/>
      </c>
      <c r="F485" s="30" t="n"/>
      <c r="G485" s="30" t="n"/>
      <c r="H485" s="33">
        <f>IF(A485="","",SUMIFS(Movimientos!$D$2:$D$3001,Movimientos!$B$2:$B$3001,A485,Movimientos!$C$2:$C$3001,"Entrada"))</f>
        <v/>
      </c>
      <c r="I485" s="33">
        <f>IF(A485="","",SUMIFS(Movimientos!$D$2:$D$3001,Movimientos!$B$2:$B$3001,A485,Movimientos!$C$2:$C$3001,"Venta"))</f>
        <v/>
      </c>
      <c r="J485" s="33">
        <f>IF(A485="","",F485+H485-I485)</f>
        <v/>
      </c>
      <c r="K485" s="33">
        <f>IF(A485="","",IF(J485&lt;=G485,"REPONER","OK"))</f>
        <v/>
      </c>
    </row>
    <row r="486" ht="15" customHeight="1" s="21">
      <c r="A486" s="30" t="n"/>
      <c r="B486" s="30" t="n"/>
      <c r="C486" s="31" t="n"/>
      <c r="D486" s="31" t="n"/>
      <c r="E486" s="32">
        <f>IF(A486="","",D486-C486)</f>
        <v/>
      </c>
      <c r="F486" s="30" t="n"/>
      <c r="G486" s="30" t="n"/>
      <c r="H486" s="33">
        <f>IF(A486="","",SUMIFS(Movimientos!$D$2:$D$3001,Movimientos!$B$2:$B$3001,A486,Movimientos!$C$2:$C$3001,"Entrada"))</f>
        <v/>
      </c>
      <c r="I486" s="33">
        <f>IF(A486="","",SUMIFS(Movimientos!$D$2:$D$3001,Movimientos!$B$2:$B$3001,A486,Movimientos!$C$2:$C$3001,"Venta"))</f>
        <v/>
      </c>
      <c r="J486" s="33">
        <f>IF(A486="","",F486+H486-I486)</f>
        <v/>
      </c>
      <c r="K486" s="33">
        <f>IF(A486="","",IF(J486&lt;=G486,"REPONER","OK"))</f>
        <v/>
      </c>
    </row>
    <row r="487" ht="15" customHeight="1" s="21">
      <c r="A487" s="30" t="n"/>
      <c r="B487" s="30" t="n"/>
      <c r="C487" s="31" t="n"/>
      <c r="D487" s="31" t="n"/>
      <c r="E487" s="32">
        <f>IF(A487="","",D487-C487)</f>
        <v/>
      </c>
      <c r="F487" s="30" t="n"/>
      <c r="G487" s="30" t="n"/>
      <c r="H487" s="33">
        <f>IF(A487="","",SUMIFS(Movimientos!$D$2:$D$3001,Movimientos!$B$2:$B$3001,A487,Movimientos!$C$2:$C$3001,"Entrada"))</f>
        <v/>
      </c>
      <c r="I487" s="33">
        <f>IF(A487="","",SUMIFS(Movimientos!$D$2:$D$3001,Movimientos!$B$2:$B$3001,A487,Movimientos!$C$2:$C$3001,"Venta"))</f>
        <v/>
      </c>
      <c r="J487" s="33">
        <f>IF(A487="","",F487+H487-I487)</f>
        <v/>
      </c>
      <c r="K487" s="33">
        <f>IF(A487="","",IF(J487&lt;=G487,"REPONER","OK"))</f>
        <v/>
      </c>
    </row>
    <row r="488" ht="15" customHeight="1" s="21">
      <c r="A488" s="30" t="n"/>
      <c r="B488" s="30" t="n"/>
      <c r="C488" s="31" t="n"/>
      <c r="D488" s="31" t="n"/>
      <c r="E488" s="32">
        <f>IF(A488="","",D488-C488)</f>
        <v/>
      </c>
      <c r="F488" s="30" t="n"/>
      <c r="G488" s="30" t="n"/>
      <c r="H488" s="33">
        <f>IF(A488="","",SUMIFS(Movimientos!$D$2:$D$3001,Movimientos!$B$2:$B$3001,A488,Movimientos!$C$2:$C$3001,"Entrada"))</f>
        <v/>
      </c>
      <c r="I488" s="33">
        <f>IF(A488="","",SUMIFS(Movimientos!$D$2:$D$3001,Movimientos!$B$2:$B$3001,A488,Movimientos!$C$2:$C$3001,"Venta"))</f>
        <v/>
      </c>
      <c r="J488" s="33">
        <f>IF(A488="","",F488+H488-I488)</f>
        <v/>
      </c>
      <c r="K488" s="33">
        <f>IF(A488="","",IF(J488&lt;=G488,"REPONER","OK"))</f>
        <v/>
      </c>
    </row>
    <row r="489" ht="15" customHeight="1" s="21">
      <c r="A489" s="30" t="n"/>
      <c r="B489" s="30" t="n"/>
      <c r="C489" s="31" t="n"/>
      <c r="D489" s="31" t="n"/>
      <c r="E489" s="32">
        <f>IF(A489="","",D489-C489)</f>
        <v/>
      </c>
      <c r="F489" s="30" t="n"/>
      <c r="G489" s="30" t="n"/>
      <c r="H489" s="33">
        <f>IF(A489="","",SUMIFS(Movimientos!$D$2:$D$3001,Movimientos!$B$2:$B$3001,A489,Movimientos!$C$2:$C$3001,"Entrada"))</f>
        <v/>
      </c>
      <c r="I489" s="33">
        <f>IF(A489="","",SUMIFS(Movimientos!$D$2:$D$3001,Movimientos!$B$2:$B$3001,A489,Movimientos!$C$2:$C$3001,"Venta"))</f>
        <v/>
      </c>
      <c r="J489" s="33">
        <f>IF(A489="","",F489+H489-I489)</f>
        <v/>
      </c>
      <c r="K489" s="33">
        <f>IF(A489="","",IF(J489&lt;=G489,"REPONER","OK"))</f>
        <v/>
      </c>
    </row>
    <row r="490" ht="15" customHeight="1" s="21">
      <c r="A490" s="30" t="n"/>
      <c r="B490" s="30" t="n"/>
      <c r="C490" s="31" t="n"/>
      <c r="D490" s="31" t="n"/>
      <c r="E490" s="32">
        <f>IF(A490="","",D490-C490)</f>
        <v/>
      </c>
      <c r="F490" s="30" t="n"/>
      <c r="G490" s="30" t="n"/>
      <c r="H490" s="33">
        <f>IF(A490="","",SUMIFS(Movimientos!$D$2:$D$3001,Movimientos!$B$2:$B$3001,A490,Movimientos!$C$2:$C$3001,"Entrada"))</f>
        <v/>
      </c>
      <c r="I490" s="33">
        <f>IF(A490="","",SUMIFS(Movimientos!$D$2:$D$3001,Movimientos!$B$2:$B$3001,A490,Movimientos!$C$2:$C$3001,"Venta"))</f>
        <v/>
      </c>
      <c r="J490" s="33">
        <f>IF(A490="","",F490+H490-I490)</f>
        <v/>
      </c>
      <c r="K490" s="33">
        <f>IF(A490="","",IF(J490&lt;=G490,"REPONER","OK"))</f>
        <v/>
      </c>
    </row>
    <row r="491" ht="15" customHeight="1" s="21">
      <c r="A491" s="30" t="n"/>
      <c r="B491" s="30" t="n"/>
      <c r="C491" s="31" t="n"/>
      <c r="D491" s="31" t="n"/>
      <c r="E491" s="32">
        <f>IF(A491="","",D491-C491)</f>
        <v/>
      </c>
      <c r="F491" s="30" t="n"/>
      <c r="G491" s="30" t="n"/>
      <c r="H491" s="33">
        <f>IF(A491="","",SUMIFS(Movimientos!$D$2:$D$3001,Movimientos!$B$2:$B$3001,A491,Movimientos!$C$2:$C$3001,"Entrada"))</f>
        <v/>
      </c>
      <c r="I491" s="33">
        <f>IF(A491="","",SUMIFS(Movimientos!$D$2:$D$3001,Movimientos!$B$2:$B$3001,A491,Movimientos!$C$2:$C$3001,"Venta"))</f>
        <v/>
      </c>
      <c r="J491" s="33">
        <f>IF(A491="","",F491+H491-I491)</f>
        <v/>
      </c>
      <c r="K491" s="33">
        <f>IF(A491="","",IF(J491&lt;=G491,"REPONER","OK"))</f>
        <v/>
      </c>
    </row>
    <row r="492" ht="15" customHeight="1" s="21">
      <c r="A492" s="30" t="n"/>
      <c r="B492" s="30" t="n"/>
      <c r="C492" s="31" t="n"/>
      <c r="D492" s="31" t="n"/>
      <c r="E492" s="32">
        <f>IF(A492="","",D492-C492)</f>
        <v/>
      </c>
      <c r="F492" s="30" t="n"/>
      <c r="G492" s="30" t="n"/>
      <c r="H492" s="33">
        <f>IF(A492="","",SUMIFS(Movimientos!$D$2:$D$3001,Movimientos!$B$2:$B$3001,A492,Movimientos!$C$2:$C$3001,"Entrada"))</f>
        <v/>
      </c>
      <c r="I492" s="33">
        <f>IF(A492="","",SUMIFS(Movimientos!$D$2:$D$3001,Movimientos!$B$2:$B$3001,A492,Movimientos!$C$2:$C$3001,"Venta"))</f>
        <v/>
      </c>
      <c r="J492" s="33">
        <f>IF(A492="","",F492+H492-I492)</f>
        <v/>
      </c>
      <c r="K492" s="33">
        <f>IF(A492="","",IF(J492&lt;=G492,"REPONER","OK"))</f>
        <v/>
      </c>
    </row>
    <row r="493" ht="15" customHeight="1" s="21">
      <c r="A493" s="30" t="n"/>
      <c r="B493" s="30" t="n"/>
      <c r="C493" s="31" t="n"/>
      <c r="D493" s="31" t="n"/>
      <c r="E493" s="32">
        <f>IF(A493="","",D493-C493)</f>
        <v/>
      </c>
      <c r="F493" s="30" t="n"/>
      <c r="G493" s="30" t="n"/>
      <c r="H493" s="33">
        <f>IF(A493="","",SUMIFS(Movimientos!$D$2:$D$3001,Movimientos!$B$2:$B$3001,A493,Movimientos!$C$2:$C$3001,"Entrada"))</f>
        <v/>
      </c>
      <c r="I493" s="33">
        <f>IF(A493="","",SUMIFS(Movimientos!$D$2:$D$3001,Movimientos!$B$2:$B$3001,A493,Movimientos!$C$2:$C$3001,"Venta"))</f>
        <v/>
      </c>
      <c r="J493" s="33">
        <f>IF(A493="","",F493+H493-I493)</f>
        <v/>
      </c>
      <c r="K493" s="33">
        <f>IF(A493="","",IF(J493&lt;=G493,"REPONER","OK"))</f>
        <v/>
      </c>
    </row>
    <row r="494" ht="15" customHeight="1" s="21">
      <c r="A494" s="30" t="n"/>
      <c r="B494" s="30" t="n"/>
      <c r="C494" s="31" t="n"/>
      <c r="D494" s="31" t="n"/>
      <c r="E494" s="32">
        <f>IF(A494="","",D494-C494)</f>
        <v/>
      </c>
      <c r="F494" s="30" t="n"/>
      <c r="G494" s="30" t="n"/>
      <c r="H494" s="33">
        <f>IF(A494="","",SUMIFS(Movimientos!$D$2:$D$3001,Movimientos!$B$2:$B$3001,A494,Movimientos!$C$2:$C$3001,"Entrada"))</f>
        <v/>
      </c>
      <c r="I494" s="33">
        <f>IF(A494="","",SUMIFS(Movimientos!$D$2:$D$3001,Movimientos!$B$2:$B$3001,A494,Movimientos!$C$2:$C$3001,"Venta"))</f>
        <v/>
      </c>
      <c r="J494" s="33">
        <f>IF(A494="","",F494+H494-I494)</f>
        <v/>
      </c>
      <c r="K494" s="33">
        <f>IF(A494="","",IF(J494&lt;=G494,"REPONER","OK"))</f>
        <v/>
      </c>
    </row>
    <row r="495" ht="15" customHeight="1" s="21">
      <c r="A495" s="30" t="n"/>
      <c r="B495" s="30" t="n"/>
      <c r="C495" s="31" t="n"/>
      <c r="D495" s="31" t="n"/>
      <c r="E495" s="32">
        <f>IF(A495="","",D495-C495)</f>
        <v/>
      </c>
      <c r="F495" s="30" t="n"/>
      <c r="G495" s="30" t="n"/>
      <c r="H495" s="33">
        <f>IF(A495="","",SUMIFS(Movimientos!$D$2:$D$3001,Movimientos!$B$2:$B$3001,A495,Movimientos!$C$2:$C$3001,"Entrada"))</f>
        <v/>
      </c>
      <c r="I495" s="33">
        <f>IF(A495="","",SUMIFS(Movimientos!$D$2:$D$3001,Movimientos!$B$2:$B$3001,A495,Movimientos!$C$2:$C$3001,"Venta"))</f>
        <v/>
      </c>
      <c r="J495" s="33">
        <f>IF(A495="","",F495+H495-I495)</f>
        <v/>
      </c>
      <c r="K495" s="33">
        <f>IF(A495="","",IF(J495&lt;=G495,"REPONER","OK"))</f>
        <v/>
      </c>
    </row>
    <row r="496" ht="15" customHeight="1" s="21">
      <c r="A496" s="30" t="n"/>
      <c r="B496" s="30" t="n"/>
      <c r="C496" s="31" t="n"/>
      <c r="D496" s="31" t="n"/>
      <c r="E496" s="32">
        <f>IF(A496="","",D496-C496)</f>
        <v/>
      </c>
      <c r="F496" s="30" t="n"/>
      <c r="G496" s="30" t="n"/>
      <c r="H496" s="33">
        <f>IF(A496="","",SUMIFS(Movimientos!$D$2:$D$3001,Movimientos!$B$2:$B$3001,A496,Movimientos!$C$2:$C$3001,"Entrada"))</f>
        <v/>
      </c>
      <c r="I496" s="33">
        <f>IF(A496="","",SUMIFS(Movimientos!$D$2:$D$3001,Movimientos!$B$2:$B$3001,A496,Movimientos!$C$2:$C$3001,"Venta"))</f>
        <v/>
      </c>
      <c r="J496" s="33">
        <f>IF(A496="","",F496+H496-I496)</f>
        <v/>
      </c>
      <c r="K496" s="33">
        <f>IF(A496="","",IF(J496&lt;=G496,"REPONER","OK"))</f>
        <v/>
      </c>
    </row>
    <row r="497" ht="15" customHeight="1" s="21">
      <c r="A497" s="30" t="n"/>
      <c r="B497" s="30" t="n"/>
      <c r="C497" s="31" t="n"/>
      <c r="D497" s="31" t="n"/>
      <c r="E497" s="32">
        <f>IF(A497="","",D497-C497)</f>
        <v/>
      </c>
      <c r="F497" s="30" t="n"/>
      <c r="G497" s="30" t="n"/>
      <c r="H497" s="33">
        <f>IF(A497="","",SUMIFS(Movimientos!$D$2:$D$3001,Movimientos!$B$2:$B$3001,A497,Movimientos!$C$2:$C$3001,"Entrada"))</f>
        <v/>
      </c>
      <c r="I497" s="33">
        <f>IF(A497="","",SUMIFS(Movimientos!$D$2:$D$3001,Movimientos!$B$2:$B$3001,A497,Movimientos!$C$2:$C$3001,"Venta"))</f>
        <v/>
      </c>
      <c r="J497" s="33">
        <f>IF(A497="","",F497+H497-I497)</f>
        <v/>
      </c>
      <c r="K497" s="33">
        <f>IF(A497="","",IF(J497&lt;=G497,"REPONER","OK"))</f>
        <v/>
      </c>
    </row>
    <row r="498" ht="15" customHeight="1" s="21">
      <c r="A498" s="30" t="n"/>
      <c r="B498" s="30" t="n"/>
      <c r="C498" s="31" t="n"/>
      <c r="D498" s="31" t="n"/>
      <c r="E498" s="32">
        <f>IF(A498="","",D498-C498)</f>
        <v/>
      </c>
      <c r="F498" s="30" t="n"/>
      <c r="G498" s="30" t="n"/>
      <c r="H498" s="33">
        <f>IF(A498="","",SUMIFS(Movimientos!$D$2:$D$3001,Movimientos!$B$2:$B$3001,A498,Movimientos!$C$2:$C$3001,"Entrada"))</f>
        <v/>
      </c>
      <c r="I498" s="33">
        <f>IF(A498="","",SUMIFS(Movimientos!$D$2:$D$3001,Movimientos!$B$2:$B$3001,A498,Movimientos!$C$2:$C$3001,"Venta"))</f>
        <v/>
      </c>
      <c r="J498" s="33">
        <f>IF(A498="","",F498+H498-I498)</f>
        <v/>
      </c>
      <c r="K498" s="33">
        <f>IF(A498="","",IF(J498&lt;=G498,"REPONER","OK"))</f>
        <v/>
      </c>
    </row>
    <row r="499" ht="15" customHeight="1" s="21">
      <c r="A499" s="30" t="n"/>
      <c r="B499" s="30" t="n"/>
      <c r="C499" s="31" t="n"/>
      <c r="D499" s="31" t="n"/>
      <c r="E499" s="32">
        <f>IF(A499="","",D499-C499)</f>
        <v/>
      </c>
      <c r="F499" s="30" t="n"/>
      <c r="G499" s="30" t="n"/>
      <c r="H499" s="33">
        <f>IF(A499="","",SUMIFS(Movimientos!$D$2:$D$3001,Movimientos!$B$2:$B$3001,A499,Movimientos!$C$2:$C$3001,"Entrada"))</f>
        <v/>
      </c>
      <c r="I499" s="33">
        <f>IF(A499="","",SUMIFS(Movimientos!$D$2:$D$3001,Movimientos!$B$2:$B$3001,A499,Movimientos!$C$2:$C$3001,"Venta"))</f>
        <v/>
      </c>
      <c r="J499" s="33">
        <f>IF(A499="","",F499+H499-I499)</f>
        <v/>
      </c>
      <c r="K499" s="33">
        <f>IF(A499="","",IF(J499&lt;=G499,"REPONER","OK"))</f>
        <v/>
      </c>
    </row>
    <row r="500" ht="15" customHeight="1" s="21">
      <c r="A500" s="30" t="n"/>
      <c r="B500" s="30" t="n"/>
      <c r="C500" s="31" t="n"/>
      <c r="D500" s="31" t="n"/>
      <c r="E500" s="32">
        <f>IF(A500="","",D500-C500)</f>
        <v/>
      </c>
      <c r="F500" s="30" t="n"/>
      <c r="G500" s="30" t="n"/>
      <c r="H500" s="33">
        <f>IF(A500="","",SUMIFS(Movimientos!$D$2:$D$3001,Movimientos!$B$2:$B$3001,A500,Movimientos!$C$2:$C$3001,"Entrada"))</f>
        <v/>
      </c>
      <c r="I500" s="33">
        <f>IF(A500="","",SUMIFS(Movimientos!$D$2:$D$3001,Movimientos!$B$2:$B$3001,A500,Movimientos!$C$2:$C$3001,"Venta"))</f>
        <v/>
      </c>
      <c r="J500" s="33">
        <f>IF(A500="","",F500+H500-I500)</f>
        <v/>
      </c>
      <c r="K500" s="33">
        <f>IF(A500="","",IF(J500&lt;=G500,"REPONER","OK"))</f>
        <v/>
      </c>
    </row>
    <row r="501" ht="15" customHeight="1" s="21">
      <c r="A501" s="30" t="n"/>
      <c r="B501" s="30" t="n"/>
      <c r="C501" s="31" t="n"/>
      <c r="D501" s="31" t="n"/>
      <c r="E501" s="32">
        <f>IF(A501="","",D501-C501)</f>
        <v/>
      </c>
      <c r="F501" s="30" t="n"/>
      <c r="G501" s="30" t="n"/>
      <c r="H501" s="33">
        <f>IF(A501="","",SUMIFS(Movimientos!$D$2:$D$3001,Movimientos!$B$2:$B$3001,A501,Movimientos!$C$2:$C$3001,"Entrada"))</f>
        <v/>
      </c>
      <c r="I501" s="33">
        <f>IF(A501="","",SUMIFS(Movimientos!$D$2:$D$3001,Movimientos!$B$2:$B$3001,A501,Movimientos!$C$2:$C$3001,"Venta"))</f>
        <v/>
      </c>
      <c r="J501" s="33">
        <f>IF(A501="","",F501+H501-I501)</f>
        <v/>
      </c>
      <c r="K501" s="33">
        <f>IF(A501="","",IF(J501&lt;=G501,"REPONER","OK"))</f>
        <v/>
      </c>
    </row>
  </sheetData>
  <conditionalFormatting sqref="K2:K501">
    <cfRule type="cellIs" rank="0" priority="2" equalAverage="0" operator="equal" aboveAverage="0" dxfId="0" text="" percent="0" bottom="0">
      <formula>"REPONER"</formula>
    </cfRule>
    <cfRule type="cellIs" rank="0" priority="3" equalAverage="0" operator="equal" aboveAverage="0" dxfId="1" text="" percent="0" bottom="0">
      <formula>"OK"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30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20" min="1" max="1"/>
    <col width="10" customWidth="1" style="20" min="2" max="4"/>
    <col width="30" customWidth="1" style="20" min="5" max="5"/>
    <col width="16" customWidth="1" style="20" min="6" max="6"/>
    <col width="14" customWidth="1" style="20" min="7" max="7"/>
    <col width="7" customWidth="1" style="20" min="8" max="9"/>
  </cols>
  <sheetData>
    <row r="1" ht="30" customHeight="1" s="21">
      <c r="A1" s="29" t="inlineStr">
        <is>
          <t>Fecha</t>
        </is>
      </c>
      <c r="B1" s="29" t="inlineStr">
        <is>
          <t>Código</t>
        </is>
      </c>
      <c r="C1" s="29" t="inlineStr">
        <is>
          <t>Tipo</t>
        </is>
      </c>
      <c r="D1" s="29" t="inlineStr">
        <is>
          <t>Cantidad</t>
        </is>
      </c>
      <c r="E1" s="29" t="inlineStr">
        <is>
          <t>Producto</t>
        </is>
      </c>
      <c r="F1" s="29" t="inlineStr">
        <is>
          <t>Importe de venta ($)</t>
        </is>
      </c>
      <c r="G1" s="29" t="inlineStr">
        <is>
          <t>Ganancia ($)</t>
        </is>
      </c>
      <c r="H1" s="29" t="inlineStr">
        <is>
          <t>Mes</t>
        </is>
      </c>
      <c r="I1" s="29" t="inlineStr">
        <is>
          <t>Año</t>
        </is>
      </c>
    </row>
    <row r="2" ht="15" customHeight="1" s="21">
      <c r="A2" s="34" t="n">
        <v>46318</v>
      </c>
      <c r="B2" s="30" t="inlineStr">
        <is>
          <t>A001</t>
        </is>
      </c>
      <c r="C2" s="30" t="inlineStr">
        <is>
          <t>Venta</t>
        </is>
      </c>
      <c r="D2" s="30" t="n">
        <v>3</v>
      </c>
      <c r="E2" s="33">
        <f>IF(B2="","",IFERROR(INDEX(Productos!$B$2:$B$501,MATCH(B2,Productos!$A$2:$A$501,0)),"¿Código?"))</f>
        <v/>
      </c>
      <c r="F2" s="32">
        <f>IF(C2&lt;&gt;"Venta","",D2*IFERROR(INDEX(Productos!$D$2:$D$501,MATCH(B2,Productos!$A$2:$A$501,0)),0))</f>
        <v/>
      </c>
      <c r="G2" s="32">
        <f>IF(C2&lt;&gt;"Venta","",D2*IFERROR(INDEX(Productos!$E$2:$E$501,MATCH(B2,Productos!$A$2:$A$501,0)),0))</f>
        <v/>
      </c>
      <c r="H2" s="33">
        <f>IF(A2="","",MONTH(A2))</f>
        <v/>
      </c>
      <c r="I2" s="33">
        <f>IF(A2="","",YEAR(A2))</f>
        <v/>
      </c>
    </row>
    <row r="3" ht="15" customHeight="1" s="21">
      <c r="A3" s="34" t="n"/>
      <c r="B3" s="30" t="n"/>
      <c r="C3" s="30" t="n"/>
      <c r="D3" s="30" t="n"/>
      <c r="E3" s="33">
        <f>IF(B3="","",IFERROR(INDEX(Productos!$B$2:$B$501,MATCH(B3,Productos!$A$2:$A$501,0)),"¿Código?"))</f>
        <v/>
      </c>
      <c r="F3" s="32">
        <f>IF(C3&lt;&gt;"Venta","",D3*IFERROR(INDEX(Productos!$D$2:$D$501,MATCH(B3,Productos!$A$2:$A$501,0)),0))</f>
        <v/>
      </c>
      <c r="G3" s="32">
        <f>IF(C3&lt;&gt;"Venta","",D3*IFERROR(INDEX(Productos!$E$2:$E$501,MATCH(B3,Productos!$A$2:$A$501,0)),0))</f>
        <v/>
      </c>
      <c r="H3" s="33">
        <f>IF(A3="","",MONTH(A3))</f>
        <v/>
      </c>
      <c r="I3" s="33">
        <f>IF(A3="","",YEAR(A3))</f>
        <v/>
      </c>
    </row>
    <row r="4" ht="15" customHeight="1" s="21">
      <c r="A4" s="34" t="n"/>
      <c r="B4" s="30" t="n"/>
      <c r="C4" s="30" t="n"/>
      <c r="D4" s="30" t="n"/>
      <c r="E4" s="33">
        <f>IF(B4="","",IFERROR(INDEX(Productos!$B$2:$B$501,MATCH(B4,Productos!$A$2:$A$501,0)),"¿Código?"))</f>
        <v/>
      </c>
      <c r="F4" s="32">
        <f>IF(C4&lt;&gt;"Venta","",D4*IFERROR(INDEX(Productos!$D$2:$D$501,MATCH(B4,Productos!$A$2:$A$501,0)),0))</f>
        <v/>
      </c>
      <c r="G4" s="32">
        <f>IF(C4&lt;&gt;"Venta","",D4*IFERROR(INDEX(Productos!$E$2:$E$501,MATCH(B4,Productos!$A$2:$A$501,0)),0))</f>
        <v/>
      </c>
      <c r="H4" s="33">
        <f>IF(A4="","",MONTH(A4))</f>
        <v/>
      </c>
      <c r="I4" s="33">
        <f>IF(A4="","",YEAR(A4))</f>
        <v/>
      </c>
    </row>
    <row r="5" ht="15" customHeight="1" s="21">
      <c r="A5" s="34" t="n"/>
      <c r="B5" s="30" t="n"/>
      <c r="C5" s="30" t="n"/>
      <c r="D5" s="30" t="n"/>
      <c r="E5" s="33">
        <f>IF(B5="","",IFERROR(INDEX(Productos!$B$2:$B$501,MATCH(B5,Productos!$A$2:$A$501,0)),"¿Código?"))</f>
        <v/>
      </c>
      <c r="F5" s="32">
        <f>IF(C5&lt;&gt;"Venta","",D5*IFERROR(INDEX(Productos!$D$2:$D$501,MATCH(B5,Productos!$A$2:$A$501,0)),0))</f>
        <v/>
      </c>
      <c r="G5" s="32">
        <f>IF(C5&lt;&gt;"Venta","",D5*IFERROR(INDEX(Productos!$E$2:$E$501,MATCH(B5,Productos!$A$2:$A$501,0)),0))</f>
        <v/>
      </c>
      <c r="H5" s="33">
        <f>IF(A5="","",MONTH(A5))</f>
        <v/>
      </c>
      <c r="I5" s="33">
        <f>IF(A5="","",YEAR(A5))</f>
        <v/>
      </c>
    </row>
    <row r="6" ht="15" customHeight="1" s="21">
      <c r="A6" s="34" t="n"/>
      <c r="B6" s="30" t="n"/>
      <c r="C6" s="30" t="n"/>
      <c r="D6" s="30" t="n"/>
      <c r="E6" s="33">
        <f>IF(B6="","",IFERROR(INDEX(Productos!$B$2:$B$501,MATCH(B6,Productos!$A$2:$A$501,0)),"¿Código?"))</f>
        <v/>
      </c>
      <c r="F6" s="32">
        <f>IF(C6&lt;&gt;"Venta","",D6*IFERROR(INDEX(Productos!$D$2:$D$501,MATCH(B6,Productos!$A$2:$A$501,0)),0))</f>
        <v/>
      </c>
      <c r="G6" s="32">
        <f>IF(C6&lt;&gt;"Venta","",D6*IFERROR(INDEX(Productos!$E$2:$E$501,MATCH(B6,Productos!$A$2:$A$501,0)),0))</f>
        <v/>
      </c>
      <c r="H6" s="33">
        <f>IF(A6="","",MONTH(A6))</f>
        <v/>
      </c>
      <c r="I6" s="33">
        <f>IF(A6="","",YEAR(A6))</f>
        <v/>
      </c>
    </row>
    <row r="7" ht="15" customHeight="1" s="21">
      <c r="A7" s="34" t="n"/>
      <c r="B7" s="30" t="n"/>
      <c r="C7" s="30" t="n"/>
      <c r="D7" s="30" t="n"/>
      <c r="E7" s="33">
        <f>IF(B7="","",IFERROR(INDEX(Productos!$B$2:$B$501,MATCH(B7,Productos!$A$2:$A$501,0)),"¿Código?"))</f>
        <v/>
      </c>
      <c r="F7" s="32">
        <f>IF(C7&lt;&gt;"Venta","",D7*IFERROR(INDEX(Productos!$D$2:$D$501,MATCH(B7,Productos!$A$2:$A$501,0)),0))</f>
        <v/>
      </c>
      <c r="G7" s="32">
        <f>IF(C7&lt;&gt;"Venta","",D7*IFERROR(INDEX(Productos!$E$2:$E$501,MATCH(B7,Productos!$A$2:$A$501,0)),0))</f>
        <v/>
      </c>
      <c r="H7" s="33">
        <f>IF(A7="","",MONTH(A7))</f>
        <v/>
      </c>
      <c r="I7" s="33">
        <f>IF(A7="","",YEAR(A7))</f>
        <v/>
      </c>
    </row>
    <row r="8" ht="15" customHeight="1" s="21">
      <c r="A8" s="34" t="n"/>
      <c r="B8" s="30" t="n"/>
      <c r="C8" s="30" t="n"/>
      <c r="D8" s="30" t="n"/>
      <c r="E8" s="33">
        <f>IF(B8="","",IFERROR(INDEX(Productos!$B$2:$B$501,MATCH(B8,Productos!$A$2:$A$501,0)),"¿Código?"))</f>
        <v/>
      </c>
      <c r="F8" s="32">
        <f>IF(C8&lt;&gt;"Venta","",D8*IFERROR(INDEX(Productos!$D$2:$D$501,MATCH(B8,Productos!$A$2:$A$501,0)),0))</f>
        <v/>
      </c>
      <c r="G8" s="32">
        <f>IF(C8&lt;&gt;"Venta","",D8*IFERROR(INDEX(Productos!$E$2:$E$501,MATCH(B8,Productos!$A$2:$A$501,0)),0))</f>
        <v/>
      </c>
      <c r="H8" s="33">
        <f>IF(A8="","",MONTH(A8))</f>
        <v/>
      </c>
      <c r="I8" s="33">
        <f>IF(A8="","",YEAR(A8))</f>
        <v/>
      </c>
    </row>
    <row r="9" ht="15" customHeight="1" s="21">
      <c r="A9" s="34" t="n"/>
      <c r="B9" s="30" t="n"/>
      <c r="C9" s="30" t="n"/>
      <c r="D9" s="30" t="n"/>
      <c r="E9" s="33">
        <f>IF(B9="","",IFERROR(INDEX(Productos!$B$2:$B$501,MATCH(B9,Productos!$A$2:$A$501,0)),"¿Código?"))</f>
        <v/>
      </c>
      <c r="F9" s="32">
        <f>IF(C9&lt;&gt;"Venta","",D9*IFERROR(INDEX(Productos!$D$2:$D$501,MATCH(B9,Productos!$A$2:$A$501,0)),0))</f>
        <v/>
      </c>
      <c r="G9" s="32">
        <f>IF(C9&lt;&gt;"Venta","",D9*IFERROR(INDEX(Productos!$E$2:$E$501,MATCH(B9,Productos!$A$2:$A$501,0)),0))</f>
        <v/>
      </c>
      <c r="H9" s="33">
        <f>IF(A9="","",MONTH(A9))</f>
        <v/>
      </c>
      <c r="I9" s="33">
        <f>IF(A9="","",YEAR(A9))</f>
        <v/>
      </c>
    </row>
    <row r="10" ht="15" customHeight="1" s="21">
      <c r="A10" s="34" t="n"/>
      <c r="B10" s="30" t="n"/>
      <c r="C10" s="30" t="n"/>
      <c r="D10" s="30" t="n"/>
      <c r="E10" s="33">
        <f>IF(B10="","",IFERROR(INDEX(Productos!$B$2:$B$501,MATCH(B10,Productos!$A$2:$A$501,0)),"¿Código?"))</f>
        <v/>
      </c>
      <c r="F10" s="32">
        <f>IF(C10&lt;&gt;"Venta","",D10*IFERROR(INDEX(Productos!$D$2:$D$501,MATCH(B10,Productos!$A$2:$A$501,0)),0))</f>
        <v/>
      </c>
      <c r="G10" s="32">
        <f>IF(C10&lt;&gt;"Venta","",D10*IFERROR(INDEX(Productos!$E$2:$E$501,MATCH(B10,Productos!$A$2:$A$501,0)),0))</f>
        <v/>
      </c>
      <c r="H10" s="33">
        <f>IF(A10="","",MONTH(A10))</f>
        <v/>
      </c>
      <c r="I10" s="33">
        <f>IF(A10="","",YEAR(A10))</f>
        <v/>
      </c>
    </row>
    <row r="11" ht="15" customHeight="1" s="21">
      <c r="A11" s="34" t="n"/>
      <c r="B11" s="30" t="n"/>
      <c r="C11" s="30" t="n"/>
      <c r="D11" s="30" t="n"/>
      <c r="E11" s="33">
        <f>IF(B11="","",IFERROR(INDEX(Productos!$B$2:$B$501,MATCH(B11,Productos!$A$2:$A$501,0)),"¿Código?"))</f>
        <v/>
      </c>
      <c r="F11" s="32">
        <f>IF(C11&lt;&gt;"Venta","",D11*IFERROR(INDEX(Productos!$D$2:$D$501,MATCH(B11,Productos!$A$2:$A$501,0)),0))</f>
        <v/>
      </c>
      <c r="G11" s="32">
        <f>IF(C11&lt;&gt;"Venta","",D11*IFERROR(INDEX(Productos!$E$2:$E$501,MATCH(B11,Productos!$A$2:$A$501,0)),0))</f>
        <v/>
      </c>
      <c r="H11" s="33">
        <f>IF(A11="","",MONTH(A11))</f>
        <v/>
      </c>
      <c r="I11" s="33">
        <f>IF(A11="","",YEAR(A11))</f>
        <v/>
      </c>
    </row>
    <row r="12" ht="15" customHeight="1" s="21">
      <c r="A12" s="34" t="n"/>
      <c r="B12" s="30" t="n"/>
      <c r="C12" s="30" t="n"/>
      <c r="D12" s="30" t="n"/>
      <c r="E12" s="33">
        <f>IF(B12="","",IFERROR(INDEX(Productos!$B$2:$B$501,MATCH(B12,Productos!$A$2:$A$501,0)),"¿Código?"))</f>
        <v/>
      </c>
      <c r="F12" s="32">
        <f>IF(C12&lt;&gt;"Venta","",D12*IFERROR(INDEX(Productos!$D$2:$D$501,MATCH(B12,Productos!$A$2:$A$501,0)),0))</f>
        <v/>
      </c>
      <c r="G12" s="32">
        <f>IF(C12&lt;&gt;"Venta","",D12*IFERROR(INDEX(Productos!$E$2:$E$501,MATCH(B12,Productos!$A$2:$A$501,0)),0))</f>
        <v/>
      </c>
      <c r="H12" s="33">
        <f>IF(A12="","",MONTH(A12))</f>
        <v/>
      </c>
      <c r="I12" s="33">
        <f>IF(A12="","",YEAR(A12))</f>
        <v/>
      </c>
    </row>
    <row r="13" ht="15" customHeight="1" s="21">
      <c r="A13" s="34" t="n"/>
      <c r="B13" s="30" t="n"/>
      <c r="C13" s="30" t="n"/>
      <c r="D13" s="30" t="n"/>
      <c r="E13" s="33">
        <f>IF(B13="","",IFERROR(INDEX(Productos!$B$2:$B$501,MATCH(B13,Productos!$A$2:$A$501,0)),"¿Código?"))</f>
        <v/>
      </c>
      <c r="F13" s="32">
        <f>IF(C13&lt;&gt;"Venta","",D13*IFERROR(INDEX(Productos!$D$2:$D$501,MATCH(B13,Productos!$A$2:$A$501,0)),0))</f>
        <v/>
      </c>
      <c r="G13" s="32">
        <f>IF(C13&lt;&gt;"Venta","",D13*IFERROR(INDEX(Productos!$E$2:$E$501,MATCH(B13,Productos!$A$2:$A$501,0)),0))</f>
        <v/>
      </c>
      <c r="H13" s="33">
        <f>IF(A13="","",MONTH(A13))</f>
        <v/>
      </c>
      <c r="I13" s="33">
        <f>IF(A13="","",YEAR(A13))</f>
        <v/>
      </c>
    </row>
    <row r="14" ht="15" customHeight="1" s="21">
      <c r="A14" s="34" t="n"/>
      <c r="B14" s="30" t="n"/>
      <c r="C14" s="30" t="n"/>
      <c r="D14" s="30" t="n"/>
      <c r="E14" s="33">
        <f>IF(B14="","",IFERROR(INDEX(Productos!$B$2:$B$501,MATCH(B14,Productos!$A$2:$A$501,0)),"¿Código?"))</f>
        <v/>
      </c>
      <c r="F14" s="32">
        <f>IF(C14&lt;&gt;"Venta","",D14*IFERROR(INDEX(Productos!$D$2:$D$501,MATCH(B14,Productos!$A$2:$A$501,0)),0))</f>
        <v/>
      </c>
      <c r="G14" s="32">
        <f>IF(C14&lt;&gt;"Venta","",D14*IFERROR(INDEX(Productos!$E$2:$E$501,MATCH(B14,Productos!$A$2:$A$501,0)),0))</f>
        <v/>
      </c>
      <c r="H14" s="33">
        <f>IF(A14="","",MONTH(A14))</f>
        <v/>
      </c>
      <c r="I14" s="33">
        <f>IF(A14="","",YEAR(A14))</f>
        <v/>
      </c>
    </row>
    <row r="15" ht="15" customHeight="1" s="21">
      <c r="A15" s="34" t="n"/>
      <c r="B15" s="30" t="n"/>
      <c r="C15" s="30" t="n"/>
      <c r="D15" s="30" t="n"/>
      <c r="E15" s="33">
        <f>IF(B15="","",IFERROR(INDEX(Productos!$B$2:$B$501,MATCH(B15,Productos!$A$2:$A$501,0)),"¿Código?"))</f>
        <v/>
      </c>
      <c r="F15" s="32">
        <f>IF(C15&lt;&gt;"Venta","",D15*IFERROR(INDEX(Productos!$D$2:$D$501,MATCH(B15,Productos!$A$2:$A$501,0)),0))</f>
        <v/>
      </c>
      <c r="G15" s="32">
        <f>IF(C15&lt;&gt;"Venta","",D15*IFERROR(INDEX(Productos!$E$2:$E$501,MATCH(B15,Productos!$A$2:$A$501,0)),0))</f>
        <v/>
      </c>
      <c r="H15" s="33">
        <f>IF(A15="","",MONTH(A15))</f>
        <v/>
      </c>
      <c r="I15" s="33">
        <f>IF(A15="","",YEAR(A15))</f>
        <v/>
      </c>
    </row>
    <row r="16" ht="15" customHeight="1" s="21">
      <c r="A16" s="34" t="n"/>
      <c r="B16" s="30" t="n"/>
      <c r="C16" s="30" t="n"/>
      <c r="D16" s="30" t="n"/>
      <c r="E16" s="33">
        <f>IF(B16="","",IFERROR(INDEX(Productos!$B$2:$B$501,MATCH(B16,Productos!$A$2:$A$501,0)),"¿Código?"))</f>
        <v/>
      </c>
      <c r="F16" s="32">
        <f>IF(C16&lt;&gt;"Venta","",D16*IFERROR(INDEX(Productos!$D$2:$D$501,MATCH(B16,Productos!$A$2:$A$501,0)),0))</f>
        <v/>
      </c>
      <c r="G16" s="32">
        <f>IF(C16&lt;&gt;"Venta","",D16*IFERROR(INDEX(Productos!$E$2:$E$501,MATCH(B16,Productos!$A$2:$A$501,0)),0))</f>
        <v/>
      </c>
      <c r="H16" s="33">
        <f>IF(A16="","",MONTH(A16))</f>
        <v/>
      </c>
      <c r="I16" s="33">
        <f>IF(A16="","",YEAR(A16))</f>
        <v/>
      </c>
    </row>
    <row r="17" ht="15" customHeight="1" s="21">
      <c r="A17" s="34" t="n"/>
      <c r="B17" s="30" t="n"/>
      <c r="C17" s="30" t="n"/>
      <c r="D17" s="30" t="n"/>
      <c r="E17" s="33">
        <f>IF(B17="","",IFERROR(INDEX(Productos!$B$2:$B$501,MATCH(B17,Productos!$A$2:$A$501,0)),"¿Código?"))</f>
        <v/>
      </c>
      <c r="F17" s="32">
        <f>IF(C17&lt;&gt;"Venta","",D17*IFERROR(INDEX(Productos!$D$2:$D$501,MATCH(B17,Productos!$A$2:$A$501,0)),0))</f>
        <v/>
      </c>
      <c r="G17" s="32">
        <f>IF(C17&lt;&gt;"Venta","",D17*IFERROR(INDEX(Productos!$E$2:$E$501,MATCH(B17,Productos!$A$2:$A$501,0)),0))</f>
        <v/>
      </c>
      <c r="H17" s="33">
        <f>IF(A17="","",MONTH(A17))</f>
        <v/>
      </c>
      <c r="I17" s="33">
        <f>IF(A17="","",YEAR(A17))</f>
        <v/>
      </c>
    </row>
    <row r="18" ht="15" customHeight="1" s="21">
      <c r="A18" s="34" t="n"/>
      <c r="B18" s="30" t="n"/>
      <c r="C18" s="30" t="n"/>
      <c r="D18" s="30" t="n"/>
      <c r="E18" s="33">
        <f>IF(B18="","",IFERROR(INDEX(Productos!$B$2:$B$501,MATCH(B18,Productos!$A$2:$A$501,0)),"¿Código?"))</f>
        <v/>
      </c>
      <c r="F18" s="32">
        <f>IF(C18&lt;&gt;"Venta","",D18*IFERROR(INDEX(Productos!$D$2:$D$501,MATCH(B18,Productos!$A$2:$A$501,0)),0))</f>
        <v/>
      </c>
      <c r="G18" s="32">
        <f>IF(C18&lt;&gt;"Venta","",D18*IFERROR(INDEX(Productos!$E$2:$E$501,MATCH(B18,Productos!$A$2:$A$501,0)),0))</f>
        <v/>
      </c>
      <c r="H18" s="33">
        <f>IF(A18="","",MONTH(A18))</f>
        <v/>
      </c>
      <c r="I18" s="33">
        <f>IF(A18="","",YEAR(A18))</f>
        <v/>
      </c>
    </row>
    <row r="19" ht="15" customHeight="1" s="21">
      <c r="A19" s="34" t="n"/>
      <c r="B19" s="30" t="n"/>
      <c r="C19" s="30" t="n"/>
      <c r="D19" s="30" t="n"/>
      <c r="E19" s="33">
        <f>IF(B19="","",IFERROR(INDEX(Productos!$B$2:$B$501,MATCH(B19,Productos!$A$2:$A$501,0)),"¿Código?"))</f>
        <v/>
      </c>
      <c r="F19" s="32">
        <f>IF(C19&lt;&gt;"Venta","",D19*IFERROR(INDEX(Productos!$D$2:$D$501,MATCH(B19,Productos!$A$2:$A$501,0)),0))</f>
        <v/>
      </c>
      <c r="G19" s="32">
        <f>IF(C19&lt;&gt;"Venta","",D19*IFERROR(INDEX(Productos!$E$2:$E$501,MATCH(B19,Productos!$A$2:$A$501,0)),0))</f>
        <v/>
      </c>
      <c r="H19" s="33">
        <f>IF(A19="","",MONTH(A19))</f>
        <v/>
      </c>
      <c r="I19" s="33">
        <f>IF(A19="","",YEAR(A19))</f>
        <v/>
      </c>
    </row>
    <row r="20" ht="15" customHeight="1" s="21">
      <c r="A20" s="34" t="n"/>
      <c r="B20" s="30" t="n"/>
      <c r="C20" s="30" t="n"/>
      <c r="D20" s="30" t="n"/>
      <c r="E20" s="33">
        <f>IF(B20="","",IFERROR(INDEX(Productos!$B$2:$B$501,MATCH(B20,Productos!$A$2:$A$501,0)),"¿Código?"))</f>
        <v/>
      </c>
      <c r="F20" s="32">
        <f>IF(C20&lt;&gt;"Venta","",D20*IFERROR(INDEX(Productos!$D$2:$D$501,MATCH(B20,Productos!$A$2:$A$501,0)),0))</f>
        <v/>
      </c>
      <c r="G20" s="32">
        <f>IF(C20&lt;&gt;"Venta","",D20*IFERROR(INDEX(Productos!$E$2:$E$501,MATCH(B20,Productos!$A$2:$A$501,0)),0))</f>
        <v/>
      </c>
      <c r="H20" s="33">
        <f>IF(A20="","",MONTH(A20))</f>
        <v/>
      </c>
      <c r="I20" s="33">
        <f>IF(A20="","",YEAR(A20))</f>
        <v/>
      </c>
    </row>
    <row r="21" ht="15" customHeight="1" s="21">
      <c r="A21" s="34" t="n"/>
      <c r="B21" s="30" t="n"/>
      <c r="C21" s="30" t="n"/>
      <c r="D21" s="30" t="n"/>
      <c r="E21" s="33">
        <f>IF(B21="","",IFERROR(INDEX(Productos!$B$2:$B$501,MATCH(B21,Productos!$A$2:$A$501,0)),"¿Código?"))</f>
        <v/>
      </c>
      <c r="F21" s="32">
        <f>IF(C21&lt;&gt;"Venta","",D21*IFERROR(INDEX(Productos!$D$2:$D$501,MATCH(B21,Productos!$A$2:$A$501,0)),0))</f>
        <v/>
      </c>
      <c r="G21" s="32">
        <f>IF(C21&lt;&gt;"Venta","",D21*IFERROR(INDEX(Productos!$E$2:$E$501,MATCH(B21,Productos!$A$2:$A$501,0)),0))</f>
        <v/>
      </c>
      <c r="H21" s="33">
        <f>IF(A21="","",MONTH(A21))</f>
        <v/>
      </c>
      <c r="I21" s="33">
        <f>IF(A21="","",YEAR(A21))</f>
        <v/>
      </c>
    </row>
    <row r="22" ht="15" customHeight="1" s="21">
      <c r="A22" s="34" t="n"/>
      <c r="B22" s="30" t="n"/>
      <c r="C22" s="30" t="n"/>
      <c r="D22" s="30" t="n"/>
      <c r="E22" s="33">
        <f>IF(B22="","",IFERROR(INDEX(Productos!$B$2:$B$501,MATCH(B22,Productos!$A$2:$A$501,0)),"¿Código?"))</f>
        <v/>
      </c>
      <c r="F22" s="32">
        <f>IF(C22&lt;&gt;"Venta","",D22*IFERROR(INDEX(Productos!$D$2:$D$501,MATCH(B22,Productos!$A$2:$A$501,0)),0))</f>
        <v/>
      </c>
      <c r="G22" s="32">
        <f>IF(C22&lt;&gt;"Venta","",D22*IFERROR(INDEX(Productos!$E$2:$E$501,MATCH(B22,Productos!$A$2:$A$501,0)),0))</f>
        <v/>
      </c>
      <c r="H22" s="33">
        <f>IF(A22="","",MONTH(A22))</f>
        <v/>
      </c>
      <c r="I22" s="33">
        <f>IF(A22="","",YEAR(A22))</f>
        <v/>
      </c>
    </row>
    <row r="23" ht="15" customHeight="1" s="21">
      <c r="A23" s="34" t="n"/>
      <c r="B23" s="30" t="n"/>
      <c r="C23" s="30" t="n"/>
      <c r="D23" s="30" t="n"/>
      <c r="E23" s="33">
        <f>IF(B23="","",IFERROR(INDEX(Productos!$B$2:$B$501,MATCH(B23,Productos!$A$2:$A$501,0)),"¿Código?"))</f>
        <v/>
      </c>
      <c r="F23" s="32">
        <f>IF(C23&lt;&gt;"Venta","",D23*IFERROR(INDEX(Productos!$D$2:$D$501,MATCH(B23,Productos!$A$2:$A$501,0)),0))</f>
        <v/>
      </c>
      <c r="G23" s="32">
        <f>IF(C23&lt;&gt;"Venta","",D23*IFERROR(INDEX(Productos!$E$2:$E$501,MATCH(B23,Productos!$A$2:$A$501,0)),0))</f>
        <v/>
      </c>
      <c r="H23" s="33">
        <f>IF(A23="","",MONTH(A23))</f>
        <v/>
      </c>
      <c r="I23" s="33">
        <f>IF(A23="","",YEAR(A23))</f>
        <v/>
      </c>
    </row>
    <row r="24" ht="15" customHeight="1" s="21">
      <c r="A24" s="34" t="n"/>
      <c r="B24" s="30" t="n"/>
      <c r="C24" s="30" t="n"/>
      <c r="D24" s="30" t="n"/>
      <c r="E24" s="33">
        <f>IF(B24="","",IFERROR(INDEX(Productos!$B$2:$B$501,MATCH(B24,Productos!$A$2:$A$501,0)),"¿Código?"))</f>
        <v/>
      </c>
      <c r="F24" s="32">
        <f>IF(C24&lt;&gt;"Venta","",D24*IFERROR(INDEX(Productos!$D$2:$D$501,MATCH(B24,Productos!$A$2:$A$501,0)),0))</f>
        <v/>
      </c>
      <c r="G24" s="32">
        <f>IF(C24&lt;&gt;"Venta","",D24*IFERROR(INDEX(Productos!$E$2:$E$501,MATCH(B24,Productos!$A$2:$A$501,0)),0))</f>
        <v/>
      </c>
      <c r="H24" s="33">
        <f>IF(A24="","",MONTH(A24))</f>
        <v/>
      </c>
      <c r="I24" s="33">
        <f>IF(A24="","",YEAR(A24))</f>
        <v/>
      </c>
    </row>
    <row r="25" ht="15" customHeight="1" s="21">
      <c r="A25" s="34" t="n"/>
      <c r="B25" s="30" t="n"/>
      <c r="C25" s="30" t="n"/>
      <c r="D25" s="30" t="n"/>
      <c r="E25" s="33">
        <f>IF(B25="","",IFERROR(INDEX(Productos!$B$2:$B$501,MATCH(B25,Productos!$A$2:$A$501,0)),"¿Código?"))</f>
        <v/>
      </c>
      <c r="F25" s="32">
        <f>IF(C25&lt;&gt;"Venta","",D25*IFERROR(INDEX(Productos!$D$2:$D$501,MATCH(B25,Productos!$A$2:$A$501,0)),0))</f>
        <v/>
      </c>
      <c r="G25" s="32">
        <f>IF(C25&lt;&gt;"Venta","",D25*IFERROR(INDEX(Productos!$E$2:$E$501,MATCH(B25,Productos!$A$2:$A$501,0)),0))</f>
        <v/>
      </c>
      <c r="H25" s="33">
        <f>IF(A25="","",MONTH(A25))</f>
        <v/>
      </c>
      <c r="I25" s="33">
        <f>IF(A25="","",YEAR(A25))</f>
        <v/>
      </c>
    </row>
    <row r="26" ht="15" customHeight="1" s="21">
      <c r="A26" s="34" t="n"/>
      <c r="B26" s="30" t="n"/>
      <c r="C26" s="30" t="n"/>
      <c r="D26" s="30" t="n"/>
      <c r="E26" s="33">
        <f>IF(B26="","",IFERROR(INDEX(Productos!$B$2:$B$501,MATCH(B26,Productos!$A$2:$A$501,0)),"¿Código?"))</f>
        <v/>
      </c>
      <c r="F26" s="32">
        <f>IF(C26&lt;&gt;"Venta","",D26*IFERROR(INDEX(Productos!$D$2:$D$501,MATCH(B26,Productos!$A$2:$A$501,0)),0))</f>
        <v/>
      </c>
      <c r="G26" s="32">
        <f>IF(C26&lt;&gt;"Venta","",D26*IFERROR(INDEX(Productos!$E$2:$E$501,MATCH(B26,Productos!$A$2:$A$501,0)),0))</f>
        <v/>
      </c>
      <c r="H26" s="33">
        <f>IF(A26="","",MONTH(A26))</f>
        <v/>
      </c>
      <c r="I26" s="33">
        <f>IF(A26="","",YEAR(A26))</f>
        <v/>
      </c>
    </row>
    <row r="27" ht="15" customHeight="1" s="21">
      <c r="A27" s="34" t="n"/>
      <c r="B27" s="30" t="n"/>
      <c r="C27" s="30" t="n"/>
      <c r="D27" s="30" t="n"/>
      <c r="E27" s="33">
        <f>IF(B27="","",IFERROR(INDEX(Productos!$B$2:$B$501,MATCH(B27,Productos!$A$2:$A$501,0)),"¿Código?"))</f>
        <v/>
      </c>
      <c r="F27" s="32">
        <f>IF(C27&lt;&gt;"Venta","",D27*IFERROR(INDEX(Productos!$D$2:$D$501,MATCH(B27,Productos!$A$2:$A$501,0)),0))</f>
        <v/>
      </c>
      <c r="G27" s="32">
        <f>IF(C27&lt;&gt;"Venta","",D27*IFERROR(INDEX(Productos!$E$2:$E$501,MATCH(B27,Productos!$A$2:$A$501,0)),0))</f>
        <v/>
      </c>
      <c r="H27" s="33">
        <f>IF(A27="","",MONTH(A27))</f>
        <v/>
      </c>
      <c r="I27" s="33">
        <f>IF(A27="","",YEAR(A27))</f>
        <v/>
      </c>
    </row>
    <row r="28" ht="15" customHeight="1" s="21">
      <c r="A28" s="34" t="n"/>
      <c r="B28" s="30" t="n"/>
      <c r="C28" s="30" t="n"/>
      <c r="D28" s="30" t="n"/>
      <c r="E28" s="33">
        <f>IF(B28="","",IFERROR(INDEX(Productos!$B$2:$B$501,MATCH(B28,Productos!$A$2:$A$501,0)),"¿Código?"))</f>
        <v/>
      </c>
      <c r="F28" s="32">
        <f>IF(C28&lt;&gt;"Venta","",D28*IFERROR(INDEX(Productos!$D$2:$D$501,MATCH(B28,Productos!$A$2:$A$501,0)),0))</f>
        <v/>
      </c>
      <c r="G28" s="32">
        <f>IF(C28&lt;&gt;"Venta","",D28*IFERROR(INDEX(Productos!$E$2:$E$501,MATCH(B28,Productos!$A$2:$A$501,0)),0))</f>
        <v/>
      </c>
      <c r="H28" s="33">
        <f>IF(A28="","",MONTH(A28))</f>
        <v/>
      </c>
      <c r="I28" s="33">
        <f>IF(A28="","",YEAR(A28))</f>
        <v/>
      </c>
    </row>
    <row r="29" ht="15" customHeight="1" s="21">
      <c r="A29" s="34" t="n"/>
      <c r="B29" s="30" t="n"/>
      <c r="C29" s="30" t="n"/>
      <c r="D29" s="30" t="n"/>
      <c r="E29" s="33">
        <f>IF(B29="","",IFERROR(INDEX(Productos!$B$2:$B$501,MATCH(B29,Productos!$A$2:$A$501,0)),"¿Código?"))</f>
        <v/>
      </c>
      <c r="F29" s="32">
        <f>IF(C29&lt;&gt;"Venta","",D29*IFERROR(INDEX(Productos!$D$2:$D$501,MATCH(B29,Productos!$A$2:$A$501,0)),0))</f>
        <v/>
      </c>
      <c r="G29" s="32">
        <f>IF(C29&lt;&gt;"Venta","",D29*IFERROR(INDEX(Productos!$E$2:$E$501,MATCH(B29,Productos!$A$2:$A$501,0)),0))</f>
        <v/>
      </c>
      <c r="H29" s="33">
        <f>IF(A29="","",MONTH(A29))</f>
        <v/>
      </c>
      <c r="I29" s="33">
        <f>IF(A29="","",YEAR(A29))</f>
        <v/>
      </c>
    </row>
    <row r="30" ht="15" customHeight="1" s="21">
      <c r="A30" s="34" t="n"/>
      <c r="B30" s="30" t="n"/>
      <c r="C30" s="30" t="n"/>
      <c r="D30" s="30" t="n"/>
      <c r="E30" s="33">
        <f>IF(B30="","",IFERROR(INDEX(Productos!$B$2:$B$501,MATCH(B30,Productos!$A$2:$A$501,0)),"¿Código?"))</f>
        <v/>
      </c>
      <c r="F30" s="32">
        <f>IF(C30&lt;&gt;"Venta","",D30*IFERROR(INDEX(Productos!$D$2:$D$501,MATCH(B30,Productos!$A$2:$A$501,0)),0))</f>
        <v/>
      </c>
      <c r="G30" s="32">
        <f>IF(C30&lt;&gt;"Venta","",D30*IFERROR(INDEX(Productos!$E$2:$E$501,MATCH(B30,Productos!$A$2:$A$501,0)),0))</f>
        <v/>
      </c>
      <c r="H30" s="33">
        <f>IF(A30="","",MONTH(A30))</f>
        <v/>
      </c>
      <c r="I30" s="33">
        <f>IF(A30="","",YEAR(A30))</f>
        <v/>
      </c>
    </row>
    <row r="31" ht="15" customHeight="1" s="21">
      <c r="A31" s="34" t="n"/>
      <c r="B31" s="30" t="n"/>
      <c r="C31" s="30" t="n"/>
      <c r="D31" s="30" t="n"/>
      <c r="E31" s="33">
        <f>IF(B31="","",IFERROR(INDEX(Productos!$B$2:$B$501,MATCH(B31,Productos!$A$2:$A$501,0)),"¿Código?"))</f>
        <v/>
      </c>
      <c r="F31" s="32">
        <f>IF(C31&lt;&gt;"Venta","",D31*IFERROR(INDEX(Productos!$D$2:$D$501,MATCH(B31,Productos!$A$2:$A$501,0)),0))</f>
        <v/>
      </c>
      <c r="G31" s="32">
        <f>IF(C31&lt;&gt;"Venta","",D31*IFERROR(INDEX(Productos!$E$2:$E$501,MATCH(B31,Productos!$A$2:$A$501,0)),0))</f>
        <v/>
      </c>
      <c r="H31" s="33">
        <f>IF(A31="","",MONTH(A31))</f>
        <v/>
      </c>
      <c r="I31" s="33">
        <f>IF(A31="","",YEAR(A31))</f>
        <v/>
      </c>
    </row>
    <row r="32" ht="15" customHeight="1" s="21">
      <c r="A32" s="34" t="n"/>
      <c r="B32" s="30" t="n"/>
      <c r="C32" s="30" t="n"/>
      <c r="D32" s="30" t="n"/>
      <c r="E32" s="33">
        <f>IF(B32="","",IFERROR(INDEX(Productos!$B$2:$B$501,MATCH(B32,Productos!$A$2:$A$501,0)),"¿Código?"))</f>
        <v/>
      </c>
      <c r="F32" s="32">
        <f>IF(C32&lt;&gt;"Venta","",D32*IFERROR(INDEX(Productos!$D$2:$D$501,MATCH(B32,Productos!$A$2:$A$501,0)),0))</f>
        <v/>
      </c>
      <c r="G32" s="32">
        <f>IF(C32&lt;&gt;"Venta","",D32*IFERROR(INDEX(Productos!$E$2:$E$501,MATCH(B32,Productos!$A$2:$A$501,0)),0))</f>
        <v/>
      </c>
      <c r="H32" s="33">
        <f>IF(A32="","",MONTH(A32))</f>
        <v/>
      </c>
      <c r="I32" s="33">
        <f>IF(A32="","",YEAR(A32))</f>
        <v/>
      </c>
    </row>
    <row r="33" ht="15" customHeight="1" s="21">
      <c r="A33" s="34" t="n"/>
      <c r="B33" s="30" t="n"/>
      <c r="C33" s="30" t="n"/>
      <c r="D33" s="30" t="n"/>
      <c r="E33" s="33">
        <f>IF(B33="","",IFERROR(INDEX(Productos!$B$2:$B$501,MATCH(B33,Productos!$A$2:$A$501,0)),"¿Código?"))</f>
        <v/>
      </c>
      <c r="F33" s="32">
        <f>IF(C33&lt;&gt;"Venta","",D33*IFERROR(INDEX(Productos!$D$2:$D$501,MATCH(B33,Productos!$A$2:$A$501,0)),0))</f>
        <v/>
      </c>
      <c r="G33" s="32">
        <f>IF(C33&lt;&gt;"Venta","",D33*IFERROR(INDEX(Productos!$E$2:$E$501,MATCH(B33,Productos!$A$2:$A$501,0)),0))</f>
        <v/>
      </c>
      <c r="H33" s="33">
        <f>IF(A33="","",MONTH(A33))</f>
        <v/>
      </c>
      <c r="I33" s="33">
        <f>IF(A33="","",YEAR(A33))</f>
        <v/>
      </c>
    </row>
    <row r="34" ht="15" customHeight="1" s="21">
      <c r="A34" s="34" t="n"/>
      <c r="B34" s="30" t="n"/>
      <c r="C34" s="30" t="n"/>
      <c r="D34" s="30" t="n"/>
      <c r="E34" s="33">
        <f>IF(B34="","",IFERROR(INDEX(Productos!$B$2:$B$501,MATCH(B34,Productos!$A$2:$A$501,0)),"¿Código?"))</f>
        <v/>
      </c>
      <c r="F34" s="32">
        <f>IF(C34&lt;&gt;"Venta","",D34*IFERROR(INDEX(Productos!$D$2:$D$501,MATCH(B34,Productos!$A$2:$A$501,0)),0))</f>
        <v/>
      </c>
      <c r="G34" s="32">
        <f>IF(C34&lt;&gt;"Venta","",D34*IFERROR(INDEX(Productos!$E$2:$E$501,MATCH(B34,Productos!$A$2:$A$501,0)),0))</f>
        <v/>
      </c>
      <c r="H34" s="33">
        <f>IF(A34="","",MONTH(A34))</f>
        <v/>
      </c>
      <c r="I34" s="33">
        <f>IF(A34="","",YEAR(A34))</f>
        <v/>
      </c>
    </row>
    <row r="35" ht="15" customHeight="1" s="21">
      <c r="A35" s="34" t="n"/>
      <c r="B35" s="30" t="n"/>
      <c r="C35" s="30" t="n"/>
      <c r="D35" s="30" t="n"/>
      <c r="E35" s="33">
        <f>IF(B35="","",IFERROR(INDEX(Productos!$B$2:$B$501,MATCH(B35,Productos!$A$2:$A$501,0)),"¿Código?"))</f>
        <v/>
      </c>
      <c r="F35" s="32">
        <f>IF(C35&lt;&gt;"Venta","",D35*IFERROR(INDEX(Productos!$D$2:$D$501,MATCH(B35,Productos!$A$2:$A$501,0)),0))</f>
        <v/>
      </c>
      <c r="G35" s="32">
        <f>IF(C35&lt;&gt;"Venta","",D35*IFERROR(INDEX(Productos!$E$2:$E$501,MATCH(B35,Productos!$A$2:$A$501,0)),0))</f>
        <v/>
      </c>
      <c r="H35" s="33">
        <f>IF(A35="","",MONTH(A35))</f>
        <v/>
      </c>
      <c r="I35" s="33">
        <f>IF(A35="","",YEAR(A35))</f>
        <v/>
      </c>
    </row>
    <row r="36" ht="15" customHeight="1" s="21">
      <c r="A36" s="34" t="n"/>
      <c r="B36" s="30" t="n"/>
      <c r="C36" s="30" t="n"/>
      <c r="D36" s="30" t="n"/>
      <c r="E36" s="33">
        <f>IF(B36="","",IFERROR(INDEX(Productos!$B$2:$B$501,MATCH(B36,Productos!$A$2:$A$501,0)),"¿Código?"))</f>
        <v/>
      </c>
      <c r="F36" s="32">
        <f>IF(C36&lt;&gt;"Venta","",D36*IFERROR(INDEX(Productos!$D$2:$D$501,MATCH(B36,Productos!$A$2:$A$501,0)),0))</f>
        <v/>
      </c>
      <c r="G36" s="32">
        <f>IF(C36&lt;&gt;"Venta","",D36*IFERROR(INDEX(Productos!$E$2:$E$501,MATCH(B36,Productos!$A$2:$A$501,0)),0))</f>
        <v/>
      </c>
      <c r="H36" s="33">
        <f>IF(A36="","",MONTH(A36))</f>
        <v/>
      </c>
      <c r="I36" s="33">
        <f>IF(A36="","",YEAR(A36))</f>
        <v/>
      </c>
    </row>
    <row r="37" ht="15" customHeight="1" s="21">
      <c r="A37" s="34" t="n"/>
      <c r="B37" s="30" t="n"/>
      <c r="C37" s="30" t="n"/>
      <c r="D37" s="30" t="n"/>
      <c r="E37" s="33">
        <f>IF(B37="","",IFERROR(INDEX(Productos!$B$2:$B$501,MATCH(B37,Productos!$A$2:$A$501,0)),"¿Código?"))</f>
        <v/>
      </c>
      <c r="F37" s="32">
        <f>IF(C37&lt;&gt;"Venta","",D37*IFERROR(INDEX(Productos!$D$2:$D$501,MATCH(B37,Productos!$A$2:$A$501,0)),0))</f>
        <v/>
      </c>
      <c r="G37" s="32">
        <f>IF(C37&lt;&gt;"Venta","",D37*IFERROR(INDEX(Productos!$E$2:$E$501,MATCH(B37,Productos!$A$2:$A$501,0)),0))</f>
        <v/>
      </c>
      <c r="H37" s="33">
        <f>IF(A37="","",MONTH(A37))</f>
        <v/>
      </c>
      <c r="I37" s="33">
        <f>IF(A37="","",YEAR(A37))</f>
        <v/>
      </c>
    </row>
    <row r="38" ht="15" customHeight="1" s="21">
      <c r="A38" s="34" t="n"/>
      <c r="B38" s="30" t="n"/>
      <c r="C38" s="30" t="n"/>
      <c r="D38" s="30" t="n"/>
      <c r="E38" s="33">
        <f>IF(B38="","",IFERROR(INDEX(Productos!$B$2:$B$501,MATCH(B38,Productos!$A$2:$A$501,0)),"¿Código?"))</f>
        <v/>
      </c>
      <c r="F38" s="32">
        <f>IF(C38&lt;&gt;"Venta","",D38*IFERROR(INDEX(Productos!$D$2:$D$501,MATCH(B38,Productos!$A$2:$A$501,0)),0))</f>
        <v/>
      </c>
      <c r="G38" s="32">
        <f>IF(C38&lt;&gt;"Venta","",D38*IFERROR(INDEX(Productos!$E$2:$E$501,MATCH(B38,Productos!$A$2:$A$501,0)),0))</f>
        <v/>
      </c>
      <c r="H38" s="33">
        <f>IF(A38="","",MONTH(A38))</f>
        <v/>
      </c>
      <c r="I38" s="33">
        <f>IF(A38="","",YEAR(A38))</f>
        <v/>
      </c>
    </row>
    <row r="39" ht="15" customHeight="1" s="21">
      <c r="A39" s="34" t="n"/>
      <c r="B39" s="30" t="n"/>
      <c r="C39" s="30" t="n"/>
      <c r="D39" s="30" t="n"/>
      <c r="E39" s="33">
        <f>IF(B39="","",IFERROR(INDEX(Productos!$B$2:$B$501,MATCH(B39,Productos!$A$2:$A$501,0)),"¿Código?"))</f>
        <v/>
      </c>
      <c r="F39" s="32">
        <f>IF(C39&lt;&gt;"Venta","",D39*IFERROR(INDEX(Productos!$D$2:$D$501,MATCH(B39,Productos!$A$2:$A$501,0)),0))</f>
        <v/>
      </c>
      <c r="G39" s="32">
        <f>IF(C39&lt;&gt;"Venta","",D39*IFERROR(INDEX(Productos!$E$2:$E$501,MATCH(B39,Productos!$A$2:$A$501,0)),0))</f>
        <v/>
      </c>
      <c r="H39" s="33">
        <f>IF(A39="","",MONTH(A39))</f>
        <v/>
      </c>
      <c r="I39" s="33">
        <f>IF(A39="","",YEAR(A39))</f>
        <v/>
      </c>
    </row>
    <row r="40" ht="15" customHeight="1" s="21">
      <c r="A40" s="34" t="n"/>
      <c r="B40" s="30" t="n"/>
      <c r="C40" s="30" t="n"/>
      <c r="D40" s="30" t="n"/>
      <c r="E40" s="33">
        <f>IF(B40="","",IFERROR(INDEX(Productos!$B$2:$B$501,MATCH(B40,Productos!$A$2:$A$501,0)),"¿Código?"))</f>
        <v/>
      </c>
      <c r="F40" s="32">
        <f>IF(C40&lt;&gt;"Venta","",D40*IFERROR(INDEX(Productos!$D$2:$D$501,MATCH(B40,Productos!$A$2:$A$501,0)),0))</f>
        <v/>
      </c>
      <c r="G40" s="32">
        <f>IF(C40&lt;&gt;"Venta","",D40*IFERROR(INDEX(Productos!$E$2:$E$501,MATCH(B40,Productos!$A$2:$A$501,0)),0))</f>
        <v/>
      </c>
      <c r="H40" s="33">
        <f>IF(A40="","",MONTH(A40))</f>
        <v/>
      </c>
      <c r="I40" s="33">
        <f>IF(A40="","",YEAR(A40))</f>
        <v/>
      </c>
    </row>
    <row r="41" ht="15" customHeight="1" s="21">
      <c r="A41" s="34" t="n"/>
      <c r="B41" s="30" t="n"/>
      <c r="C41" s="30" t="n"/>
      <c r="D41" s="30" t="n"/>
      <c r="E41" s="33">
        <f>IF(B41="","",IFERROR(INDEX(Productos!$B$2:$B$501,MATCH(B41,Productos!$A$2:$A$501,0)),"¿Código?"))</f>
        <v/>
      </c>
      <c r="F41" s="32">
        <f>IF(C41&lt;&gt;"Venta","",D41*IFERROR(INDEX(Productos!$D$2:$D$501,MATCH(B41,Productos!$A$2:$A$501,0)),0))</f>
        <v/>
      </c>
      <c r="G41" s="32">
        <f>IF(C41&lt;&gt;"Venta","",D41*IFERROR(INDEX(Productos!$E$2:$E$501,MATCH(B41,Productos!$A$2:$A$501,0)),0))</f>
        <v/>
      </c>
      <c r="H41" s="33">
        <f>IF(A41="","",MONTH(A41))</f>
        <v/>
      </c>
      <c r="I41" s="33">
        <f>IF(A41="","",YEAR(A41))</f>
        <v/>
      </c>
    </row>
    <row r="42" ht="15" customHeight="1" s="21">
      <c r="A42" s="34" t="n"/>
      <c r="B42" s="30" t="n"/>
      <c r="C42" s="30" t="n"/>
      <c r="D42" s="30" t="n"/>
      <c r="E42" s="33">
        <f>IF(B42="","",IFERROR(INDEX(Productos!$B$2:$B$501,MATCH(B42,Productos!$A$2:$A$501,0)),"¿Código?"))</f>
        <v/>
      </c>
      <c r="F42" s="32">
        <f>IF(C42&lt;&gt;"Venta","",D42*IFERROR(INDEX(Productos!$D$2:$D$501,MATCH(B42,Productos!$A$2:$A$501,0)),0))</f>
        <v/>
      </c>
      <c r="G42" s="32">
        <f>IF(C42&lt;&gt;"Venta","",D42*IFERROR(INDEX(Productos!$E$2:$E$501,MATCH(B42,Productos!$A$2:$A$501,0)),0))</f>
        <v/>
      </c>
      <c r="H42" s="33">
        <f>IF(A42="","",MONTH(A42))</f>
        <v/>
      </c>
      <c r="I42" s="33">
        <f>IF(A42="","",YEAR(A42))</f>
        <v/>
      </c>
    </row>
    <row r="43" ht="15" customHeight="1" s="21">
      <c r="A43" s="34" t="n"/>
      <c r="B43" s="30" t="n"/>
      <c r="C43" s="30" t="n"/>
      <c r="D43" s="30" t="n"/>
      <c r="E43" s="33">
        <f>IF(B43="","",IFERROR(INDEX(Productos!$B$2:$B$501,MATCH(B43,Productos!$A$2:$A$501,0)),"¿Código?"))</f>
        <v/>
      </c>
      <c r="F43" s="32">
        <f>IF(C43&lt;&gt;"Venta","",D43*IFERROR(INDEX(Productos!$D$2:$D$501,MATCH(B43,Productos!$A$2:$A$501,0)),0))</f>
        <v/>
      </c>
      <c r="G43" s="32">
        <f>IF(C43&lt;&gt;"Venta","",D43*IFERROR(INDEX(Productos!$E$2:$E$501,MATCH(B43,Productos!$A$2:$A$501,0)),0))</f>
        <v/>
      </c>
      <c r="H43" s="33">
        <f>IF(A43="","",MONTH(A43))</f>
        <v/>
      </c>
      <c r="I43" s="33">
        <f>IF(A43="","",YEAR(A43))</f>
        <v/>
      </c>
    </row>
    <row r="44" ht="15" customHeight="1" s="21">
      <c r="A44" s="34" t="n"/>
      <c r="B44" s="30" t="n"/>
      <c r="C44" s="30" t="n"/>
      <c r="D44" s="30" t="n"/>
      <c r="E44" s="33">
        <f>IF(B44="","",IFERROR(INDEX(Productos!$B$2:$B$501,MATCH(B44,Productos!$A$2:$A$501,0)),"¿Código?"))</f>
        <v/>
      </c>
      <c r="F44" s="32">
        <f>IF(C44&lt;&gt;"Venta","",D44*IFERROR(INDEX(Productos!$D$2:$D$501,MATCH(B44,Productos!$A$2:$A$501,0)),0))</f>
        <v/>
      </c>
      <c r="G44" s="32">
        <f>IF(C44&lt;&gt;"Venta","",D44*IFERROR(INDEX(Productos!$E$2:$E$501,MATCH(B44,Productos!$A$2:$A$501,0)),0))</f>
        <v/>
      </c>
      <c r="H44" s="33">
        <f>IF(A44="","",MONTH(A44))</f>
        <v/>
      </c>
      <c r="I44" s="33">
        <f>IF(A44="","",YEAR(A44))</f>
        <v/>
      </c>
    </row>
    <row r="45" ht="15" customHeight="1" s="21">
      <c r="A45" s="34" t="n"/>
      <c r="B45" s="30" t="n"/>
      <c r="C45" s="30" t="n"/>
      <c r="D45" s="30" t="n"/>
      <c r="E45" s="33">
        <f>IF(B45="","",IFERROR(INDEX(Productos!$B$2:$B$501,MATCH(B45,Productos!$A$2:$A$501,0)),"¿Código?"))</f>
        <v/>
      </c>
      <c r="F45" s="32">
        <f>IF(C45&lt;&gt;"Venta","",D45*IFERROR(INDEX(Productos!$D$2:$D$501,MATCH(B45,Productos!$A$2:$A$501,0)),0))</f>
        <v/>
      </c>
      <c r="G45" s="32">
        <f>IF(C45&lt;&gt;"Venta","",D45*IFERROR(INDEX(Productos!$E$2:$E$501,MATCH(B45,Productos!$A$2:$A$501,0)),0))</f>
        <v/>
      </c>
      <c r="H45" s="33">
        <f>IF(A45="","",MONTH(A45))</f>
        <v/>
      </c>
      <c r="I45" s="33">
        <f>IF(A45="","",YEAR(A45))</f>
        <v/>
      </c>
    </row>
    <row r="46" ht="15" customHeight="1" s="21">
      <c r="A46" s="34" t="n"/>
      <c r="B46" s="30" t="n"/>
      <c r="C46" s="30" t="n"/>
      <c r="D46" s="30" t="n"/>
      <c r="E46" s="33">
        <f>IF(B46="","",IFERROR(INDEX(Productos!$B$2:$B$501,MATCH(B46,Productos!$A$2:$A$501,0)),"¿Código?"))</f>
        <v/>
      </c>
      <c r="F46" s="32">
        <f>IF(C46&lt;&gt;"Venta","",D46*IFERROR(INDEX(Productos!$D$2:$D$501,MATCH(B46,Productos!$A$2:$A$501,0)),0))</f>
        <v/>
      </c>
      <c r="G46" s="32">
        <f>IF(C46&lt;&gt;"Venta","",D46*IFERROR(INDEX(Productos!$E$2:$E$501,MATCH(B46,Productos!$A$2:$A$501,0)),0))</f>
        <v/>
      </c>
      <c r="H46" s="33">
        <f>IF(A46="","",MONTH(A46))</f>
        <v/>
      </c>
      <c r="I46" s="33">
        <f>IF(A46="","",YEAR(A46))</f>
        <v/>
      </c>
    </row>
    <row r="47" ht="15" customHeight="1" s="21">
      <c r="A47" s="34" t="n"/>
      <c r="B47" s="30" t="n"/>
      <c r="C47" s="30" t="n"/>
      <c r="D47" s="30" t="n"/>
      <c r="E47" s="33">
        <f>IF(B47="","",IFERROR(INDEX(Productos!$B$2:$B$501,MATCH(B47,Productos!$A$2:$A$501,0)),"¿Código?"))</f>
        <v/>
      </c>
      <c r="F47" s="32">
        <f>IF(C47&lt;&gt;"Venta","",D47*IFERROR(INDEX(Productos!$D$2:$D$501,MATCH(B47,Productos!$A$2:$A$501,0)),0))</f>
        <v/>
      </c>
      <c r="G47" s="32">
        <f>IF(C47&lt;&gt;"Venta","",D47*IFERROR(INDEX(Productos!$E$2:$E$501,MATCH(B47,Productos!$A$2:$A$501,0)),0))</f>
        <v/>
      </c>
      <c r="H47" s="33">
        <f>IF(A47="","",MONTH(A47))</f>
        <v/>
      </c>
      <c r="I47" s="33">
        <f>IF(A47="","",YEAR(A47))</f>
        <v/>
      </c>
    </row>
    <row r="48" ht="15" customHeight="1" s="21">
      <c r="A48" s="34" t="n"/>
      <c r="B48" s="30" t="n"/>
      <c r="C48" s="30" t="n"/>
      <c r="D48" s="30" t="n"/>
      <c r="E48" s="33">
        <f>IF(B48="","",IFERROR(INDEX(Productos!$B$2:$B$501,MATCH(B48,Productos!$A$2:$A$501,0)),"¿Código?"))</f>
        <v/>
      </c>
      <c r="F48" s="32">
        <f>IF(C48&lt;&gt;"Venta","",D48*IFERROR(INDEX(Productos!$D$2:$D$501,MATCH(B48,Productos!$A$2:$A$501,0)),0))</f>
        <v/>
      </c>
      <c r="G48" s="32">
        <f>IF(C48&lt;&gt;"Venta","",D48*IFERROR(INDEX(Productos!$E$2:$E$501,MATCH(B48,Productos!$A$2:$A$501,0)),0))</f>
        <v/>
      </c>
      <c r="H48" s="33">
        <f>IF(A48="","",MONTH(A48))</f>
        <v/>
      </c>
      <c r="I48" s="33">
        <f>IF(A48="","",YEAR(A48))</f>
        <v/>
      </c>
    </row>
    <row r="49" ht="15" customHeight="1" s="21">
      <c r="A49" s="34" t="n"/>
      <c r="B49" s="30" t="n"/>
      <c r="C49" s="30" t="n"/>
      <c r="D49" s="30" t="n"/>
      <c r="E49" s="33">
        <f>IF(B49="","",IFERROR(INDEX(Productos!$B$2:$B$501,MATCH(B49,Productos!$A$2:$A$501,0)),"¿Código?"))</f>
        <v/>
      </c>
      <c r="F49" s="32">
        <f>IF(C49&lt;&gt;"Venta","",D49*IFERROR(INDEX(Productos!$D$2:$D$501,MATCH(B49,Productos!$A$2:$A$501,0)),0))</f>
        <v/>
      </c>
      <c r="G49" s="32">
        <f>IF(C49&lt;&gt;"Venta","",D49*IFERROR(INDEX(Productos!$E$2:$E$501,MATCH(B49,Productos!$A$2:$A$501,0)),0))</f>
        <v/>
      </c>
      <c r="H49" s="33">
        <f>IF(A49="","",MONTH(A49))</f>
        <v/>
      </c>
      <c r="I49" s="33">
        <f>IF(A49="","",YEAR(A49))</f>
        <v/>
      </c>
    </row>
    <row r="50" ht="15" customHeight="1" s="21">
      <c r="A50" s="34" t="n"/>
      <c r="B50" s="30" t="n"/>
      <c r="C50" s="30" t="n"/>
      <c r="D50" s="30" t="n"/>
      <c r="E50" s="33">
        <f>IF(B50="","",IFERROR(INDEX(Productos!$B$2:$B$501,MATCH(B50,Productos!$A$2:$A$501,0)),"¿Código?"))</f>
        <v/>
      </c>
      <c r="F50" s="32">
        <f>IF(C50&lt;&gt;"Venta","",D50*IFERROR(INDEX(Productos!$D$2:$D$501,MATCH(B50,Productos!$A$2:$A$501,0)),0))</f>
        <v/>
      </c>
      <c r="G50" s="32">
        <f>IF(C50&lt;&gt;"Venta","",D50*IFERROR(INDEX(Productos!$E$2:$E$501,MATCH(B50,Productos!$A$2:$A$501,0)),0))</f>
        <v/>
      </c>
      <c r="H50" s="33">
        <f>IF(A50="","",MONTH(A50))</f>
        <v/>
      </c>
      <c r="I50" s="33">
        <f>IF(A50="","",YEAR(A50))</f>
        <v/>
      </c>
    </row>
    <row r="51" ht="15" customHeight="1" s="21">
      <c r="A51" s="34" t="n"/>
      <c r="B51" s="30" t="n"/>
      <c r="C51" s="30" t="n"/>
      <c r="D51" s="30" t="n"/>
      <c r="E51" s="33">
        <f>IF(B51="","",IFERROR(INDEX(Productos!$B$2:$B$501,MATCH(B51,Productos!$A$2:$A$501,0)),"¿Código?"))</f>
        <v/>
      </c>
      <c r="F51" s="32">
        <f>IF(C51&lt;&gt;"Venta","",D51*IFERROR(INDEX(Productos!$D$2:$D$501,MATCH(B51,Productos!$A$2:$A$501,0)),0))</f>
        <v/>
      </c>
      <c r="G51" s="32">
        <f>IF(C51&lt;&gt;"Venta","",D51*IFERROR(INDEX(Productos!$E$2:$E$501,MATCH(B51,Productos!$A$2:$A$501,0)),0))</f>
        <v/>
      </c>
      <c r="H51" s="33">
        <f>IF(A51="","",MONTH(A51))</f>
        <v/>
      </c>
      <c r="I51" s="33">
        <f>IF(A51="","",YEAR(A51))</f>
        <v/>
      </c>
    </row>
    <row r="52" ht="15" customHeight="1" s="21">
      <c r="A52" s="34" t="n"/>
      <c r="B52" s="30" t="n"/>
      <c r="C52" s="30" t="n"/>
      <c r="D52" s="30" t="n"/>
      <c r="E52" s="33">
        <f>IF(B52="","",IFERROR(INDEX(Productos!$B$2:$B$501,MATCH(B52,Productos!$A$2:$A$501,0)),"¿Código?"))</f>
        <v/>
      </c>
      <c r="F52" s="32">
        <f>IF(C52&lt;&gt;"Venta","",D52*IFERROR(INDEX(Productos!$D$2:$D$501,MATCH(B52,Productos!$A$2:$A$501,0)),0))</f>
        <v/>
      </c>
      <c r="G52" s="32">
        <f>IF(C52&lt;&gt;"Venta","",D52*IFERROR(INDEX(Productos!$E$2:$E$501,MATCH(B52,Productos!$A$2:$A$501,0)),0))</f>
        <v/>
      </c>
      <c r="H52" s="33">
        <f>IF(A52="","",MONTH(A52))</f>
        <v/>
      </c>
      <c r="I52" s="33">
        <f>IF(A52="","",YEAR(A52))</f>
        <v/>
      </c>
    </row>
    <row r="53" ht="15" customHeight="1" s="21">
      <c r="A53" s="34" t="n"/>
      <c r="B53" s="30" t="n"/>
      <c r="C53" s="30" t="n"/>
      <c r="D53" s="30" t="n"/>
      <c r="E53" s="33">
        <f>IF(B53="","",IFERROR(INDEX(Productos!$B$2:$B$501,MATCH(B53,Productos!$A$2:$A$501,0)),"¿Código?"))</f>
        <v/>
      </c>
      <c r="F53" s="32">
        <f>IF(C53&lt;&gt;"Venta","",D53*IFERROR(INDEX(Productos!$D$2:$D$501,MATCH(B53,Productos!$A$2:$A$501,0)),0))</f>
        <v/>
      </c>
      <c r="G53" s="32">
        <f>IF(C53&lt;&gt;"Venta","",D53*IFERROR(INDEX(Productos!$E$2:$E$501,MATCH(B53,Productos!$A$2:$A$501,0)),0))</f>
        <v/>
      </c>
      <c r="H53" s="33">
        <f>IF(A53="","",MONTH(A53))</f>
        <v/>
      </c>
      <c r="I53" s="33">
        <f>IF(A53="","",YEAR(A53))</f>
        <v/>
      </c>
    </row>
    <row r="54" ht="15" customHeight="1" s="21">
      <c r="A54" s="34" t="n"/>
      <c r="B54" s="30" t="n"/>
      <c r="C54" s="30" t="n"/>
      <c r="D54" s="30" t="n"/>
      <c r="E54" s="33">
        <f>IF(B54="","",IFERROR(INDEX(Productos!$B$2:$B$501,MATCH(B54,Productos!$A$2:$A$501,0)),"¿Código?"))</f>
        <v/>
      </c>
      <c r="F54" s="32">
        <f>IF(C54&lt;&gt;"Venta","",D54*IFERROR(INDEX(Productos!$D$2:$D$501,MATCH(B54,Productos!$A$2:$A$501,0)),0))</f>
        <v/>
      </c>
      <c r="G54" s="32">
        <f>IF(C54&lt;&gt;"Venta","",D54*IFERROR(INDEX(Productos!$E$2:$E$501,MATCH(B54,Productos!$A$2:$A$501,0)),0))</f>
        <v/>
      </c>
      <c r="H54" s="33">
        <f>IF(A54="","",MONTH(A54))</f>
        <v/>
      </c>
      <c r="I54" s="33">
        <f>IF(A54="","",YEAR(A54))</f>
        <v/>
      </c>
    </row>
    <row r="55" ht="15" customHeight="1" s="21">
      <c r="A55" s="34" t="n"/>
      <c r="B55" s="30" t="n"/>
      <c r="C55" s="30" t="n"/>
      <c r="D55" s="30" t="n"/>
      <c r="E55" s="33">
        <f>IF(B55="","",IFERROR(INDEX(Productos!$B$2:$B$501,MATCH(B55,Productos!$A$2:$A$501,0)),"¿Código?"))</f>
        <v/>
      </c>
      <c r="F55" s="32">
        <f>IF(C55&lt;&gt;"Venta","",D55*IFERROR(INDEX(Productos!$D$2:$D$501,MATCH(B55,Productos!$A$2:$A$501,0)),0))</f>
        <v/>
      </c>
      <c r="G55" s="32">
        <f>IF(C55&lt;&gt;"Venta","",D55*IFERROR(INDEX(Productos!$E$2:$E$501,MATCH(B55,Productos!$A$2:$A$501,0)),0))</f>
        <v/>
      </c>
      <c r="H55" s="33">
        <f>IF(A55="","",MONTH(A55))</f>
        <v/>
      </c>
      <c r="I55" s="33">
        <f>IF(A55="","",YEAR(A55))</f>
        <v/>
      </c>
    </row>
    <row r="56" ht="15" customHeight="1" s="21">
      <c r="A56" s="34" t="n"/>
      <c r="B56" s="30" t="n"/>
      <c r="C56" s="30" t="n"/>
      <c r="D56" s="30" t="n"/>
      <c r="E56" s="33">
        <f>IF(B56="","",IFERROR(INDEX(Productos!$B$2:$B$501,MATCH(B56,Productos!$A$2:$A$501,0)),"¿Código?"))</f>
        <v/>
      </c>
      <c r="F56" s="32">
        <f>IF(C56&lt;&gt;"Venta","",D56*IFERROR(INDEX(Productos!$D$2:$D$501,MATCH(B56,Productos!$A$2:$A$501,0)),0))</f>
        <v/>
      </c>
      <c r="G56" s="32">
        <f>IF(C56&lt;&gt;"Venta","",D56*IFERROR(INDEX(Productos!$E$2:$E$501,MATCH(B56,Productos!$A$2:$A$501,0)),0))</f>
        <v/>
      </c>
      <c r="H56" s="33">
        <f>IF(A56="","",MONTH(A56))</f>
        <v/>
      </c>
      <c r="I56" s="33">
        <f>IF(A56="","",YEAR(A56))</f>
        <v/>
      </c>
    </row>
    <row r="57" ht="15" customHeight="1" s="21">
      <c r="A57" s="34" t="n"/>
      <c r="B57" s="30" t="n"/>
      <c r="C57" s="30" t="n"/>
      <c r="D57" s="30" t="n"/>
      <c r="E57" s="33">
        <f>IF(B57="","",IFERROR(INDEX(Productos!$B$2:$B$501,MATCH(B57,Productos!$A$2:$A$501,0)),"¿Código?"))</f>
        <v/>
      </c>
      <c r="F57" s="32">
        <f>IF(C57&lt;&gt;"Venta","",D57*IFERROR(INDEX(Productos!$D$2:$D$501,MATCH(B57,Productos!$A$2:$A$501,0)),0))</f>
        <v/>
      </c>
      <c r="G57" s="32">
        <f>IF(C57&lt;&gt;"Venta","",D57*IFERROR(INDEX(Productos!$E$2:$E$501,MATCH(B57,Productos!$A$2:$A$501,0)),0))</f>
        <v/>
      </c>
      <c r="H57" s="33">
        <f>IF(A57="","",MONTH(A57))</f>
        <v/>
      </c>
      <c r="I57" s="33">
        <f>IF(A57="","",YEAR(A57))</f>
        <v/>
      </c>
    </row>
    <row r="58" ht="15" customHeight="1" s="21">
      <c r="A58" s="34" t="n"/>
      <c r="B58" s="30" t="n"/>
      <c r="C58" s="30" t="n"/>
      <c r="D58" s="30" t="n"/>
      <c r="E58" s="33">
        <f>IF(B58="","",IFERROR(INDEX(Productos!$B$2:$B$501,MATCH(B58,Productos!$A$2:$A$501,0)),"¿Código?"))</f>
        <v/>
      </c>
      <c r="F58" s="32">
        <f>IF(C58&lt;&gt;"Venta","",D58*IFERROR(INDEX(Productos!$D$2:$D$501,MATCH(B58,Productos!$A$2:$A$501,0)),0))</f>
        <v/>
      </c>
      <c r="G58" s="32">
        <f>IF(C58&lt;&gt;"Venta","",D58*IFERROR(INDEX(Productos!$E$2:$E$501,MATCH(B58,Productos!$A$2:$A$501,0)),0))</f>
        <v/>
      </c>
      <c r="H58" s="33">
        <f>IF(A58="","",MONTH(A58))</f>
        <v/>
      </c>
      <c r="I58" s="33">
        <f>IF(A58="","",YEAR(A58))</f>
        <v/>
      </c>
    </row>
    <row r="59" ht="15" customHeight="1" s="21">
      <c r="A59" s="34" t="n"/>
      <c r="B59" s="30" t="n"/>
      <c r="C59" s="30" t="n"/>
      <c r="D59" s="30" t="n"/>
      <c r="E59" s="33">
        <f>IF(B59="","",IFERROR(INDEX(Productos!$B$2:$B$501,MATCH(B59,Productos!$A$2:$A$501,0)),"¿Código?"))</f>
        <v/>
      </c>
      <c r="F59" s="32">
        <f>IF(C59&lt;&gt;"Venta","",D59*IFERROR(INDEX(Productos!$D$2:$D$501,MATCH(B59,Productos!$A$2:$A$501,0)),0))</f>
        <v/>
      </c>
      <c r="G59" s="32">
        <f>IF(C59&lt;&gt;"Venta","",D59*IFERROR(INDEX(Productos!$E$2:$E$501,MATCH(B59,Productos!$A$2:$A$501,0)),0))</f>
        <v/>
      </c>
      <c r="H59" s="33">
        <f>IF(A59="","",MONTH(A59))</f>
        <v/>
      </c>
      <c r="I59" s="33">
        <f>IF(A59="","",YEAR(A59))</f>
        <v/>
      </c>
    </row>
    <row r="60" ht="15" customHeight="1" s="21">
      <c r="A60" s="34" t="n"/>
      <c r="B60" s="30" t="n"/>
      <c r="C60" s="30" t="n"/>
      <c r="D60" s="30" t="n"/>
      <c r="E60" s="33">
        <f>IF(B60="","",IFERROR(INDEX(Productos!$B$2:$B$501,MATCH(B60,Productos!$A$2:$A$501,0)),"¿Código?"))</f>
        <v/>
      </c>
      <c r="F60" s="32">
        <f>IF(C60&lt;&gt;"Venta","",D60*IFERROR(INDEX(Productos!$D$2:$D$501,MATCH(B60,Productos!$A$2:$A$501,0)),0))</f>
        <v/>
      </c>
      <c r="G60" s="32">
        <f>IF(C60&lt;&gt;"Venta","",D60*IFERROR(INDEX(Productos!$E$2:$E$501,MATCH(B60,Productos!$A$2:$A$501,0)),0))</f>
        <v/>
      </c>
      <c r="H60" s="33">
        <f>IF(A60="","",MONTH(A60))</f>
        <v/>
      </c>
      <c r="I60" s="33">
        <f>IF(A60="","",YEAR(A60))</f>
        <v/>
      </c>
    </row>
    <row r="61" ht="15" customHeight="1" s="21">
      <c r="A61" s="34" t="n"/>
      <c r="B61" s="30" t="n"/>
      <c r="C61" s="30" t="n"/>
      <c r="D61" s="30" t="n"/>
      <c r="E61" s="33">
        <f>IF(B61="","",IFERROR(INDEX(Productos!$B$2:$B$501,MATCH(B61,Productos!$A$2:$A$501,0)),"¿Código?"))</f>
        <v/>
      </c>
      <c r="F61" s="32">
        <f>IF(C61&lt;&gt;"Venta","",D61*IFERROR(INDEX(Productos!$D$2:$D$501,MATCH(B61,Productos!$A$2:$A$501,0)),0))</f>
        <v/>
      </c>
      <c r="G61" s="32">
        <f>IF(C61&lt;&gt;"Venta","",D61*IFERROR(INDEX(Productos!$E$2:$E$501,MATCH(B61,Productos!$A$2:$A$501,0)),0))</f>
        <v/>
      </c>
      <c r="H61" s="33">
        <f>IF(A61="","",MONTH(A61))</f>
        <v/>
      </c>
      <c r="I61" s="33">
        <f>IF(A61="","",YEAR(A61))</f>
        <v/>
      </c>
    </row>
    <row r="62" ht="15" customHeight="1" s="21">
      <c r="A62" s="34" t="n"/>
      <c r="B62" s="30" t="n"/>
      <c r="C62" s="30" t="n"/>
      <c r="D62" s="30" t="n"/>
      <c r="E62" s="33">
        <f>IF(B62="","",IFERROR(INDEX(Productos!$B$2:$B$501,MATCH(B62,Productos!$A$2:$A$501,0)),"¿Código?"))</f>
        <v/>
      </c>
      <c r="F62" s="32">
        <f>IF(C62&lt;&gt;"Venta","",D62*IFERROR(INDEX(Productos!$D$2:$D$501,MATCH(B62,Productos!$A$2:$A$501,0)),0))</f>
        <v/>
      </c>
      <c r="G62" s="32">
        <f>IF(C62&lt;&gt;"Venta","",D62*IFERROR(INDEX(Productos!$E$2:$E$501,MATCH(B62,Productos!$A$2:$A$501,0)),0))</f>
        <v/>
      </c>
      <c r="H62" s="33">
        <f>IF(A62="","",MONTH(A62))</f>
        <v/>
      </c>
      <c r="I62" s="33">
        <f>IF(A62="","",YEAR(A62))</f>
        <v/>
      </c>
    </row>
    <row r="63" ht="15" customHeight="1" s="21">
      <c r="A63" s="34" t="n"/>
      <c r="B63" s="30" t="n"/>
      <c r="C63" s="30" t="n"/>
      <c r="D63" s="30" t="n"/>
      <c r="E63" s="33">
        <f>IF(B63="","",IFERROR(INDEX(Productos!$B$2:$B$501,MATCH(B63,Productos!$A$2:$A$501,0)),"¿Código?"))</f>
        <v/>
      </c>
      <c r="F63" s="32">
        <f>IF(C63&lt;&gt;"Venta","",D63*IFERROR(INDEX(Productos!$D$2:$D$501,MATCH(B63,Productos!$A$2:$A$501,0)),0))</f>
        <v/>
      </c>
      <c r="G63" s="32">
        <f>IF(C63&lt;&gt;"Venta","",D63*IFERROR(INDEX(Productos!$E$2:$E$501,MATCH(B63,Productos!$A$2:$A$501,0)),0))</f>
        <v/>
      </c>
      <c r="H63" s="33">
        <f>IF(A63="","",MONTH(A63))</f>
        <v/>
      </c>
      <c r="I63" s="33">
        <f>IF(A63="","",YEAR(A63))</f>
        <v/>
      </c>
    </row>
    <row r="64" ht="15" customHeight="1" s="21">
      <c r="A64" s="34" t="n"/>
      <c r="B64" s="30" t="n"/>
      <c r="C64" s="30" t="n"/>
      <c r="D64" s="30" t="n"/>
      <c r="E64" s="33">
        <f>IF(B64="","",IFERROR(INDEX(Productos!$B$2:$B$501,MATCH(B64,Productos!$A$2:$A$501,0)),"¿Código?"))</f>
        <v/>
      </c>
      <c r="F64" s="32">
        <f>IF(C64&lt;&gt;"Venta","",D64*IFERROR(INDEX(Productos!$D$2:$D$501,MATCH(B64,Productos!$A$2:$A$501,0)),0))</f>
        <v/>
      </c>
      <c r="G64" s="32">
        <f>IF(C64&lt;&gt;"Venta","",D64*IFERROR(INDEX(Productos!$E$2:$E$501,MATCH(B64,Productos!$A$2:$A$501,0)),0))</f>
        <v/>
      </c>
      <c r="H64" s="33">
        <f>IF(A64="","",MONTH(A64))</f>
        <v/>
      </c>
      <c r="I64" s="33">
        <f>IF(A64="","",YEAR(A64))</f>
        <v/>
      </c>
    </row>
    <row r="65" ht="15" customHeight="1" s="21">
      <c r="A65" s="34" t="n"/>
      <c r="B65" s="30" t="n"/>
      <c r="C65" s="30" t="n"/>
      <c r="D65" s="30" t="n"/>
      <c r="E65" s="33">
        <f>IF(B65="","",IFERROR(INDEX(Productos!$B$2:$B$501,MATCH(B65,Productos!$A$2:$A$501,0)),"¿Código?"))</f>
        <v/>
      </c>
      <c r="F65" s="32">
        <f>IF(C65&lt;&gt;"Venta","",D65*IFERROR(INDEX(Productos!$D$2:$D$501,MATCH(B65,Productos!$A$2:$A$501,0)),0))</f>
        <v/>
      </c>
      <c r="G65" s="32">
        <f>IF(C65&lt;&gt;"Venta","",D65*IFERROR(INDEX(Productos!$E$2:$E$501,MATCH(B65,Productos!$A$2:$A$501,0)),0))</f>
        <v/>
      </c>
      <c r="H65" s="33">
        <f>IF(A65="","",MONTH(A65))</f>
        <v/>
      </c>
      <c r="I65" s="33">
        <f>IF(A65="","",YEAR(A65))</f>
        <v/>
      </c>
    </row>
    <row r="66" ht="15" customHeight="1" s="21">
      <c r="A66" s="34" t="n"/>
      <c r="B66" s="30" t="n"/>
      <c r="C66" s="30" t="n"/>
      <c r="D66" s="30" t="n"/>
      <c r="E66" s="33">
        <f>IF(B66="","",IFERROR(INDEX(Productos!$B$2:$B$501,MATCH(B66,Productos!$A$2:$A$501,0)),"¿Código?"))</f>
        <v/>
      </c>
      <c r="F66" s="32">
        <f>IF(C66&lt;&gt;"Venta","",D66*IFERROR(INDEX(Productos!$D$2:$D$501,MATCH(B66,Productos!$A$2:$A$501,0)),0))</f>
        <v/>
      </c>
      <c r="G66" s="32">
        <f>IF(C66&lt;&gt;"Venta","",D66*IFERROR(INDEX(Productos!$E$2:$E$501,MATCH(B66,Productos!$A$2:$A$501,0)),0))</f>
        <v/>
      </c>
      <c r="H66" s="33">
        <f>IF(A66="","",MONTH(A66))</f>
        <v/>
      </c>
      <c r="I66" s="33">
        <f>IF(A66="","",YEAR(A66))</f>
        <v/>
      </c>
    </row>
    <row r="67" ht="15" customHeight="1" s="21">
      <c r="A67" s="34" t="n"/>
      <c r="B67" s="30" t="n"/>
      <c r="C67" s="30" t="n"/>
      <c r="D67" s="30" t="n"/>
      <c r="E67" s="33">
        <f>IF(B67="","",IFERROR(INDEX(Productos!$B$2:$B$501,MATCH(B67,Productos!$A$2:$A$501,0)),"¿Código?"))</f>
        <v/>
      </c>
      <c r="F67" s="32">
        <f>IF(C67&lt;&gt;"Venta","",D67*IFERROR(INDEX(Productos!$D$2:$D$501,MATCH(B67,Productos!$A$2:$A$501,0)),0))</f>
        <v/>
      </c>
      <c r="G67" s="32">
        <f>IF(C67&lt;&gt;"Venta","",D67*IFERROR(INDEX(Productos!$E$2:$E$501,MATCH(B67,Productos!$A$2:$A$501,0)),0))</f>
        <v/>
      </c>
      <c r="H67" s="33">
        <f>IF(A67="","",MONTH(A67))</f>
        <v/>
      </c>
      <c r="I67" s="33">
        <f>IF(A67="","",YEAR(A67))</f>
        <v/>
      </c>
    </row>
    <row r="68" ht="15" customHeight="1" s="21">
      <c r="A68" s="34" t="n"/>
      <c r="B68" s="30" t="n"/>
      <c r="C68" s="30" t="n"/>
      <c r="D68" s="30" t="n"/>
      <c r="E68" s="33">
        <f>IF(B68="","",IFERROR(INDEX(Productos!$B$2:$B$501,MATCH(B68,Productos!$A$2:$A$501,0)),"¿Código?"))</f>
        <v/>
      </c>
      <c r="F68" s="32">
        <f>IF(C68&lt;&gt;"Venta","",D68*IFERROR(INDEX(Productos!$D$2:$D$501,MATCH(B68,Productos!$A$2:$A$501,0)),0))</f>
        <v/>
      </c>
      <c r="G68" s="32">
        <f>IF(C68&lt;&gt;"Venta","",D68*IFERROR(INDEX(Productos!$E$2:$E$501,MATCH(B68,Productos!$A$2:$A$501,0)),0))</f>
        <v/>
      </c>
      <c r="H68" s="33">
        <f>IF(A68="","",MONTH(A68))</f>
        <v/>
      </c>
      <c r="I68" s="33">
        <f>IF(A68="","",YEAR(A68))</f>
        <v/>
      </c>
    </row>
    <row r="69" ht="15" customHeight="1" s="21">
      <c r="A69" s="34" t="n"/>
      <c r="B69" s="30" t="n"/>
      <c r="C69" s="30" t="n"/>
      <c r="D69" s="30" t="n"/>
      <c r="E69" s="33">
        <f>IF(B69="","",IFERROR(INDEX(Productos!$B$2:$B$501,MATCH(B69,Productos!$A$2:$A$501,0)),"¿Código?"))</f>
        <v/>
      </c>
      <c r="F69" s="32">
        <f>IF(C69&lt;&gt;"Venta","",D69*IFERROR(INDEX(Productos!$D$2:$D$501,MATCH(B69,Productos!$A$2:$A$501,0)),0))</f>
        <v/>
      </c>
      <c r="G69" s="32">
        <f>IF(C69&lt;&gt;"Venta","",D69*IFERROR(INDEX(Productos!$E$2:$E$501,MATCH(B69,Productos!$A$2:$A$501,0)),0))</f>
        <v/>
      </c>
      <c r="H69" s="33">
        <f>IF(A69="","",MONTH(A69))</f>
        <v/>
      </c>
      <c r="I69" s="33">
        <f>IF(A69="","",YEAR(A69))</f>
        <v/>
      </c>
    </row>
    <row r="70" ht="15" customHeight="1" s="21">
      <c r="A70" s="34" t="n"/>
      <c r="B70" s="30" t="n"/>
      <c r="C70" s="30" t="n"/>
      <c r="D70" s="30" t="n"/>
      <c r="E70" s="33">
        <f>IF(B70="","",IFERROR(INDEX(Productos!$B$2:$B$501,MATCH(B70,Productos!$A$2:$A$501,0)),"¿Código?"))</f>
        <v/>
      </c>
      <c r="F70" s="32">
        <f>IF(C70&lt;&gt;"Venta","",D70*IFERROR(INDEX(Productos!$D$2:$D$501,MATCH(B70,Productos!$A$2:$A$501,0)),0))</f>
        <v/>
      </c>
      <c r="G70" s="32">
        <f>IF(C70&lt;&gt;"Venta","",D70*IFERROR(INDEX(Productos!$E$2:$E$501,MATCH(B70,Productos!$A$2:$A$501,0)),0))</f>
        <v/>
      </c>
      <c r="H70" s="33">
        <f>IF(A70="","",MONTH(A70))</f>
        <v/>
      </c>
      <c r="I70" s="33">
        <f>IF(A70="","",YEAR(A70))</f>
        <v/>
      </c>
    </row>
    <row r="71" ht="15" customHeight="1" s="21">
      <c r="A71" s="34" t="n"/>
      <c r="B71" s="30" t="n"/>
      <c r="C71" s="30" t="n"/>
      <c r="D71" s="30" t="n"/>
      <c r="E71" s="33">
        <f>IF(B71="","",IFERROR(INDEX(Productos!$B$2:$B$501,MATCH(B71,Productos!$A$2:$A$501,0)),"¿Código?"))</f>
        <v/>
      </c>
      <c r="F71" s="32">
        <f>IF(C71&lt;&gt;"Venta","",D71*IFERROR(INDEX(Productos!$D$2:$D$501,MATCH(B71,Productos!$A$2:$A$501,0)),0))</f>
        <v/>
      </c>
      <c r="G71" s="32">
        <f>IF(C71&lt;&gt;"Venta","",D71*IFERROR(INDEX(Productos!$E$2:$E$501,MATCH(B71,Productos!$A$2:$A$501,0)),0))</f>
        <v/>
      </c>
      <c r="H71" s="33">
        <f>IF(A71="","",MONTH(A71))</f>
        <v/>
      </c>
      <c r="I71" s="33">
        <f>IF(A71="","",YEAR(A71))</f>
        <v/>
      </c>
    </row>
    <row r="72" ht="15" customHeight="1" s="21">
      <c r="A72" s="34" t="n"/>
      <c r="B72" s="30" t="n"/>
      <c r="C72" s="30" t="n"/>
      <c r="D72" s="30" t="n"/>
      <c r="E72" s="33">
        <f>IF(B72="","",IFERROR(INDEX(Productos!$B$2:$B$501,MATCH(B72,Productos!$A$2:$A$501,0)),"¿Código?"))</f>
        <v/>
      </c>
      <c r="F72" s="32">
        <f>IF(C72&lt;&gt;"Venta","",D72*IFERROR(INDEX(Productos!$D$2:$D$501,MATCH(B72,Productos!$A$2:$A$501,0)),0))</f>
        <v/>
      </c>
      <c r="G72" s="32">
        <f>IF(C72&lt;&gt;"Venta","",D72*IFERROR(INDEX(Productos!$E$2:$E$501,MATCH(B72,Productos!$A$2:$A$501,0)),0))</f>
        <v/>
      </c>
      <c r="H72" s="33">
        <f>IF(A72="","",MONTH(A72))</f>
        <v/>
      </c>
      <c r="I72" s="33">
        <f>IF(A72="","",YEAR(A72))</f>
        <v/>
      </c>
    </row>
    <row r="73" ht="15" customHeight="1" s="21">
      <c r="A73" s="34" t="n"/>
      <c r="B73" s="30" t="n"/>
      <c r="C73" s="30" t="n"/>
      <c r="D73" s="30" t="n"/>
      <c r="E73" s="33">
        <f>IF(B73="","",IFERROR(INDEX(Productos!$B$2:$B$501,MATCH(B73,Productos!$A$2:$A$501,0)),"¿Código?"))</f>
        <v/>
      </c>
      <c r="F73" s="32">
        <f>IF(C73&lt;&gt;"Venta","",D73*IFERROR(INDEX(Productos!$D$2:$D$501,MATCH(B73,Productos!$A$2:$A$501,0)),0))</f>
        <v/>
      </c>
      <c r="G73" s="32">
        <f>IF(C73&lt;&gt;"Venta","",D73*IFERROR(INDEX(Productos!$E$2:$E$501,MATCH(B73,Productos!$A$2:$A$501,0)),0))</f>
        <v/>
      </c>
      <c r="H73" s="33">
        <f>IF(A73="","",MONTH(A73))</f>
        <v/>
      </c>
      <c r="I73" s="33">
        <f>IF(A73="","",YEAR(A73))</f>
        <v/>
      </c>
    </row>
    <row r="74" ht="15" customHeight="1" s="21">
      <c r="A74" s="34" t="n"/>
      <c r="B74" s="30" t="n"/>
      <c r="C74" s="30" t="n"/>
      <c r="D74" s="30" t="n"/>
      <c r="E74" s="33">
        <f>IF(B74="","",IFERROR(INDEX(Productos!$B$2:$B$501,MATCH(B74,Productos!$A$2:$A$501,0)),"¿Código?"))</f>
        <v/>
      </c>
      <c r="F74" s="32">
        <f>IF(C74&lt;&gt;"Venta","",D74*IFERROR(INDEX(Productos!$D$2:$D$501,MATCH(B74,Productos!$A$2:$A$501,0)),0))</f>
        <v/>
      </c>
      <c r="G74" s="32">
        <f>IF(C74&lt;&gt;"Venta","",D74*IFERROR(INDEX(Productos!$E$2:$E$501,MATCH(B74,Productos!$A$2:$A$501,0)),0))</f>
        <v/>
      </c>
      <c r="H74" s="33">
        <f>IF(A74="","",MONTH(A74))</f>
        <v/>
      </c>
      <c r="I74" s="33">
        <f>IF(A74="","",YEAR(A74))</f>
        <v/>
      </c>
    </row>
    <row r="75" ht="15" customHeight="1" s="21">
      <c r="A75" s="34" t="n"/>
      <c r="B75" s="30" t="n"/>
      <c r="C75" s="30" t="n"/>
      <c r="D75" s="30" t="n"/>
      <c r="E75" s="33">
        <f>IF(B75="","",IFERROR(INDEX(Productos!$B$2:$B$501,MATCH(B75,Productos!$A$2:$A$501,0)),"¿Código?"))</f>
        <v/>
      </c>
      <c r="F75" s="32">
        <f>IF(C75&lt;&gt;"Venta","",D75*IFERROR(INDEX(Productos!$D$2:$D$501,MATCH(B75,Productos!$A$2:$A$501,0)),0))</f>
        <v/>
      </c>
      <c r="G75" s="32">
        <f>IF(C75&lt;&gt;"Venta","",D75*IFERROR(INDEX(Productos!$E$2:$E$501,MATCH(B75,Productos!$A$2:$A$501,0)),0))</f>
        <v/>
      </c>
      <c r="H75" s="33">
        <f>IF(A75="","",MONTH(A75))</f>
        <v/>
      </c>
      <c r="I75" s="33">
        <f>IF(A75="","",YEAR(A75))</f>
        <v/>
      </c>
    </row>
    <row r="76" ht="15" customHeight="1" s="21">
      <c r="A76" s="34" t="n"/>
      <c r="B76" s="30" t="n"/>
      <c r="C76" s="30" t="n"/>
      <c r="D76" s="30" t="n"/>
      <c r="E76" s="33">
        <f>IF(B76="","",IFERROR(INDEX(Productos!$B$2:$B$501,MATCH(B76,Productos!$A$2:$A$501,0)),"¿Código?"))</f>
        <v/>
      </c>
      <c r="F76" s="32">
        <f>IF(C76&lt;&gt;"Venta","",D76*IFERROR(INDEX(Productos!$D$2:$D$501,MATCH(B76,Productos!$A$2:$A$501,0)),0))</f>
        <v/>
      </c>
      <c r="G76" s="32">
        <f>IF(C76&lt;&gt;"Venta","",D76*IFERROR(INDEX(Productos!$E$2:$E$501,MATCH(B76,Productos!$A$2:$A$501,0)),0))</f>
        <v/>
      </c>
      <c r="H76" s="33">
        <f>IF(A76="","",MONTH(A76))</f>
        <v/>
      </c>
      <c r="I76" s="33">
        <f>IF(A76="","",YEAR(A76))</f>
        <v/>
      </c>
    </row>
    <row r="77" ht="15" customHeight="1" s="21">
      <c r="A77" s="34" t="n"/>
      <c r="B77" s="30" t="n"/>
      <c r="C77" s="30" t="n"/>
      <c r="D77" s="30" t="n"/>
      <c r="E77" s="33">
        <f>IF(B77="","",IFERROR(INDEX(Productos!$B$2:$B$501,MATCH(B77,Productos!$A$2:$A$501,0)),"¿Código?"))</f>
        <v/>
      </c>
      <c r="F77" s="32">
        <f>IF(C77&lt;&gt;"Venta","",D77*IFERROR(INDEX(Productos!$D$2:$D$501,MATCH(B77,Productos!$A$2:$A$501,0)),0))</f>
        <v/>
      </c>
      <c r="G77" s="32">
        <f>IF(C77&lt;&gt;"Venta","",D77*IFERROR(INDEX(Productos!$E$2:$E$501,MATCH(B77,Productos!$A$2:$A$501,0)),0))</f>
        <v/>
      </c>
      <c r="H77" s="33">
        <f>IF(A77="","",MONTH(A77))</f>
        <v/>
      </c>
      <c r="I77" s="33">
        <f>IF(A77="","",YEAR(A77))</f>
        <v/>
      </c>
    </row>
    <row r="78" ht="15" customHeight="1" s="21">
      <c r="A78" s="34" t="n"/>
      <c r="B78" s="30" t="n"/>
      <c r="C78" s="30" t="n"/>
      <c r="D78" s="30" t="n"/>
      <c r="E78" s="33">
        <f>IF(B78="","",IFERROR(INDEX(Productos!$B$2:$B$501,MATCH(B78,Productos!$A$2:$A$501,0)),"¿Código?"))</f>
        <v/>
      </c>
      <c r="F78" s="32">
        <f>IF(C78&lt;&gt;"Venta","",D78*IFERROR(INDEX(Productos!$D$2:$D$501,MATCH(B78,Productos!$A$2:$A$501,0)),0))</f>
        <v/>
      </c>
      <c r="G78" s="32">
        <f>IF(C78&lt;&gt;"Venta","",D78*IFERROR(INDEX(Productos!$E$2:$E$501,MATCH(B78,Productos!$A$2:$A$501,0)),0))</f>
        <v/>
      </c>
      <c r="H78" s="33">
        <f>IF(A78="","",MONTH(A78))</f>
        <v/>
      </c>
      <c r="I78" s="33">
        <f>IF(A78="","",YEAR(A78))</f>
        <v/>
      </c>
    </row>
    <row r="79" ht="15" customHeight="1" s="21">
      <c r="A79" s="34" t="n"/>
      <c r="B79" s="30" t="n"/>
      <c r="C79" s="30" t="n"/>
      <c r="D79" s="30" t="n"/>
      <c r="E79" s="33">
        <f>IF(B79="","",IFERROR(INDEX(Productos!$B$2:$B$501,MATCH(B79,Productos!$A$2:$A$501,0)),"¿Código?"))</f>
        <v/>
      </c>
      <c r="F79" s="32">
        <f>IF(C79&lt;&gt;"Venta","",D79*IFERROR(INDEX(Productos!$D$2:$D$501,MATCH(B79,Productos!$A$2:$A$501,0)),0))</f>
        <v/>
      </c>
      <c r="G79" s="32">
        <f>IF(C79&lt;&gt;"Venta","",D79*IFERROR(INDEX(Productos!$E$2:$E$501,MATCH(B79,Productos!$A$2:$A$501,0)),0))</f>
        <v/>
      </c>
      <c r="H79" s="33">
        <f>IF(A79="","",MONTH(A79))</f>
        <v/>
      </c>
      <c r="I79" s="33">
        <f>IF(A79="","",YEAR(A79))</f>
        <v/>
      </c>
    </row>
    <row r="80" ht="15" customHeight="1" s="21">
      <c r="A80" s="34" t="n"/>
      <c r="B80" s="30" t="n"/>
      <c r="C80" s="30" t="n"/>
      <c r="D80" s="30" t="n"/>
      <c r="E80" s="33">
        <f>IF(B80="","",IFERROR(INDEX(Productos!$B$2:$B$501,MATCH(B80,Productos!$A$2:$A$501,0)),"¿Código?"))</f>
        <v/>
      </c>
      <c r="F80" s="32">
        <f>IF(C80&lt;&gt;"Venta","",D80*IFERROR(INDEX(Productos!$D$2:$D$501,MATCH(B80,Productos!$A$2:$A$501,0)),0))</f>
        <v/>
      </c>
      <c r="G80" s="32">
        <f>IF(C80&lt;&gt;"Venta","",D80*IFERROR(INDEX(Productos!$E$2:$E$501,MATCH(B80,Productos!$A$2:$A$501,0)),0))</f>
        <v/>
      </c>
      <c r="H80" s="33">
        <f>IF(A80="","",MONTH(A80))</f>
        <v/>
      </c>
      <c r="I80" s="33">
        <f>IF(A80="","",YEAR(A80))</f>
        <v/>
      </c>
    </row>
    <row r="81" ht="15" customHeight="1" s="21">
      <c r="A81" s="34" t="n"/>
      <c r="B81" s="30" t="n"/>
      <c r="C81" s="30" t="n"/>
      <c r="D81" s="30" t="n"/>
      <c r="E81" s="33">
        <f>IF(B81="","",IFERROR(INDEX(Productos!$B$2:$B$501,MATCH(B81,Productos!$A$2:$A$501,0)),"¿Código?"))</f>
        <v/>
      </c>
      <c r="F81" s="32">
        <f>IF(C81&lt;&gt;"Venta","",D81*IFERROR(INDEX(Productos!$D$2:$D$501,MATCH(B81,Productos!$A$2:$A$501,0)),0))</f>
        <v/>
      </c>
      <c r="G81" s="32">
        <f>IF(C81&lt;&gt;"Venta","",D81*IFERROR(INDEX(Productos!$E$2:$E$501,MATCH(B81,Productos!$A$2:$A$501,0)),0))</f>
        <v/>
      </c>
      <c r="H81" s="33">
        <f>IF(A81="","",MONTH(A81))</f>
        <v/>
      </c>
      <c r="I81" s="33">
        <f>IF(A81="","",YEAR(A81))</f>
        <v/>
      </c>
    </row>
    <row r="82" ht="15" customHeight="1" s="21">
      <c r="A82" s="34" t="n"/>
      <c r="B82" s="30" t="n"/>
      <c r="C82" s="30" t="n"/>
      <c r="D82" s="30" t="n"/>
      <c r="E82" s="33">
        <f>IF(B82="","",IFERROR(INDEX(Productos!$B$2:$B$501,MATCH(B82,Productos!$A$2:$A$501,0)),"¿Código?"))</f>
        <v/>
      </c>
      <c r="F82" s="32">
        <f>IF(C82&lt;&gt;"Venta","",D82*IFERROR(INDEX(Productos!$D$2:$D$501,MATCH(B82,Productos!$A$2:$A$501,0)),0))</f>
        <v/>
      </c>
      <c r="G82" s="32">
        <f>IF(C82&lt;&gt;"Venta","",D82*IFERROR(INDEX(Productos!$E$2:$E$501,MATCH(B82,Productos!$A$2:$A$501,0)),0))</f>
        <v/>
      </c>
      <c r="H82" s="33">
        <f>IF(A82="","",MONTH(A82))</f>
        <v/>
      </c>
      <c r="I82" s="33">
        <f>IF(A82="","",YEAR(A82))</f>
        <v/>
      </c>
    </row>
    <row r="83" ht="15" customHeight="1" s="21">
      <c r="A83" s="34" t="n"/>
      <c r="B83" s="30" t="n"/>
      <c r="C83" s="30" t="n"/>
      <c r="D83" s="30" t="n"/>
      <c r="E83" s="33">
        <f>IF(B83="","",IFERROR(INDEX(Productos!$B$2:$B$501,MATCH(B83,Productos!$A$2:$A$501,0)),"¿Código?"))</f>
        <v/>
      </c>
      <c r="F83" s="32">
        <f>IF(C83&lt;&gt;"Venta","",D83*IFERROR(INDEX(Productos!$D$2:$D$501,MATCH(B83,Productos!$A$2:$A$501,0)),0))</f>
        <v/>
      </c>
      <c r="G83" s="32">
        <f>IF(C83&lt;&gt;"Venta","",D83*IFERROR(INDEX(Productos!$E$2:$E$501,MATCH(B83,Productos!$A$2:$A$501,0)),0))</f>
        <v/>
      </c>
      <c r="H83" s="33">
        <f>IF(A83="","",MONTH(A83))</f>
        <v/>
      </c>
      <c r="I83" s="33">
        <f>IF(A83="","",YEAR(A83))</f>
        <v/>
      </c>
    </row>
    <row r="84" ht="15" customHeight="1" s="21">
      <c r="A84" s="34" t="n"/>
      <c r="B84" s="30" t="n"/>
      <c r="C84" s="30" t="n"/>
      <c r="D84" s="30" t="n"/>
      <c r="E84" s="33">
        <f>IF(B84="","",IFERROR(INDEX(Productos!$B$2:$B$501,MATCH(B84,Productos!$A$2:$A$501,0)),"¿Código?"))</f>
        <v/>
      </c>
      <c r="F84" s="32">
        <f>IF(C84&lt;&gt;"Venta","",D84*IFERROR(INDEX(Productos!$D$2:$D$501,MATCH(B84,Productos!$A$2:$A$501,0)),0))</f>
        <v/>
      </c>
      <c r="G84" s="32">
        <f>IF(C84&lt;&gt;"Venta","",D84*IFERROR(INDEX(Productos!$E$2:$E$501,MATCH(B84,Productos!$A$2:$A$501,0)),0))</f>
        <v/>
      </c>
      <c r="H84" s="33">
        <f>IF(A84="","",MONTH(A84))</f>
        <v/>
      </c>
      <c r="I84" s="33">
        <f>IF(A84="","",YEAR(A84))</f>
        <v/>
      </c>
    </row>
    <row r="85" ht="15" customHeight="1" s="21">
      <c r="A85" s="34" t="n"/>
      <c r="B85" s="30" t="n"/>
      <c r="C85" s="30" t="n"/>
      <c r="D85" s="30" t="n"/>
      <c r="E85" s="33">
        <f>IF(B85="","",IFERROR(INDEX(Productos!$B$2:$B$501,MATCH(B85,Productos!$A$2:$A$501,0)),"¿Código?"))</f>
        <v/>
      </c>
      <c r="F85" s="32">
        <f>IF(C85&lt;&gt;"Venta","",D85*IFERROR(INDEX(Productos!$D$2:$D$501,MATCH(B85,Productos!$A$2:$A$501,0)),0))</f>
        <v/>
      </c>
      <c r="G85" s="32">
        <f>IF(C85&lt;&gt;"Venta","",D85*IFERROR(INDEX(Productos!$E$2:$E$501,MATCH(B85,Productos!$A$2:$A$501,0)),0))</f>
        <v/>
      </c>
      <c r="H85" s="33">
        <f>IF(A85="","",MONTH(A85))</f>
        <v/>
      </c>
      <c r="I85" s="33">
        <f>IF(A85="","",YEAR(A85))</f>
        <v/>
      </c>
    </row>
    <row r="86" ht="15" customHeight="1" s="21">
      <c r="A86" s="34" t="n"/>
      <c r="B86" s="30" t="n"/>
      <c r="C86" s="30" t="n"/>
      <c r="D86" s="30" t="n"/>
      <c r="E86" s="33">
        <f>IF(B86="","",IFERROR(INDEX(Productos!$B$2:$B$501,MATCH(B86,Productos!$A$2:$A$501,0)),"¿Código?"))</f>
        <v/>
      </c>
      <c r="F86" s="32">
        <f>IF(C86&lt;&gt;"Venta","",D86*IFERROR(INDEX(Productos!$D$2:$D$501,MATCH(B86,Productos!$A$2:$A$501,0)),0))</f>
        <v/>
      </c>
      <c r="G86" s="32">
        <f>IF(C86&lt;&gt;"Venta","",D86*IFERROR(INDEX(Productos!$E$2:$E$501,MATCH(B86,Productos!$A$2:$A$501,0)),0))</f>
        <v/>
      </c>
      <c r="H86" s="33">
        <f>IF(A86="","",MONTH(A86))</f>
        <v/>
      </c>
      <c r="I86" s="33">
        <f>IF(A86="","",YEAR(A86))</f>
        <v/>
      </c>
    </row>
    <row r="87" ht="15" customHeight="1" s="21">
      <c r="A87" s="34" t="n"/>
      <c r="B87" s="30" t="n"/>
      <c r="C87" s="30" t="n"/>
      <c r="D87" s="30" t="n"/>
      <c r="E87" s="33">
        <f>IF(B87="","",IFERROR(INDEX(Productos!$B$2:$B$501,MATCH(B87,Productos!$A$2:$A$501,0)),"¿Código?"))</f>
        <v/>
      </c>
      <c r="F87" s="32">
        <f>IF(C87&lt;&gt;"Venta","",D87*IFERROR(INDEX(Productos!$D$2:$D$501,MATCH(B87,Productos!$A$2:$A$501,0)),0))</f>
        <v/>
      </c>
      <c r="G87" s="32">
        <f>IF(C87&lt;&gt;"Venta","",D87*IFERROR(INDEX(Productos!$E$2:$E$501,MATCH(B87,Productos!$A$2:$A$501,0)),0))</f>
        <v/>
      </c>
      <c r="H87" s="33">
        <f>IF(A87="","",MONTH(A87))</f>
        <v/>
      </c>
      <c r="I87" s="33">
        <f>IF(A87="","",YEAR(A87))</f>
        <v/>
      </c>
    </row>
    <row r="88" ht="15" customHeight="1" s="21">
      <c r="A88" s="34" t="n"/>
      <c r="B88" s="30" t="n"/>
      <c r="C88" s="30" t="n"/>
      <c r="D88" s="30" t="n"/>
      <c r="E88" s="33">
        <f>IF(B88="","",IFERROR(INDEX(Productos!$B$2:$B$501,MATCH(B88,Productos!$A$2:$A$501,0)),"¿Código?"))</f>
        <v/>
      </c>
      <c r="F88" s="32">
        <f>IF(C88&lt;&gt;"Venta","",D88*IFERROR(INDEX(Productos!$D$2:$D$501,MATCH(B88,Productos!$A$2:$A$501,0)),0))</f>
        <v/>
      </c>
      <c r="G88" s="32">
        <f>IF(C88&lt;&gt;"Venta","",D88*IFERROR(INDEX(Productos!$E$2:$E$501,MATCH(B88,Productos!$A$2:$A$501,0)),0))</f>
        <v/>
      </c>
      <c r="H88" s="33">
        <f>IF(A88="","",MONTH(A88))</f>
        <v/>
      </c>
      <c r="I88" s="33">
        <f>IF(A88="","",YEAR(A88))</f>
        <v/>
      </c>
    </row>
    <row r="89" ht="15" customHeight="1" s="21">
      <c r="A89" s="34" t="n"/>
      <c r="B89" s="30" t="n"/>
      <c r="C89" s="30" t="n"/>
      <c r="D89" s="30" t="n"/>
      <c r="E89" s="33">
        <f>IF(B89="","",IFERROR(INDEX(Productos!$B$2:$B$501,MATCH(B89,Productos!$A$2:$A$501,0)),"¿Código?"))</f>
        <v/>
      </c>
      <c r="F89" s="32">
        <f>IF(C89&lt;&gt;"Venta","",D89*IFERROR(INDEX(Productos!$D$2:$D$501,MATCH(B89,Productos!$A$2:$A$501,0)),0))</f>
        <v/>
      </c>
      <c r="G89" s="32">
        <f>IF(C89&lt;&gt;"Venta","",D89*IFERROR(INDEX(Productos!$E$2:$E$501,MATCH(B89,Productos!$A$2:$A$501,0)),0))</f>
        <v/>
      </c>
      <c r="H89" s="33">
        <f>IF(A89="","",MONTH(A89))</f>
        <v/>
      </c>
      <c r="I89" s="33">
        <f>IF(A89="","",YEAR(A89))</f>
        <v/>
      </c>
    </row>
    <row r="90" ht="15" customHeight="1" s="21">
      <c r="A90" s="34" t="n"/>
      <c r="B90" s="30" t="n"/>
      <c r="C90" s="30" t="n"/>
      <c r="D90" s="30" t="n"/>
      <c r="E90" s="33">
        <f>IF(B90="","",IFERROR(INDEX(Productos!$B$2:$B$501,MATCH(B90,Productos!$A$2:$A$501,0)),"¿Código?"))</f>
        <v/>
      </c>
      <c r="F90" s="32">
        <f>IF(C90&lt;&gt;"Venta","",D90*IFERROR(INDEX(Productos!$D$2:$D$501,MATCH(B90,Productos!$A$2:$A$501,0)),0))</f>
        <v/>
      </c>
      <c r="G90" s="32">
        <f>IF(C90&lt;&gt;"Venta","",D90*IFERROR(INDEX(Productos!$E$2:$E$501,MATCH(B90,Productos!$A$2:$A$501,0)),0))</f>
        <v/>
      </c>
      <c r="H90" s="33">
        <f>IF(A90="","",MONTH(A90))</f>
        <v/>
      </c>
      <c r="I90" s="33">
        <f>IF(A90="","",YEAR(A90))</f>
        <v/>
      </c>
    </row>
    <row r="91" ht="15" customHeight="1" s="21">
      <c r="A91" s="34" t="n"/>
      <c r="B91" s="30" t="n"/>
      <c r="C91" s="30" t="n"/>
      <c r="D91" s="30" t="n"/>
      <c r="E91" s="33">
        <f>IF(B91="","",IFERROR(INDEX(Productos!$B$2:$B$501,MATCH(B91,Productos!$A$2:$A$501,0)),"¿Código?"))</f>
        <v/>
      </c>
      <c r="F91" s="32">
        <f>IF(C91&lt;&gt;"Venta","",D91*IFERROR(INDEX(Productos!$D$2:$D$501,MATCH(B91,Productos!$A$2:$A$501,0)),0))</f>
        <v/>
      </c>
      <c r="G91" s="32">
        <f>IF(C91&lt;&gt;"Venta","",D91*IFERROR(INDEX(Productos!$E$2:$E$501,MATCH(B91,Productos!$A$2:$A$501,0)),0))</f>
        <v/>
      </c>
      <c r="H91" s="33">
        <f>IF(A91="","",MONTH(A91))</f>
        <v/>
      </c>
      <c r="I91" s="33">
        <f>IF(A91="","",YEAR(A91))</f>
        <v/>
      </c>
    </row>
    <row r="92" ht="15" customHeight="1" s="21">
      <c r="A92" s="34" t="n"/>
      <c r="B92" s="30" t="n"/>
      <c r="C92" s="30" t="n"/>
      <c r="D92" s="30" t="n"/>
      <c r="E92" s="33">
        <f>IF(B92="","",IFERROR(INDEX(Productos!$B$2:$B$501,MATCH(B92,Productos!$A$2:$A$501,0)),"¿Código?"))</f>
        <v/>
      </c>
      <c r="F92" s="32">
        <f>IF(C92&lt;&gt;"Venta","",D92*IFERROR(INDEX(Productos!$D$2:$D$501,MATCH(B92,Productos!$A$2:$A$501,0)),0))</f>
        <v/>
      </c>
      <c r="G92" s="32">
        <f>IF(C92&lt;&gt;"Venta","",D92*IFERROR(INDEX(Productos!$E$2:$E$501,MATCH(B92,Productos!$A$2:$A$501,0)),0))</f>
        <v/>
      </c>
      <c r="H92" s="33">
        <f>IF(A92="","",MONTH(A92))</f>
        <v/>
      </c>
      <c r="I92" s="33">
        <f>IF(A92="","",YEAR(A92))</f>
        <v/>
      </c>
    </row>
    <row r="93" ht="15" customHeight="1" s="21">
      <c r="A93" s="34" t="n"/>
      <c r="B93" s="30" t="n"/>
      <c r="C93" s="30" t="n"/>
      <c r="D93" s="30" t="n"/>
      <c r="E93" s="33">
        <f>IF(B93="","",IFERROR(INDEX(Productos!$B$2:$B$501,MATCH(B93,Productos!$A$2:$A$501,0)),"¿Código?"))</f>
        <v/>
      </c>
      <c r="F93" s="32">
        <f>IF(C93&lt;&gt;"Venta","",D93*IFERROR(INDEX(Productos!$D$2:$D$501,MATCH(B93,Productos!$A$2:$A$501,0)),0))</f>
        <v/>
      </c>
      <c r="G93" s="32">
        <f>IF(C93&lt;&gt;"Venta","",D93*IFERROR(INDEX(Productos!$E$2:$E$501,MATCH(B93,Productos!$A$2:$A$501,0)),0))</f>
        <v/>
      </c>
      <c r="H93" s="33">
        <f>IF(A93="","",MONTH(A93))</f>
        <v/>
      </c>
      <c r="I93" s="33">
        <f>IF(A93="","",YEAR(A93))</f>
        <v/>
      </c>
    </row>
    <row r="94" ht="15" customHeight="1" s="21">
      <c r="A94" s="34" t="n"/>
      <c r="B94" s="30" t="n"/>
      <c r="C94" s="30" t="n"/>
      <c r="D94" s="30" t="n"/>
      <c r="E94" s="33">
        <f>IF(B94="","",IFERROR(INDEX(Productos!$B$2:$B$501,MATCH(B94,Productos!$A$2:$A$501,0)),"¿Código?"))</f>
        <v/>
      </c>
      <c r="F94" s="32">
        <f>IF(C94&lt;&gt;"Venta","",D94*IFERROR(INDEX(Productos!$D$2:$D$501,MATCH(B94,Productos!$A$2:$A$501,0)),0))</f>
        <v/>
      </c>
      <c r="G94" s="32">
        <f>IF(C94&lt;&gt;"Venta","",D94*IFERROR(INDEX(Productos!$E$2:$E$501,MATCH(B94,Productos!$A$2:$A$501,0)),0))</f>
        <v/>
      </c>
      <c r="H94" s="33">
        <f>IF(A94="","",MONTH(A94))</f>
        <v/>
      </c>
      <c r="I94" s="33">
        <f>IF(A94="","",YEAR(A94))</f>
        <v/>
      </c>
    </row>
    <row r="95" ht="15" customHeight="1" s="21">
      <c r="A95" s="34" t="n"/>
      <c r="B95" s="30" t="n"/>
      <c r="C95" s="30" t="n"/>
      <c r="D95" s="30" t="n"/>
      <c r="E95" s="33">
        <f>IF(B95="","",IFERROR(INDEX(Productos!$B$2:$B$501,MATCH(B95,Productos!$A$2:$A$501,0)),"¿Código?"))</f>
        <v/>
      </c>
      <c r="F95" s="32">
        <f>IF(C95&lt;&gt;"Venta","",D95*IFERROR(INDEX(Productos!$D$2:$D$501,MATCH(B95,Productos!$A$2:$A$501,0)),0))</f>
        <v/>
      </c>
      <c r="G95" s="32">
        <f>IF(C95&lt;&gt;"Venta","",D95*IFERROR(INDEX(Productos!$E$2:$E$501,MATCH(B95,Productos!$A$2:$A$501,0)),0))</f>
        <v/>
      </c>
      <c r="H95" s="33">
        <f>IF(A95="","",MONTH(A95))</f>
        <v/>
      </c>
      <c r="I95" s="33">
        <f>IF(A95="","",YEAR(A95))</f>
        <v/>
      </c>
    </row>
    <row r="96" ht="15" customHeight="1" s="21">
      <c r="A96" s="34" t="n"/>
      <c r="B96" s="30" t="n"/>
      <c r="C96" s="30" t="n"/>
      <c r="D96" s="30" t="n"/>
      <c r="E96" s="33">
        <f>IF(B96="","",IFERROR(INDEX(Productos!$B$2:$B$501,MATCH(B96,Productos!$A$2:$A$501,0)),"¿Código?"))</f>
        <v/>
      </c>
      <c r="F96" s="32">
        <f>IF(C96&lt;&gt;"Venta","",D96*IFERROR(INDEX(Productos!$D$2:$D$501,MATCH(B96,Productos!$A$2:$A$501,0)),0))</f>
        <v/>
      </c>
      <c r="G96" s="32">
        <f>IF(C96&lt;&gt;"Venta","",D96*IFERROR(INDEX(Productos!$E$2:$E$501,MATCH(B96,Productos!$A$2:$A$501,0)),0))</f>
        <v/>
      </c>
      <c r="H96" s="33">
        <f>IF(A96="","",MONTH(A96))</f>
        <v/>
      </c>
      <c r="I96" s="33">
        <f>IF(A96="","",YEAR(A96))</f>
        <v/>
      </c>
    </row>
    <row r="97" ht="15" customHeight="1" s="21">
      <c r="A97" s="34" t="n"/>
      <c r="B97" s="30" t="n"/>
      <c r="C97" s="30" t="n"/>
      <c r="D97" s="30" t="n"/>
      <c r="E97" s="33">
        <f>IF(B97="","",IFERROR(INDEX(Productos!$B$2:$B$501,MATCH(B97,Productos!$A$2:$A$501,0)),"¿Código?"))</f>
        <v/>
      </c>
      <c r="F97" s="32">
        <f>IF(C97&lt;&gt;"Venta","",D97*IFERROR(INDEX(Productos!$D$2:$D$501,MATCH(B97,Productos!$A$2:$A$501,0)),0))</f>
        <v/>
      </c>
      <c r="G97" s="32">
        <f>IF(C97&lt;&gt;"Venta","",D97*IFERROR(INDEX(Productos!$E$2:$E$501,MATCH(B97,Productos!$A$2:$A$501,0)),0))</f>
        <v/>
      </c>
      <c r="H97" s="33">
        <f>IF(A97="","",MONTH(A97))</f>
        <v/>
      </c>
      <c r="I97" s="33">
        <f>IF(A97="","",YEAR(A97))</f>
        <v/>
      </c>
    </row>
    <row r="98" ht="15" customHeight="1" s="21">
      <c r="A98" s="34" t="n"/>
      <c r="B98" s="30" t="n"/>
      <c r="C98" s="30" t="n"/>
      <c r="D98" s="30" t="n"/>
      <c r="E98" s="33">
        <f>IF(B98="","",IFERROR(INDEX(Productos!$B$2:$B$501,MATCH(B98,Productos!$A$2:$A$501,0)),"¿Código?"))</f>
        <v/>
      </c>
      <c r="F98" s="32">
        <f>IF(C98&lt;&gt;"Venta","",D98*IFERROR(INDEX(Productos!$D$2:$D$501,MATCH(B98,Productos!$A$2:$A$501,0)),0))</f>
        <v/>
      </c>
      <c r="G98" s="32">
        <f>IF(C98&lt;&gt;"Venta","",D98*IFERROR(INDEX(Productos!$E$2:$E$501,MATCH(B98,Productos!$A$2:$A$501,0)),0))</f>
        <v/>
      </c>
      <c r="H98" s="33">
        <f>IF(A98="","",MONTH(A98))</f>
        <v/>
      </c>
      <c r="I98" s="33">
        <f>IF(A98="","",YEAR(A98))</f>
        <v/>
      </c>
    </row>
    <row r="99" ht="15" customHeight="1" s="21">
      <c r="A99" s="34" t="n"/>
      <c r="B99" s="30" t="n"/>
      <c r="C99" s="30" t="n"/>
      <c r="D99" s="30" t="n"/>
      <c r="E99" s="33">
        <f>IF(B99="","",IFERROR(INDEX(Productos!$B$2:$B$501,MATCH(B99,Productos!$A$2:$A$501,0)),"¿Código?"))</f>
        <v/>
      </c>
      <c r="F99" s="32">
        <f>IF(C99&lt;&gt;"Venta","",D99*IFERROR(INDEX(Productos!$D$2:$D$501,MATCH(B99,Productos!$A$2:$A$501,0)),0))</f>
        <v/>
      </c>
      <c r="G99" s="32">
        <f>IF(C99&lt;&gt;"Venta","",D99*IFERROR(INDEX(Productos!$E$2:$E$501,MATCH(B99,Productos!$A$2:$A$501,0)),0))</f>
        <v/>
      </c>
      <c r="H99" s="33">
        <f>IF(A99="","",MONTH(A99))</f>
        <v/>
      </c>
      <c r="I99" s="33">
        <f>IF(A99="","",YEAR(A99))</f>
        <v/>
      </c>
    </row>
    <row r="100" ht="15" customHeight="1" s="21">
      <c r="A100" s="34" t="n"/>
      <c r="B100" s="30" t="n"/>
      <c r="C100" s="30" t="n"/>
      <c r="D100" s="30" t="n"/>
      <c r="E100" s="33">
        <f>IF(B100="","",IFERROR(INDEX(Productos!$B$2:$B$501,MATCH(B100,Productos!$A$2:$A$501,0)),"¿Código?"))</f>
        <v/>
      </c>
      <c r="F100" s="32">
        <f>IF(C100&lt;&gt;"Venta","",D100*IFERROR(INDEX(Productos!$D$2:$D$501,MATCH(B100,Productos!$A$2:$A$501,0)),0))</f>
        <v/>
      </c>
      <c r="G100" s="32">
        <f>IF(C100&lt;&gt;"Venta","",D100*IFERROR(INDEX(Productos!$E$2:$E$501,MATCH(B100,Productos!$A$2:$A$501,0)),0))</f>
        <v/>
      </c>
      <c r="H100" s="33">
        <f>IF(A100="","",MONTH(A100))</f>
        <v/>
      </c>
      <c r="I100" s="33">
        <f>IF(A100="","",YEAR(A100))</f>
        <v/>
      </c>
    </row>
    <row r="101" ht="15" customHeight="1" s="21">
      <c r="A101" s="34" t="n"/>
      <c r="B101" s="30" t="n"/>
      <c r="C101" s="30" t="n"/>
      <c r="D101" s="30" t="n"/>
      <c r="E101" s="33">
        <f>IF(B101="","",IFERROR(INDEX(Productos!$B$2:$B$501,MATCH(B101,Productos!$A$2:$A$501,0)),"¿Código?"))</f>
        <v/>
      </c>
      <c r="F101" s="32">
        <f>IF(C101&lt;&gt;"Venta","",D101*IFERROR(INDEX(Productos!$D$2:$D$501,MATCH(B101,Productos!$A$2:$A$501,0)),0))</f>
        <v/>
      </c>
      <c r="G101" s="32">
        <f>IF(C101&lt;&gt;"Venta","",D101*IFERROR(INDEX(Productos!$E$2:$E$501,MATCH(B101,Productos!$A$2:$A$501,0)),0))</f>
        <v/>
      </c>
      <c r="H101" s="33">
        <f>IF(A101="","",MONTH(A101))</f>
        <v/>
      </c>
      <c r="I101" s="33">
        <f>IF(A101="","",YEAR(A101))</f>
        <v/>
      </c>
    </row>
    <row r="102" ht="15" customHeight="1" s="21">
      <c r="A102" s="34" t="n"/>
      <c r="B102" s="30" t="n"/>
      <c r="C102" s="30" t="n"/>
      <c r="D102" s="30" t="n"/>
      <c r="E102" s="33">
        <f>IF(B102="","",IFERROR(INDEX(Productos!$B$2:$B$501,MATCH(B102,Productos!$A$2:$A$501,0)),"¿Código?"))</f>
        <v/>
      </c>
      <c r="F102" s="32">
        <f>IF(C102&lt;&gt;"Venta","",D102*IFERROR(INDEX(Productos!$D$2:$D$501,MATCH(B102,Productos!$A$2:$A$501,0)),0))</f>
        <v/>
      </c>
      <c r="G102" s="32">
        <f>IF(C102&lt;&gt;"Venta","",D102*IFERROR(INDEX(Productos!$E$2:$E$501,MATCH(B102,Productos!$A$2:$A$501,0)),0))</f>
        <v/>
      </c>
      <c r="H102" s="33">
        <f>IF(A102="","",MONTH(A102))</f>
        <v/>
      </c>
      <c r="I102" s="33">
        <f>IF(A102="","",YEAR(A102))</f>
        <v/>
      </c>
    </row>
    <row r="103" ht="15" customHeight="1" s="21">
      <c r="A103" s="34" t="n"/>
      <c r="B103" s="30" t="n"/>
      <c r="C103" s="30" t="n"/>
      <c r="D103" s="30" t="n"/>
      <c r="E103" s="33">
        <f>IF(B103="","",IFERROR(INDEX(Productos!$B$2:$B$501,MATCH(B103,Productos!$A$2:$A$501,0)),"¿Código?"))</f>
        <v/>
      </c>
      <c r="F103" s="32">
        <f>IF(C103&lt;&gt;"Venta","",D103*IFERROR(INDEX(Productos!$D$2:$D$501,MATCH(B103,Productos!$A$2:$A$501,0)),0))</f>
        <v/>
      </c>
      <c r="G103" s="32">
        <f>IF(C103&lt;&gt;"Venta","",D103*IFERROR(INDEX(Productos!$E$2:$E$501,MATCH(B103,Productos!$A$2:$A$501,0)),0))</f>
        <v/>
      </c>
      <c r="H103" s="33">
        <f>IF(A103="","",MONTH(A103))</f>
        <v/>
      </c>
      <c r="I103" s="33">
        <f>IF(A103="","",YEAR(A103))</f>
        <v/>
      </c>
    </row>
    <row r="104" ht="15" customHeight="1" s="21">
      <c r="A104" s="34" t="n"/>
      <c r="B104" s="30" t="n"/>
      <c r="C104" s="30" t="n"/>
      <c r="D104" s="30" t="n"/>
      <c r="E104" s="33">
        <f>IF(B104="","",IFERROR(INDEX(Productos!$B$2:$B$501,MATCH(B104,Productos!$A$2:$A$501,0)),"¿Código?"))</f>
        <v/>
      </c>
      <c r="F104" s="32">
        <f>IF(C104&lt;&gt;"Venta","",D104*IFERROR(INDEX(Productos!$D$2:$D$501,MATCH(B104,Productos!$A$2:$A$501,0)),0))</f>
        <v/>
      </c>
      <c r="G104" s="32">
        <f>IF(C104&lt;&gt;"Venta","",D104*IFERROR(INDEX(Productos!$E$2:$E$501,MATCH(B104,Productos!$A$2:$A$501,0)),0))</f>
        <v/>
      </c>
      <c r="H104" s="33">
        <f>IF(A104="","",MONTH(A104))</f>
        <v/>
      </c>
      <c r="I104" s="33">
        <f>IF(A104="","",YEAR(A104))</f>
        <v/>
      </c>
    </row>
    <row r="105" ht="15" customHeight="1" s="21">
      <c r="A105" s="34" t="n"/>
      <c r="B105" s="30" t="n"/>
      <c r="C105" s="30" t="n"/>
      <c r="D105" s="30" t="n"/>
      <c r="E105" s="33">
        <f>IF(B105="","",IFERROR(INDEX(Productos!$B$2:$B$501,MATCH(B105,Productos!$A$2:$A$501,0)),"¿Código?"))</f>
        <v/>
      </c>
      <c r="F105" s="32">
        <f>IF(C105&lt;&gt;"Venta","",D105*IFERROR(INDEX(Productos!$D$2:$D$501,MATCH(B105,Productos!$A$2:$A$501,0)),0))</f>
        <v/>
      </c>
      <c r="G105" s="32">
        <f>IF(C105&lt;&gt;"Venta","",D105*IFERROR(INDEX(Productos!$E$2:$E$501,MATCH(B105,Productos!$A$2:$A$501,0)),0))</f>
        <v/>
      </c>
      <c r="H105" s="33">
        <f>IF(A105="","",MONTH(A105))</f>
        <v/>
      </c>
      <c r="I105" s="33">
        <f>IF(A105="","",YEAR(A105))</f>
        <v/>
      </c>
    </row>
    <row r="106" ht="15" customHeight="1" s="21">
      <c r="A106" s="34" t="n"/>
      <c r="B106" s="30" t="n"/>
      <c r="C106" s="30" t="n"/>
      <c r="D106" s="30" t="n"/>
      <c r="E106" s="33">
        <f>IF(B106="","",IFERROR(INDEX(Productos!$B$2:$B$501,MATCH(B106,Productos!$A$2:$A$501,0)),"¿Código?"))</f>
        <v/>
      </c>
      <c r="F106" s="32">
        <f>IF(C106&lt;&gt;"Venta","",D106*IFERROR(INDEX(Productos!$D$2:$D$501,MATCH(B106,Productos!$A$2:$A$501,0)),0))</f>
        <v/>
      </c>
      <c r="G106" s="32">
        <f>IF(C106&lt;&gt;"Venta","",D106*IFERROR(INDEX(Productos!$E$2:$E$501,MATCH(B106,Productos!$A$2:$A$501,0)),0))</f>
        <v/>
      </c>
      <c r="H106" s="33">
        <f>IF(A106="","",MONTH(A106))</f>
        <v/>
      </c>
      <c r="I106" s="33">
        <f>IF(A106="","",YEAR(A106))</f>
        <v/>
      </c>
    </row>
    <row r="107" ht="15" customHeight="1" s="21">
      <c r="A107" s="34" t="n"/>
      <c r="B107" s="30" t="n"/>
      <c r="C107" s="30" t="n"/>
      <c r="D107" s="30" t="n"/>
      <c r="E107" s="33">
        <f>IF(B107="","",IFERROR(INDEX(Productos!$B$2:$B$501,MATCH(B107,Productos!$A$2:$A$501,0)),"¿Código?"))</f>
        <v/>
      </c>
      <c r="F107" s="32">
        <f>IF(C107&lt;&gt;"Venta","",D107*IFERROR(INDEX(Productos!$D$2:$D$501,MATCH(B107,Productos!$A$2:$A$501,0)),0))</f>
        <v/>
      </c>
      <c r="G107" s="32">
        <f>IF(C107&lt;&gt;"Venta","",D107*IFERROR(INDEX(Productos!$E$2:$E$501,MATCH(B107,Productos!$A$2:$A$501,0)),0))</f>
        <v/>
      </c>
      <c r="H107" s="33">
        <f>IF(A107="","",MONTH(A107))</f>
        <v/>
      </c>
      <c r="I107" s="33">
        <f>IF(A107="","",YEAR(A107))</f>
        <v/>
      </c>
    </row>
    <row r="108" ht="15" customHeight="1" s="21">
      <c r="A108" s="34" t="n"/>
      <c r="B108" s="30" t="n"/>
      <c r="C108" s="30" t="n"/>
      <c r="D108" s="30" t="n"/>
      <c r="E108" s="33">
        <f>IF(B108="","",IFERROR(INDEX(Productos!$B$2:$B$501,MATCH(B108,Productos!$A$2:$A$501,0)),"¿Código?"))</f>
        <v/>
      </c>
      <c r="F108" s="32">
        <f>IF(C108&lt;&gt;"Venta","",D108*IFERROR(INDEX(Productos!$D$2:$D$501,MATCH(B108,Productos!$A$2:$A$501,0)),0))</f>
        <v/>
      </c>
      <c r="G108" s="32">
        <f>IF(C108&lt;&gt;"Venta","",D108*IFERROR(INDEX(Productos!$E$2:$E$501,MATCH(B108,Productos!$A$2:$A$501,0)),0))</f>
        <v/>
      </c>
      <c r="H108" s="33">
        <f>IF(A108="","",MONTH(A108))</f>
        <v/>
      </c>
      <c r="I108" s="33">
        <f>IF(A108="","",YEAR(A108))</f>
        <v/>
      </c>
    </row>
    <row r="109" ht="15" customHeight="1" s="21">
      <c r="A109" s="34" t="n"/>
      <c r="B109" s="30" t="n"/>
      <c r="C109" s="30" t="n"/>
      <c r="D109" s="30" t="n"/>
      <c r="E109" s="33">
        <f>IF(B109="","",IFERROR(INDEX(Productos!$B$2:$B$501,MATCH(B109,Productos!$A$2:$A$501,0)),"¿Código?"))</f>
        <v/>
      </c>
      <c r="F109" s="32">
        <f>IF(C109&lt;&gt;"Venta","",D109*IFERROR(INDEX(Productos!$D$2:$D$501,MATCH(B109,Productos!$A$2:$A$501,0)),0))</f>
        <v/>
      </c>
      <c r="G109" s="32">
        <f>IF(C109&lt;&gt;"Venta","",D109*IFERROR(INDEX(Productos!$E$2:$E$501,MATCH(B109,Productos!$A$2:$A$501,0)),0))</f>
        <v/>
      </c>
      <c r="H109" s="33">
        <f>IF(A109="","",MONTH(A109))</f>
        <v/>
      </c>
      <c r="I109" s="33">
        <f>IF(A109="","",YEAR(A109))</f>
        <v/>
      </c>
    </row>
    <row r="110" ht="15" customHeight="1" s="21">
      <c r="A110" s="34" t="n"/>
      <c r="B110" s="30" t="n"/>
      <c r="C110" s="30" t="n"/>
      <c r="D110" s="30" t="n"/>
      <c r="E110" s="33">
        <f>IF(B110="","",IFERROR(INDEX(Productos!$B$2:$B$501,MATCH(B110,Productos!$A$2:$A$501,0)),"¿Código?"))</f>
        <v/>
      </c>
      <c r="F110" s="32">
        <f>IF(C110&lt;&gt;"Venta","",D110*IFERROR(INDEX(Productos!$D$2:$D$501,MATCH(B110,Productos!$A$2:$A$501,0)),0))</f>
        <v/>
      </c>
      <c r="G110" s="32">
        <f>IF(C110&lt;&gt;"Venta","",D110*IFERROR(INDEX(Productos!$E$2:$E$501,MATCH(B110,Productos!$A$2:$A$501,0)),0))</f>
        <v/>
      </c>
      <c r="H110" s="33">
        <f>IF(A110="","",MONTH(A110))</f>
        <v/>
      </c>
      <c r="I110" s="33">
        <f>IF(A110="","",YEAR(A110))</f>
        <v/>
      </c>
    </row>
    <row r="111" ht="15" customHeight="1" s="21">
      <c r="A111" s="34" t="n"/>
      <c r="B111" s="30" t="n"/>
      <c r="C111" s="30" t="n"/>
      <c r="D111" s="30" t="n"/>
      <c r="E111" s="33">
        <f>IF(B111="","",IFERROR(INDEX(Productos!$B$2:$B$501,MATCH(B111,Productos!$A$2:$A$501,0)),"¿Código?"))</f>
        <v/>
      </c>
      <c r="F111" s="32">
        <f>IF(C111&lt;&gt;"Venta","",D111*IFERROR(INDEX(Productos!$D$2:$D$501,MATCH(B111,Productos!$A$2:$A$501,0)),0))</f>
        <v/>
      </c>
      <c r="G111" s="32">
        <f>IF(C111&lt;&gt;"Venta","",D111*IFERROR(INDEX(Productos!$E$2:$E$501,MATCH(B111,Productos!$A$2:$A$501,0)),0))</f>
        <v/>
      </c>
      <c r="H111" s="33">
        <f>IF(A111="","",MONTH(A111))</f>
        <v/>
      </c>
      <c r="I111" s="33">
        <f>IF(A111="","",YEAR(A111))</f>
        <v/>
      </c>
    </row>
    <row r="112" ht="15" customHeight="1" s="21">
      <c r="A112" s="34" t="n"/>
      <c r="B112" s="30" t="n"/>
      <c r="C112" s="30" t="n"/>
      <c r="D112" s="30" t="n"/>
      <c r="E112" s="33">
        <f>IF(B112="","",IFERROR(INDEX(Productos!$B$2:$B$501,MATCH(B112,Productos!$A$2:$A$501,0)),"¿Código?"))</f>
        <v/>
      </c>
      <c r="F112" s="32">
        <f>IF(C112&lt;&gt;"Venta","",D112*IFERROR(INDEX(Productos!$D$2:$D$501,MATCH(B112,Productos!$A$2:$A$501,0)),0))</f>
        <v/>
      </c>
      <c r="G112" s="32">
        <f>IF(C112&lt;&gt;"Venta","",D112*IFERROR(INDEX(Productos!$E$2:$E$501,MATCH(B112,Productos!$A$2:$A$501,0)),0))</f>
        <v/>
      </c>
      <c r="H112" s="33">
        <f>IF(A112="","",MONTH(A112))</f>
        <v/>
      </c>
      <c r="I112" s="33">
        <f>IF(A112="","",YEAR(A112))</f>
        <v/>
      </c>
    </row>
    <row r="113" ht="15" customHeight="1" s="21">
      <c r="A113" s="34" t="n"/>
      <c r="B113" s="30" t="n"/>
      <c r="C113" s="30" t="n"/>
      <c r="D113" s="30" t="n"/>
      <c r="E113" s="33">
        <f>IF(B113="","",IFERROR(INDEX(Productos!$B$2:$B$501,MATCH(B113,Productos!$A$2:$A$501,0)),"¿Código?"))</f>
        <v/>
      </c>
      <c r="F113" s="32">
        <f>IF(C113&lt;&gt;"Venta","",D113*IFERROR(INDEX(Productos!$D$2:$D$501,MATCH(B113,Productos!$A$2:$A$501,0)),0))</f>
        <v/>
      </c>
      <c r="G113" s="32">
        <f>IF(C113&lt;&gt;"Venta","",D113*IFERROR(INDEX(Productos!$E$2:$E$501,MATCH(B113,Productos!$A$2:$A$501,0)),0))</f>
        <v/>
      </c>
      <c r="H113" s="33">
        <f>IF(A113="","",MONTH(A113))</f>
        <v/>
      </c>
      <c r="I113" s="33">
        <f>IF(A113="","",YEAR(A113))</f>
        <v/>
      </c>
    </row>
    <row r="114" ht="15" customHeight="1" s="21">
      <c r="A114" s="34" t="n"/>
      <c r="B114" s="30" t="n"/>
      <c r="C114" s="30" t="n"/>
      <c r="D114" s="30" t="n"/>
      <c r="E114" s="33">
        <f>IF(B114="","",IFERROR(INDEX(Productos!$B$2:$B$501,MATCH(B114,Productos!$A$2:$A$501,0)),"¿Código?"))</f>
        <v/>
      </c>
      <c r="F114" s="32">
        <f>IF(C114&lt;&gt;"Venta","",D114*IFERROR(INDEX(Productos!$D$2:$D$501,MATCH(B114,Productos!$A$2:$A$501,0)),0))</f>
        <v/>
      </c>
      <c r="G114" s="32">
        <f>IF(C114&lt;&gt;"Venta","",D114*IFERROR(INDEX(Productos!$E$2:$E$501,MATCH(B114,Productos!$A$2:$A$501,0)),0))</f>
        <v/>
      </c>
      <c r="H114" s="33">
        <f>IF(A114="","",MONTH(A114))</f>
        <v/>
      </c>
      <c r="I114" s="33">
        <f>IF(A114="","",YEAR(A114))</f>
        <v/>
      </c>
    </row>
    <row r="115" ht="15" customHeight="1" s="21">
      <c r="A115" s="34" t="n"/>
      <c r="B115" s="30" t="n"/>
      <c r="C115" s="30" t="n"/>
      <c r="D115" s="30" t="n"/>
      <c r="E115" s="33">
        <f>IF(B115="","",IFERROR(INDEX(Productos!$B$2:$B$501,MATCH(B115,Productos!$A$2:$A$501,0)),"¿Código?"))</f>
        <v/>
      </c>
      <c r="F115" s="32">
        <f>IF(C115&lt;&gt;"Venta","",D115*IFERROR(INDEX(Productos!$D$2:$D$501,MATCH(B115,Productos!$A$2:$A$501,0)),0))</f>
        <v/>
      </c>
      <c r="G115" s="32">
        <f>IF(C115&lt;&gt;"Venta","",D115*IFERROR(INDEX(Productos!$E$2:$E$501,MATCH(B115,Productos!$A$2:$A$501,0)),0))</f>
        <v/>
      </c>
      <c r="H115" s="33">
        <f>IF(A115="","",MONTH(A115))</f>
        <v/>
      </c>
      <c r="I115" s="33">
        <f>IF(A115="","",YEAR(A115))</f>
        <v/>
      </c>
    </row>
    <row r="116" ht="15" customHeight="1" s="21">
      <c r="A116" s="34" t="n"/>
      <c r="B116" s="30" t="n"/>
      <c r="C116" s="30" t="n"/>
      <c r="D116" s="30" t="n"/>
      <c r="E116" s="33">
        <f>IF(B116="","",IFERROR(INDEX(Productos!$B$2:$B$501,MATCH(B116,Productos!$A$2:$A$501,0)),"¿Código?"))</f>
        <v/>
      </c>
      <c r="F116" s="32">
        <f>IF(C116&lt;&gt;"Venta","",D116*IFERROR(INDEX(Productos!$D$2:$D$501,MATCH(B116,Productos!$A$2:$A$501,0)),0))</f>
        <v/>
      </c>
      <c r="G116" s="32">
        <f>IF(C116&lt;&gt;"Venta","",D116*IFERROR(INDEX(Productos!$E$2:$E$501,MATCH(B116,Productos!$A$2:$A$501,0)),0))</f>
        <v/>
      </c>
      <c r="H116" s="33">
        <f>IF(A116="","",MONTH(A116))</f>
        <v/>
      </c>
      <c r="I116" s="33">
        <f>IF(A116="","",YEAR(A116))</f>
        <v/>
      </c>
    </row>
    <row r="117" ht="15" customHeight="1" s="21">
      <c r="A117" s="34" t="n"/>
      <c r="B117" s="30" t="n"/>
      <c r="C117" s="30" t="n"/>
      <c r="D117" s="30" t="n"/>
      <c r="E117" s="33">
        <f>IF(B117="","",IFERROR(INDEX(Productos!$B$2:$B$501,MATCH(B117,Productos!$A$2:$A$501,0)),"¿Código?"))</f>
        <v/>
      </c>
      <c r="F117" s="32">
        <f>IF(C117&lt;&gt;"Venta","",D117*IFERROR(INDEX(Productos!$D$2:$D$501,MATCH(B117,Productos!$A$2:$A$501,0)),0))</f>
        <v/>
      </c>
      <c r="G117" s="32">
        <f>IF(C117&lt;&gt;"Venta","",D117*IFERROR(INDEX(Productos!$E$2:$E$501,MATCH(B117,Productos!$A$2:$A$501,0)),0))</f>
        <v/>
      </c>
      <c r="H117" s="33">
        <f>IF(A117="","",MONTH(A117))</f>
        <v/>
      </c>
      <c r="I117" s="33">
        <f>IF(A117="","",YEAR(A117))</f>
        <v/>
      </c>
    </row>
    <row r="118" ht="15" customHeight="1" s="21">
      <c r="A118" s="34" t="n"/>
      <c r="B118" s="30" t="n"/>
      <c r="C118" s="30" t="n"/>
      <c r="D118" s="30" t="n"/>
      <c r="E118" s="33">
        <f>IF(B118="","",IFERROR(INDEX(Productos!$B$2:$B$501,MATCH(B118,Productos!$A$2:$A$501,0)),"¿Código?"))</f>
        <v/>
      </c>
      <c r="F118" s="32">
        <f>IF(C118&lt;&gt;"Venta","",D118*IFERROR(INDEX(Productos!$D$2:$D$501,MATCH(B118,Productos!$A$2:$A$501,0)),0))</f>
        <v/>
      </c>
      <c r="G118" s="32">
        <f>IF(C118&lt;&gt;"Venta","",D118*IFERROR(INDEX(Productos!$E$2:$E$501,MATCH(B118,Productos!$A$2:$A$501,0)),0))</f>
        <v/>
      </c>
      <c r="H118" s="33">
        <f>IF(A118="","",MONTH(A118))</f>
        <v/>
      </c>
      <c r="I118" s="33">
        <f>IF(A118="","",YEAR(A118))</f>
        <v/>
      </c>
    </row>
    <row r="119" ht="15" customHeight="1" s="21">
      <c r="A119" s="34" t="n"/>
      <c r="B119" s="30" t="n"/>
      <c r="C119" s="30" t="n"/>
      <c r="D119" s="30" t="n"/>
      <c r="E119" s="33">
        <f>IF(B119="","",IFERROR(INDEX(Productos!$B$2:$B$501,MATCH(B119,Productos!$A$2:$A$501,0)),"¿Código?"))</f>
        <v/>
      </c>
      <c r="F119" s="32">
        <f>IF(C119&lt;&gt;"Venta","",D119*IFERROR(INDEX(Productos!$D$2:$D$501,MATCH(B119,Productos!$A$2:$A$501,0)),0))</f>
        <v/>
      </c>
      <c r="G119" s="32">
        <f>IF(C119&lt;&gt;"Venta","",D119*IFERROR(INDEX(Productos!$E$2:$E$501,MATCH(B119,Productos!$A$2:$A$501,0)),0))</f>
        <v/>
      </c>
      <c r="H119" s="33">
        <f>IF(A119="","",MONTH(A119))</f>
        <v/>
      </c>
      <c r="I119" s="33">
        <f>IF(A119="","",YEAR(A119))</f>
        <v/>
      </c>
    </row>
    <row r="120" ht="15" customHeight="1" s="21">
      <c r="A120" s="34" t="n"/>
      <c r="B120" s="30" t="n"/>
      <c r="C120" s="30" t="n"/>
      <c r="D120" s="30" t="n"/>
      <c r="E120" s="33">
        <f>IF(B120="","",IFERROR(INDEX(Productos!$B$2:$B$501,MATCH(B120,Productos!$A$2:$A$501,0)),"¿Código?"))</f>
        <v/>
      </c>
      <c r="F120" s="32">
        <f>IF(C120&lt;&gt;"Venta","",D120*IFERROR(INDEX(Productos!$D$2:$D$501,MATCH(B120,Productos!$A$2:$A$501,0)),0))</f>
        <v/>
      </c>
      <c r="G120" s="32">
        <f>IF(C120&lt;&gt;"Venta","",D120*IFERROR(INDEX(Productos!$E$2:$E$501,MATCH(B120,Productos!$A$2:$A$501,0)),0))</f>
        <v/>
      </c>
      <c r="H120" s="33">
        <f>IF(A120="","",MONTH(A120))</f>
        <v/>
      </c>
      <c r="I120" s="33">
        <f>IF(A120="","",YEAR(A120))</f>
        <v/>
      </c>
    </row>
    <row r="121" ht="15" customHeight="1" s="21">
      <c r="A121" s="34" t="n"/>
      <c r="B121" s="30" t="n"/>
      <c r="C121" s="30" t="n"/>
      <c r="D121" s="30" t="n"/>
      <c r="E121" s="33">
        <f>IF(B121="","",IFERROR(INDEX(Productos!$B$2:$B$501,MATCH(B121,Productos!$A$2:$A$501,0)),"¿Código?"))</f>
        <v/>
      </c>
      <c r="F121" s="32">
        <f>IF(C121&lt;&gt;"Venta","",D121*IFERROR(INDEX(Productos!$D$2:$D$501,MATCH(B121,Productos!$A$2:$A$501,0)),0))</f>
        <v/>
      </c>
      <c r="G121" s="32">
        <f>IF(C121&lt;&gt;"Venta","",D121*IFERROR(INDEX(Productos!$E$2:$E$501,MATCH(B121,Productos!$A$2:$A$501,0)),0))</f>
        <v/>
      </c>
      <c r="H121" s="33">
        <f>IF(A121="","",MONTH(A121))</f>
        <v/>
      </c>
      <c r="I121" s="33">
        <f>IF(A121="","",YEAR(A121))</f>
        <v/>
      </c>
    </row>
    <row r="122" ht="15" customHeight="1" s="21">
      <c r="A122" s="34" t="n"/>
      <c r="B122" s="30" t="n"/>
      <c r="C122" s="30" t="n"/>
      <c r="D122" s="30" t="n"/>
      <c r="E122" s="33">
        <f>IF(B122="","",IFERROR(INDEX(Productos!$B$2:$B$501,MATCH(B122,Productos!$A$2:$A$501,0)),"¿Código?"))</f>
        <v/>
      </c>
      <c r="F122" s="32">
        <f>IF(C122&lt;&gt;"Venta","",D122*IFERROR(INDEX(Productos!$D$2:$D$501,MATCH(B122,Productos!$A$2:$A$501,0)),0))</f>
        <v/>
      </c>
      <c r="G122" s="32">
        <f>IF(C122&lt;&gt;"Venta","",D122*IFERROR(INDEX(Productos!$E$2:$E$501,MATCH(B122,Productos!$A$2:$A$501,0)),0))</f>
        <v/>
      </c>
      <c r="H122" s="33">
        <f>IF(A122="","",MONTH(A122))</f>
        <v/>
      </c>
      <c r="I122" s="33">
        <f>IF(A122="","",YEAR(A122))</f>
        <v/>
      </c>
    </row>
    <row r="123" ht="15" customHeight="1" s="21">
      <c r="A123" s="34" t="n"/>
      <c r="B123" s="30" t="n"/>
      <c r="C123" s="30" t="n"/>
      <c r="D123" s="30" t="n"/>
      <c r="E123" s="33">
        <f>IF(B123="","",IFERROR(INDEX(Productos!$B$2:$B$501,MATCH(B123,Productos!$A$2:$A$501,0)),"¿Código?"))</f>
        <v/>
      </c>
      <c r="F123" s="32">
        <f>IF(C123&lt;&gt;"Venta","",D123*IFERROR(INDEX(Productos!$D$2:$D$501,MATCH(B123,Productos!$A$2:$A$501,0)),0))</f>
        <v/>
      </c>
      <c r="G123" s="32">
        <f>IF(C123&lt;&gt;"Venta","",D123*IFERROR(INDEX(Productos!$E$2:$E$501,MATCH(B123,Productos!$A$2:$A$501,0)),0))</f>
        <v/>
      </c>
      <c r="H123" s="33">
        <f>IF(A123="","",MONTH(A123))</f>
        <v/>
      </c>
      <c r="I123" s="33">
        <f>IF(A123="","",YEAR(A123))</f>
        <v/>
      </c>
    </row>
    <row r="124" ht="15" customHeight="1" s="21">
      <c r="A124" s="34" t="n"/>
      <c r="B124" s="30" t="n"/>
      <c r="C124" s="30" t="n"/>
      <c r="D124" s="30" t="n"/>
      <c r="E124" s="33">
        <f>IF(B124="","",IFERROR(INDEX(Productos!$B$2:$B$501,MATCH(B124,Productos!$A$2:$A$501,0)),"¿Código?"))</f>
        <v/>
      </c>
      <c r="F124" s="32">
        <f>IF(C124&lt;&gt;"Venta","",D124*IFERROR(INDEX(Productos!$D$2:$D$501,MATCH(B124,Productos!$A$2:$A$501,0)),0))</f>
        <v/>
      </c>
      <c r="G124" s="32">
        <f>IF(C124&lt;&gt;"Venta","",D124*IFERROR(INDEX(Productos!$E$2:$E$501,MATCH(B124,Productos!$A$2:$A$501,0)),0))</f>
        <v/>
      </c>
      <c r="H124" s="33">
        <f>IF(A124="","",MONTH(A124))</f>
        <v/>
      </c>
      <c r="I124" s="33">
        <f>IF(A124="","",YEAR(A124))</f>
        <v/>
      </c>
    </row>
    <row r="125" ht="15" customHeight="1" s="21">
      <c r="A125" s="34" t="n"/>
      <c r="B125" s="30" t="n"/>
      <c r="C125" s="30" t="n"/>
      <c r="D125" s="30" t="n"/>
      <c r="E125" s="33">
        <f>IF(B125="","",IFERROR(INDEX(Productos!$B$2:$B$501,MATCH(B125,Productos!$A$2:$A$501,0)),"¿Código?"))</f>
        <v/>
      </c>
      <c r="F125" s="32">
        <f>IF(C125&lt;&gt;"Venta","",D125*IFERROR(INDEX(Productos!$D$2:$D$501,MATCH(B125,Productos!$A$2:$A$501,0)),0))</f>
        <v/>
      </c>
      <c r="G125" s="32">
        <f>IF(C125&lt;&gt;"Venta","",D125*IFERROR(INDEX(Productos!$E$2:$E$501,MATCH(B125,Productos!$A$2:$A$501,0)),0))</f>
        <v/>
      </c>
      <c r="H125" s="33">
        <f>IF(A125="","",MONTH(A125))</f>
        <v/>
      </c>
      <c r="I125" s="33">
        <f>IF(A125="","",YEAR(A125))</f>
        <v/>
      </c>
    </row>
    <row r="126" ht="15" customHeight="1" s="21">
      <c r="A126" s="34" t="n"/>
      <c r="B126" s="30" t="n"/>
      <c r="C126" s="30" t="n"/>
      <c r="D126" s="30" t="n"/>
      <c r="E126" s="33">
        <f>IF(B126="","",IFERROR(INDEX(Productos!$B$2:$B$501,MATCH(B126,Productos!$A$2:$A$501,0)),"¿Código?"))</f>
        <v/>
      </c>
      <c r="F126" s="32">
        <f>IF(C126&lt;&gt;"Venta","",D126*IFERROR(INDEX(Productos!$D$2:$D$501,MATCH(B126,Productos!$A$2:$A$501,0)),0))</f>
        <v/>
      </c>
      <c r="G126" s="32">
        <f>IF(C126&lt;&gt;"Venta","",D126*IFERROR(INDEX(Productos!$E$2:$E$501,MATCH(B126,Productos!$A$2:$A$501,0)),0))</f>
        <v/>
      </c>
      <c r="H126" s="33">
        <f>IF(A126="","",MONTH(A126))</f>
        <v/>
      </c>
      <c r="I126" s="33">
        <f>IF(A126="","",YEAR(A126))</f>
        <v/>
      </c>
    </row>
    <row r="127" ht="15" customHeight="1" s="21">
      <c r="A127" s="34" t="n"/>
      <c r="B127" s="30" t="n"/>
      <c r="C127" s="30" t="n"/>
      <c r="D127" s="30" t="n"/>
      <c r="E127" s="33">
        <f>IF(B127="","",IFERROR(INDEX(Productos!$B$2:$B$501,MATCH(B127,Productos!$A$2:$A$501,0)),"¿Código?"))</f>
        <v/>
      </c>
      <c r="F127" s="32">
        <f>IF(C127&lt;&gt;"Venta","",D127*IFERROR(INDEX(Productos!$D$2:$D$501,MATCH(B127,Productos!$A$2:$A$501,0)),0))</f>
        <v/>
      </c>
      <c r="G127" s="32">
        <f>IF(C127&lt;&gt;"Venta","",D127*IFERROR(INDEX(Productos!$E$2:$E$501,MATCH(B127,Productos!$A$2:$A$501,0)),0))</f>
        <v/>
      </c>
      <c r="H127" s="33">
        <f>IF(A127="","",MONTH(A127))</f>
        <v/>
      </c>
      <c r="I127" s="33">
        <f>IF(A127="","",YEAR(A127))</f>
        <v/>
      </c>
    </row>
    <row r="128" ht="15" customHeight="1" s="21">
      <c r="A128" s="34" t="n"/>
      <c r="B128" s="30" t="n"/>
      <c r="C128" s="30" t="n"/>
      <c r="D128" s="30" t="n"/>
      <c r="E128" s="33">
        <f>IF(B128="","",IFERROR(INDEX(Productos!$B$2:$B$501,MATCH(B128,Productos!$A$2:$A$501,0)),"¿Código?"))</f>
        <v/>
      </c>
      <c r="F128" s="32">
        <f>IF(C128&lt;&gt;"Venta","",D128*IFERROR(INDEX(Productos!$D$2:$D$501,MATCH(B128,Productos!$A$2:$A$501,0)),0))</f>
        <v/>
      </c>
      <c r="G128" s="32">
        <f>IF(C128&lt;&gt;"Venta","",D128*IFERROR(INDEX(Productos!$E$2:$E$501,MATCH(B128,Productos!$A$2:$A$501,0)),0))</f>
        <v/>
      </c>
      <c r="H128" s="33">
        <f>IF(A128="","",MONTH(A128))</f>
        <v/>
      </c>
      <c r="I128" s="33">
        <f>IF(A128="","",YEAR(A128))</f>
        <v/>
      </c>
    </row>
    <row r="129" ht="15" customHeight="1" s="21">
      <c r="A129" s="34" t="n"/>
      <c r="B129" s="30" t="n"/>
      <c r="C129" s="30" t="n"/>
      <c r="D129" s="30" t="n"/>
      <c r="E129" s="33">
        <f>IF(B129="","",IFERROR(INDEX(Productos!$B$2:$B$501,MATCH(B129,Productos!$A$2:$A$501,0)),"¿Código?"))</f>
        <v/>
      </c>
      <c r="F129" s="32">
        <f>IF(C129&lt;&gt;"Venta","",D129*IFERROR(INDEX(Productos!$D$2:$D$501,MATCH(B129,Productos!$A$2:$A$501,0)),0))</f>
        <v/>
      </c>
      <c r="G129" s="32">
        <f>IF(C129&lt;&gt;"Venta","",D129*IFERROR(INDEX(Productos!$E$2:$E$501,MATCH(B129,Productos!$A$2:$A$501,0)),0))</f>
        <v/>
      </c>
      <c r="H129" s="33">
        <f>IF(A129="","",MONTH(A129))</f>
        <v/>
      </c>
      <c r="I129" s="33">
        <f>IF(A129="","",YEAR(A129))</f>
        <v/>
      </c>
    </row>
    <row r="130" ht="15" customHeight="1" s="21">
      <c r="A130" s="34" t="n"/>
      <c r="B130" s="30" t="n"/>
      <c r="C130" s="30" t="n"/>
      <c r="D130" s="30" t="n"/>
      <c r="E130" s="33">
        <f>IF(B130="","",IFERROR(INDEX(Productos!$B$2:$B$501,MATCH(B130,Productos!$A$2:$A$501,0)),"¿Código?"))</f>
        <v/>
      </c>
      <c r="F130" s="32">
        <f>IF(C130&lt;&gt;"Venta","",D130*IFERROR(INDEX(Productos!$D$2:$D$501,MATCH(B130,Productos!$A$2:$A$501,0)),0))</f>
        <v/>
      </c>
      <c r="G130" s="32">
        <f>IF(C130&lt;&gt;"Venta","",D130*IFERROR(INDEX(Productos!$E$2:$E$501,MATCH(B130,Productos!$A$2:$A$501,0)),0))</f>
        <v/>
      </c>
      <c r="H130" s="33">
        <f>IF(A130="","",MONTH(A130))</f>
        <v/>
      </c>
      <c r="I130" s="33">
        <f>IF(A130="","",YEAR(A130))</f>
        <v/>
      </c>
    </row>
    <row r="131" ht="15" customHeight="1" s="21">
      <c r="A131" s="34" t="n"/>
      <c r="B131" s="30" t="n"/>
      <c r="C131" s="30" t="n"/>
      <c r="D131" s="30" t="n"/>
      <c r="E131" s="33">
        <f>IF(B131="","",IFERROR(INDEX(Productos!$B$2:$B$501,MATCH(B131,Productos!$A$2:$A$501,0)),"¿Código?"))</f>
        <v/>
      </c>
      <c r="F131" s="32">
        <f>IF(C131&lt;&gt;"Venta","",D131*IFERROR(INDEX(Productos!$D$2:$D$501,MATCH(B131,Productos!$A$2:$A$501,0)),0))</f>
        <v/>
      </c>
      <c r="G131" s="32">
        <f>IF(C131&lt;&gt;"Venta","",D131*IFERROR(INDEX(Productos!$E$2:$E$501,MATCH(B131,Productos!$A$2:$A$501,0)),0))</f>
        <v/>
      </c>
      <c r="H131" s="33">
        <f>IF(A131="","",MONTH(A131))</f>
        <v/>
      </c>
      <c r="I131" s="33">
        <f>IF(A131="","",YEAR(A131))</f>
        <v/>
      </c>
    </row>
    <row r="132" ht="15" customHeight="1" s="21">
      <c r="A132" s="34" t="n"/>
      <c r="B132" s="30" t="n"/>
      <c r="C132" s="30" t="n"/>
      <c r="D132" s="30" t="n"/>
      <c r="E132" s="33">
        <f>IF(B132="","",IFERROR(INDEX(Productos!$B$2:$B$501,MATCH(B132,Productos!$A$2:$A$501,0)),"¿Código?"))</f>
        <v/>
      </c>
      <c r="F132" s="32">
        <f>IF(C132&lt;&gt;"Venta","",D132*IFERROR(INDEX(Productos!$D$2:$D$501,MATCH(B132,Productos!$A$2:$A$501,0)),0))</f>
        <v/>
      </c>
      <c r="G132" s="32">
        <f>IF(C132&lt;&gt;"Venta","",D132*IFERROR(INDEX(Productos!$E$2:$E$501,MATCH(B132,Productos!$A$2:$A$501,0)),0))</f>
        <v/>
      </c>
      <c r="H132" s="33">
        <f>IF(A132="","",MONTH(A132))</f>
        <v/>
      </c>
      <c r="I132" s="33">
        <f>IF(A132="","",YEAR(A132))</f>
        <v/>
      </c>
    </row>
    <row r="133" ht="15" customHeight="1" s="21">
      <c r="A133" s="34" t="n"/>
      <c r="B133" s="30" t="n"/>
      <c r="C133" s="30" t="n"/>
      <c r="D133" s="30" t="n"/>
      <c r="E133" s="33">
        <f>IF(B133="","",IFERROR(INDEX(Productos!$B$2:$B$501,MATCH(B133,Productos!$A$2:$A$501,0)),"¿Código?"))</f>
        <v/>
      </c>
      <c r="F133" s="32">
        <f>IF(C133&lt;&gt;"Venta","",D133*IFERROR(INDEX(Productos!$D$2:$D$501,MATCH(B133,Productos!$A$2:$A$501,0)),0))</f>
        <v/>
      </c>
      <c r="G133" s="32">
        <f>IF(C133&lt;&gt;"Venta","",D133*IFERROR(INDEX(Productos!$E$2:$E$501,MATCH(B133,Productos!$A$2:$A$501,0)),0))</f>
        <v/>
      </c>
      <c r="H133" s="33">
        <f>IF(A133="","",MONTH(A133))</f>
        <v/>
      </c>
      <c r="I133" s="33">
        <f>IF(A133="","",YEAR(A133))</f>
        <v/>
      </c>
    </row>
    <row r="134" ht="15" customHeight="1" s="21">
      <c r="A134" s="34" t="n"/>
      <c r="B134" s="30" t="n"/>
      <c r="C134" s="30" t="n"/>
      <c r="D134" s="30" t="n"/>
      <c r="E134" s="33">
        <f>IF(B134="","",IFERROR(INDEX(Productos!$B$2:$B$501,MATCH(B134,Productos!$A$2:$A$501,0)),"¿Código?"))</f>
        <v/>
      </c>
      <c r="F134" s="32">
        <f>IF(C134&lt;&gt;"Venta","",D134*IFERROR(INDEX(Productos!$D$2:$D$501,MATCH(B134,Productos!$A$2:$A$501,0)),0))</f>
        <v/>
      </c>
      <c r="G134" s="32">
        <f>IF(C134&lt;&gt;"Venta","",D134*IFERROR(INDEX(Productos!$E$2:$E$501,MATCH(B134,Productos!$A$2:$A$501,0)),0))</f>
        <v/>
      </c>
      <c r="H134" s="33">
        <f>IF(A134="","",MONTH(A134))</f>
        <v/>
      </c>
      <c r="I134" s="33">
        <f>IF(A134="","",YEAR(A134))</f>
        <v/>
      </c>
    </row>
    <row r="135" ht="15" customHeight="1" s="21">
      <c r="A135" s="34" t="n"/>
      <c r="B135" s="30" t="n"/>
      <c r="C135" s="30" t="n"/>
      <c r="D135" s="30" t="n"/>
      <c r="E135" s="33">
        <f>IF(B135="","",IFERROR(INDEX(Productos!$B$2:$B$501,MATCH(B135,Productos!$A$2:$A$501,0)),"¿Código?"))</f>
        <v/>
      </c>
      <c r="F135" s="32">
        <f>IF(C135&lt;&gt;"Venta","",D135*IFERROR(INDEX(Productos!$D$2:$D$501,MATCH(B135,Productos!$A$2:$A$501,0)),0))</f>
        <v/>
      </c>
      <c r="G135" s="32">
        <f>IF(C135&lt;&gt;"Venta","",D135*IFERROR(INDEX(Productos!$E$2:$E$501,MATCH(B135,Productos!$A$2:$A$501,0)),0))</f>
        <v/>
      </c>
      <c r="H135" s="33">
        <f>IF(A135="","",MONTH(A135))</f>
        <v/>
      </c>
      <c r="I135" s="33">
        <f>IF(A135="","",YEAR(A135))</f>
        <v/>
      </c>
    </row>
    <row r="136" ht="15" customHeight="1" s="21">
      <c r="A136" s="34" t="n"/>
      <c r="B136" s="30" t="n"/>
      <c r="C136" s="30" t="n"/>
      <c r="D136" s="30" t="n"/>
      <c r="E136" s="33">
        <f>IF(B136="","",IFERROR(INDEX(Productos!$B$2:$B$501,MATCH(B136,Productos!$A$2:$A$501,0)),"¿Código?"))</f>
        <v/>
      </c>
      <c r="F136" s="32">
        <f>IF(C136&lt;&gt;"Venta","",D136*IFERROR(INDEX(Productos!$D$2:$D$501,MATCH(B136,Productos!$A$2:$A$501,0)),0))</f>
        <v/>
      </c>
      <c r="G136" s="32">
        <f>IF(C136&lt;&gt;"Venta","",D136*IFERROR(INDEX(Productos!$E$2:$E$501,MATCH(B136,Productos!$A$2:$A$501,0)),0))</f>
        <v/>
      </c>
      <c r="H136" s="33">
        <f>IF(A136="","",MONTH(A136))</f>
        <v/>
      </c>
      <c r="I136" s="33">
        <f>IF(A136="","",YEAR(A136))</f>
        <v/>
      </c>
    </row>
    <row r="137" ht="15" customHeight="1" s="21">
      <c r="A137" s="34" t="n"/>
      <c r="B137" s="30" t="n"/>
      <c r="C137" s="30" t="n"/>
      <c r="D137" s="30" t="n"/>
      <c r="E137" s="33">
        <f>IF(B137="","",IFERROR(INDEX(Productos!$B$2:$B$501,MATCH(B137,Productos!$A$2:$A$501,0)),"¿Código?"))</f>
        <v/>
      </c>
      <c r="F137" s="32">
        <f>IF(C137&lt;&gt;"Venta","",D137*IFERROR(INDEX(Productos!$D$2:$D$501,MATCH(B137,Productos!$A$2:$A$501,0)),0))</f>
        <v/>
      </c>
      <c r="G137" s="32">
        <f>IF(C137&lt;&gt;"Venta","",D137*IFERROR(INDEX(Productos!$E$2:$E$501,MATCH(B137,Productos!$A$2:$A$501,0)),0))</f>
        <v/>
      </c>
      <c r="H137" s="33">
        <f>IF(A137="","",MONTH(A137))</f>
        <v/>
      </c>
      <c r="I137" s="33">
        <f>IF(A137="","",YEAR(A137))</f>
        <v/>
      </c>
    </row>
    <row r="138" ht="15" customHeight="1" s="21">
      <c r="A138" s="34" t="n"/>
      <c r="B138" s="30" t="n"/>
      <c r="C138" s="30" t="n"/>
      <c r="D138" s="30" t="n"/>
      <c r="E138" s="33">
        <f>IF(B138="","",IFERROR(INDEX(Productos!$B$2:$B$501,MATCH(B138,Productos!$A$2:$A$501,0)),"¿Código?"))</f>
        <v/>
      </c>
      <c r="F138" s="32">
        <f>IF(C138&lt;&gt;"Venta","",D138*IFERROR(INDEX(Productos!$D$2:$D$501,MATCH(B138,Productos!$A$2:$A$501,0)),0))</f>
        <v/>
      </c>
      <c r="G138" s="32">
        <f>IF(C138&lt;&gt;"Venta","",D138*IFERROR(INDEX(Productos!$E$2:$E$501,MATCH(B138,Productos!$A$2:$A$501,0)),0))</f>
        <v/>
      </c>
      <c r="H138" s="33">
        <f>IF(A138="","",MONTH(A138))</f>
        <v/>
      </c>
      <c r="I138" s="33">
        <f>IF(A138="","",YEAR(A138))</f>
        <v/>
      </c>
    </row>
    <row r="139" ht="15" customHeight="1" s="21">
      <c r="A139" s="34" t="n"/>
      <c r="B139" s="30" t="n"/>
      <c r="C139" s="30" t="n"/>
      <c r="D139" s="30" t="n"/>
      <c r="E139" s="33">
        <f>IF(B139="","",IFERROR(INDEX(Productos!$B$2:$B$501,MATCH(B139,Productos!$A$2:$A$501,0)),"¿Código?"))</f>
        <v/>
      </c>
      <c r="F139" s="32">
        <f>IF(C139&lt;&gt;"Venta","",D139*IFERROR(INDEX(Productos!$D$2:$D$501,MATCH(B139,Productos!$A$2:$A$501,0)),0))</f>
        <v/>
      </c>
      <c r="G139" s="32">
        <f>IF(C139&lt;&gt;"Venta","",D139*IFERROR(INDEX(Productos!$E$2:$E$501,MATCH(B139,Productos!$A$2:$A$501,0)),0))</f>
        <v/>
      </c>
      <c r="H139" s="33">
        <f>IF(A139="","",MONTH(A139))</f>
        <v/>
      </c>
      <c r="I139" s="33">
        <f>IF(A139="","",YEAR(A139))</f>
        <v/>
      </c>
    </row>
    <row r="140" ht="15" customHeight="1" s="21">
      <c r="A140" s="34" t="n"/>
      <c r="B140" s="30" t="n"/>
      <c r="C140" s="30" t="n"/>
      <c r="D140" s="30" t="n"/>
      <c r="E140" s="33">
        <f>IF(B140="","",IFERROR(INDEX(Productos!$B$2:$B$501,MATCH(B140,Productos!$A$2:$A$501,0)),"¿Código?"))</f>
        <v/>
      </c>
      <c r="F140" s="32">
        <f>IF(C140&lt;&gt;"Venta","",D140*IFERROR(INDEX(Productos!$D$2:$D$501,MATCH(B140,Productos!$A$2:$A$501,0)),0))</f>
        <v/>
      </c>
      <c r="G140" s="32">
        <f>IF(C140&lt;&gt;"Venta","",D140*IFERROR(INDEX(Productos!$E$2:$E$501,MATCH(B140,Productos!$A$2:$A$501,0)),0))</f>
        <v/>
      </c>
      <c r="H140" s="33">
        <f>IF(A140="","",MONTH(A140))</f>
        <v/>
      </c>
      <c r="I140" s="33">
        <f>IF(A140="","",YEAR(A140))</f>
        <v/>
      </c>
    </row>
    <row r="141" ht="15" customHeight="1" s="21">
      <c r="A141" s="34" t="n"/>
      <c r="B141" s="30" t="n"/>
      <c r="C141" s="30" t="n"/>
      <c r="D141" s="30" t="n"/>
      <c r="E141" s="33">
        <f>IF(B141="","",IFERROR(INDEX(Productos!$B$2:$B$501,MATCH(B141,Productos!$A$2:$A$501,0)),"¿Código?"))</f>
        <v/>
      </c>
      <c r="F141" s="32">
        <f>IF(C141&lt;&gt;"Venta","",D141*IFERROR(INDEX(Productos!$D$2:$D$501,MATCH(B141,Productos!$A$2:$A$501,0)),0))</f>
        <v/>
      </c>
      <c r="G141" s="32">
        <f>IF(C141&lt;&gt;"Venta","",D141*IFERROR(INDEX(Productos!$E$2:$E$501,MATCH(B141,Productos!$A$2:$A$501,0)),0))</f>
        <v/>
      </c>
      <c r="H141" s="33">
        <f>IF(A141="","",MONTH(A141))</f>
        <v/>
      </c>
      <c r="I141" s="33">
        <f>IF(A141="","",YEAR(A141))</f>
        <v/>
      </c>
    </row>
    <row r="142" ht="15" customHeight="1" s="21">
      <c r="A142" s="34" t="n"/>
      <c r="B142" s="30" t="n"/>
      <c r="C142" s="30" t="n"/>
      <c r="D142" s="30" t="n"/>
      <c r="E142" s="33">
        <f>IF(B142="","",IFERROR(INDEX(Productos!$B$2:$B$501,MATCH(B142,Productos!$A$2:$A$501,0)),"¿Código?"))</f>
        <v/>
      </c>
      <c r="F142" s="32">
        <f>IF(C142&lt;&gt;"Venta","",D142*IFERROR(INDEX(Productos!$D$2:$D$501,MATCH(B142,Productos!$A$2:$A$501,0)),0))</f>
        <v/>
      </c>
      <c r="G142" s="32">
        <f>IF(C142&lt;&gt;"Venta","",D142*IFERROR(INDEX(Productos!$E$2:$E$501,MATCH(B142,Productos!$A$2:$A$501,0)),0))</f>
        <v/>
      </c>
      <c r="H142" s="33">
        <f>IF(A142="","",MONTH(A142))</f>
        <v/>
      </c>
      <c r="I142" s="33">
        <f>IF(A142="","",YEAR(A142))</f>
        <v/>
      </c>
    </row>
    <row r="143" ht="15" customHeight="1" s="21">
      <c r="A143" s="34" t="n"/>
      <c r="B143" s="30" t="n"/>
      <c r="C143" s="30" t="n"/>
      <c r="D143" s="30" t="n"/>
      <c r="E143" s="33">
        <f>IF(B143="","",IFERROR(INDEX(Productos!$B$2:$B$501,MATCH(B143,Productos!$A$2:$A$501,0)),"¿Código?"))</f>
        <v/>
      </c>
      <c r="F143" s="32">
        <f>IF(C143&lt;&gt;"Venta","",D143*IFERROR(INDEX(Productos!$D$2:$D$501,MATCH(B143,Productos!$A$2:$A$501,0)),0))</f>
        <v/>
      </c>
      <c r="G143" s="32">
        <f>IF(C143&lt;&gt;"Venta","",D143*IFERROR(INDEX(Productos!$E$2:$E$501,MATCH(B143,Productos!$A$2:$A$501,0)),0))</f>
        <v/>
      </c>
      <c r="H143" s="33">
        <f>IF(A143="","",MONTH(A143))</f>
        <v/>
      </c>
      <c r="I143" s="33">
        <f>IF(A143="","",YEAR(A143))</f>
        <v/>
      </c>
    </row>
    <row r="144" ht="15" customHeight="1" s="21">
      <c r="A144" s="34" t="n"/>
      <c r="B144" s="30" t="n"/>
      <c r="C144" s="30" t="n"/>
      <c r="D144" s="30" t="n"/>
      <c r="E144" s="33">
        <f>IF(B144="","",IFERROR(INDEX(Productos!$B$2:$B$501,MATCH(B144,Productos!$A$2:$A$501,0)),"¿Código?"))</f>
        <v/>
      </c>
      <c r="F144" s="32">
        <f>IF(C144&lt;&gt;"Venta","",D144*IFERROR(INDEX(Productos!$D$2:$D$501,MATCH(B144,Productos!$A$2:$A$501,0)),0))</f>
        <v/>
      </c>
      <c r="G144" s="32">
        <f>IF(C144&lt;&gt;"Venta","",D144*IFERROR(INDEX(Productos!$E$2:$E$501,MATCH(B144,Productos!$A$2:$A$501,0)),0))</f>
        <v/>
      </c>
      <c r="H144" s="33">
        <f>IF(A144="","",MONTH(A144))</f>
        <v/>
      </c>
      <c r="I144" s="33">
        <f>IF(A144="","",YEAR(A144))</f>
        <v/>
      </c>
    </row>
    <row r="145" ht="15" customHeight="1" s="21">
      <c r="A145" s="34" t="n"/>
      <c r="B145" s="30" t="n"/>
      <c r="C145" s="30" t="n"/>
      <c r="D145" s="30" t="n"/>
      <c r="E145" s="33">
        <f>IF(B145="","",IFERROR(INDEX(Productos!$B$2:$B$501,MATCH(B145,Productos!$A$2:$A$501,0)),"¿Código?"))</f>
        <v/>
      </c>
      <c r="F145" s="32">
        <f>IF(C145&lt;&gt;"Venta","",D145*IFERROR(INDEX(Productos!$D$2:$D$501,MATCH(B145,Productos!$A$2:$A$501,0)),0))</f>
        <v/>
      </c>
      <c r="G145" s="32">
        <f>IF(C145&lt;&gt;"Venta","",D145*IFERROR(INDEX(Productos!$E$2:$E$501,MATCH(B145,Productos!$A$2:$A$501,0)),0))</f>
        <v/>
      </c>
      <c r="H145" s="33">
        <f>IF(A145="","",MONTH(A145))</f>
        <v/>
      </c>
      <c r="I145" s="33">
        <f>IF(A145="","",YEAR(A145))</f>
        <v/>
      </c>
    </row>
    <row r="146" ht="15" customHeight="1" s="21">
      <c r="A146" s="34" t="n"/>
      <c r="B146" s="30" t="n"/>
      <c r="C146" s="30" t="n"/>
      <c r="D146" s="30" t="n"/>
      <c r="E146" s="33">
        <f>IF(B146="","",IFERROR(INDEX(Productos!$B$2:$B$501,MATCH(B146,Productos!$A$2:$A$501,0)),"¿Código?"))</f>
        <v/>
      </c>
      <c r="F146" s="32">
        <f>IF(C146&lt;&gt;"Venta","",D146*IFERROR(INDEX(Productos!$D$2:$D$501,MATCH(B146,Productos!$A$2:$A$501,0)),0))</f>
        <v/>
      </c>
      <c r="G146" s="32">
        <f>IF(C146&lt;&gt;"Venta","",D146*IFERROR(INDEX(Productos!$E$2:$E$501,MATCH(B146,Productos!$A$2:$A$501,0)),0))</f>
        <v/>
      </c>
      <c r="H146" s="33">
        <f>IF(A146="","",MONTH(A146))</f>
        <v/>
      </c>
      <c r="I146" s="33">
        <f>IF(A146="","",YEAR(A146))</f>
        <v/>
      </c>
    </row>
    <row r="147" ht="15" customHeight="1" s="21">
      <c r="A147" s="34" t="n"/>
      <c r="B147" s="30" t="n"/>
      <c r="C147" s="30" t="n"/>
      <c r="D147" s="30" t="n"/>
      <c r="E147" s="33">
        <f>IF(B147="","",IFERROR(INDEX(Productos!$B$2:$B$501,MATCH(B147,Productos!$A$2:$A$501,0)),"¿Código?"))</f>
        <v/>
      </c>
      <c r="F147" s="32">
        <f>IF(C147&lt;&gt;"Venta","",D147*IFERROR(INDEX(Productos!$D$2:$D$501,MATCH(B147,Productos!$A$2:$A$501,0)),0))</f>
        <v/>
      </c>
      <c r="G147" s="32">
        <f>IF(C147&lt;&gt;"Venta","",D147*IFERROR(INDEX(Productos!$E$2:$E$501,MATCH(B147,Productos!$A$2:$A$501,0)),0))</f>
        <v/>
      </c>
      <c r="H147" s="33">
        <f>IF(A147="","",MONTH(A147))</f>
        <v/>
      </c>
      <c r="I147" s="33">
        <f>IF(A147="","",YEAR(A147))</f>
        <v/>
      </c>
    </row>
    <row r="148" ht="15" customHeight="1" s="21">
      <c r="A148" s="34" t="n"/>
      <c r="B148" s="30" t="n"/>
      <c r="C148" s="30" t="n"/>
      <c r="D148" s="30" t="n"/>
      <c r="E148" s="33">
        <f>IF(B148="","",IFERROR(INDEX(Productos!$B$2:$B$501,MATCH(B148,Productos!$A$2:$A$501,0)),"¿Código?"))</f>
        <v/>
      </c>
      <c r="F148" s="32">
        <f>IF(C148&lt;&gt;"Venta","",D148*IFERROR(INDEX(Productos!$D$2:$D$501,MATCH(B148,Productos!$A$2:$A$501,0)),0))</f>
        <v/>
      </c>
      <c r="G148" s="32">
        <f>IF(C148&lt;&gt;"Venta","",D148*IFERROR(INDEX(Productos!$E$2:$E$501,MATCH(B148,Productos!$A$2:$A$501,0)),0))</f>
        <v/>
      </c>
      <c r="H148" s="33">
        <f>IF(A148="","",MONTH(A148))</f>
        <v/>
      </c>
      <c r="I148" s="33">
        <f>IF(A148="","",YEAR(A148))</f>
        <v/>
      </c>
    </row>
    <row r="149" ht="15" customHeight="1" s="21">
      <c r="A149" s="34" t="n"/>
      <c r="B149" s="30" t="n"/>
      <c r="C149" s="30" t="n"/>
      <c r="D149" s="30" t="n"/>
      <c r="E149" s="33">
        <f>IF(B149="","",IFERROR(INDEX(Productos!$B$2:$B$501,MATCH(B149,Productos!$A$2:$A$501,0)),"¿Código?"))</f>
        <v/>
      </c>
      <c r="F149" s="32">
        <f>IF(C149&lt;&gt;"Venta","",D149*IFERROR(INDEX(Productos!$D$2:$D$501,MATCH(B149,Productos!$A$2:$A$501,0)),0))</f>
        <v/>
      </c>
      <c r="G149" s="32">
        <f>IF(C149&lt;&gt;"Venta","",D149*IFERROR(INDEX(Productos!$E$2:$E$501,MATCH(B149,Productos!$A$2:$A$501,0)),0))</f>
        <v/>
      </c>
      <c r="H149" s="33">
        <f>IF(A149="","",MONTH(A149))</f>
        <v/>
      </c>
      <c r="I149" s="33">
        <f>IF(A149="","",YEAR(A149))</f>
        <v/>
      </c>
    </row>
    <row r="150" ht="15" customHeight="1" s="21">
      <c r="A150" s="34" t="n"/>
      <c r="B150" s="30" t="n"/>
      <c r="C150" s="30" t="n"/>
      <c r="D150" s="30" t="n"/>
      <c r="E150" s="33">
        <f>IF(B150="","",IFERROR(INDEX(Productos!$B$2:$B$501,MATCH(B150,Productos!$A$2:$A$501,0)),"¿Código?"))</f>
        <v/>
      </c>
      <c r="F150" s="32">
        <f>IF(C150&lt;&gt;"Venta","",D150*IFERROR(INDEX(Productos!$D$2:$D$501,MATCH(B150,Productos!$A$2:$A$501,0)),0))</f>
        <v/>
      </c>
      <c r="G150" s="32">
        <f>IF(C150&lt;&gt;"Venta","",D150*IFERROR(INDEX(Productos!$E$2:$E$501,MATCH(B150,Productos!$A$2:$A$501,0)),0))</f>
        <v/>
      </c>
      <c r="H150" s="33">
        <f>IF(A150="","",MONTH(A150))</f>
        <v/>
      </c>
      <c r="I150" s="33">
        <f>IF(A150="","",YEAR(A150))</f>
        <v/>
      </c>
    </row>
    <row r="151" ht="15" customHeight="1" s="21">
      <c r="A151" s="34" t="n"/>
      <c r="B151" s="30" t="n"/>
      <c r="C151" s="30" t="n"/>
      <c r="D151" s="30" t="n"/>
      <c r="E151" s="33">
        <f>IF(B151="","",IFERROR(INDEX(Productos!$B$2:$B$501,MATCH(B151,Productos!$A$2:$A$501,0)),"¿Código?"))</f>
        <v/>
      </c>
      <c r="F151" s="32">
        <f>IF(C151&lt;&gt;"Venta","",D151*IFERROR(INDEX(Productos!$D$2:$D$501,MATCH(B151,Productos!$A$2:$A$501,0)),0))</f>
        <v/>
      </c>
      <c r="G151" s="32">
        <f>IF(C151&lt;&gt;"Venta","",D151*IFERROR(INDEX(Productos!$E$2:$E$501,MATCH(B151,Productos!$A$2:$A$501,0)),0))</f>
        <v/>
      </c>
      <c r="H151" s="33">
        <f>IF(A151="","",MONTH(A151))</f>
        <v/>
      </c>
      <c r="I151" s="33">
        <f>IF(A151="","",YEAR(A151))</f>
        <v/>
      </c>
    </row>
    <row r="152" ht="15" customHeight="1" s="21">
      <c r="A152" s="34" t="n"/>
      <c r="B152" s="30" t="n"/>
      <c r="C152" s="30" t="n"/>
      <c r="D152" s="30" t="n"/>
      <c r="E152" s="33">
        <f>IF(B152="","",IFERROR(INDEX(Productos!$B$2:$B$501,MATCH(B152,Productos!$A$2:$A$501,0)),"¿Código?"))</f>
        <v/>
      </c>
      <c r="F152" s="32">
        <f>IF(C152&lt;&gt;"Venta","",D152*IFERROR(INDEX(Productos!$D$2:$D$501,MATCH(B152,Productos!$A$2:$A$501,0)),0))</f>
        <v/>
      </c>
      <c r="G152" s="32">
        <f>IF(C152&lt;&gt;"Venta","",D152*IFERROR(INDEX(Productos!$E$2:$E$501,MATCH(B152,Productos!$A$2:$A$501,0)),0))</f>
        <v/>
      </c>
      <c r="H152" s="33">
        <f>IF(A152="","",MONTH(A152))</f>
        <v/>
      </c>
      <c r="I152" s="33">
        <f>IF(A152="","",YEAR(A152))</f>
        <v/>
      </c>
    </row>
    <row r="153" ht="15" customHeight="1" s="21">
      <c r="A153" s="34" t="n"/>
      <c r="B153" s="30" t="n"/>
      <c r="C153" s="30" t="n"/>
      <c r="D153" s="30" t="n"/>
      <c r="E153" s="33">
        <f>IF(B153="","",IFERROR(INDEX(Productos!$B$2:$B$501,MATCH(B153,Productos!$A$2:$A$501,0)),"¿Código?"))</f>
        <v/>
      </c>
      <c r="F153" s="32">
        <f>IF(C153&lt;&gt;"Venta","",D153*IFERROR(INDEX(Productos!$D$2:$D$501,MATCH(B153,Productos!$A$2:$A$501,0)),0))</f>
        <v/>
      </c>
      <c r="G153" s="32">
        <f>IF(C153&lt;&gt;"Venta","",D153*IFERROR(INDEX(Productos!$E$2:$E$501,MATCH(B153,Productos!$A$2:$A$501,0)),0))</f>
        <v/>
      </c>
      <c r="H153" s="33">
        <f>IF(A153="","",MONTH(A153))</f>
        <v/>
      </c>
      <c r="I153" s="33">
        <f>IF(A153="","",YEAR(A153))</f>
        <v/>
      </c>
    </row>
    <row r="154" ht="15" customHeight="1" s="21">
      <c r="A154" s="34" t="n"/>
      <c r="B154" s="30" t="n"/>
      <c r="C154" s="30" t="n"/>
      <c r="D154" s="30" t="n"/>
      <c r="E154" s="33">
        <f>IF(B154="","",IFERROR(INDEX(Productos!$B$2:$B$501,MATCH(B154,Productos!$A$2:$A$501,0)),"¿Código?"))</f>
        <v/>
      </c>
      <c r="F154" s="32">
        <f>IF(C154&lt;&gt;"Venta","",D154*IFERROR(INDEX(Productos!$D$2:$D$501,MATCH(B154,Productos!$A$2:$A$501,0)),0))</f>
        <v/>
      </c>
      <c r="G154" s="32">
        <f>IF(C154&lt;&gt;"Venta","",D154*IFERROR(INDEX(Productos!$E$2:$E$501,MATCH(B154,Productos!$A$2:$A$501,0)),0))</f>
        <v/>
      </c>
      <c r="H154" s="33">
        <f>IF(A154="","",MONTH(A154))</f>
        <v/>
      </c>
      <c r="I154" s="33">
        <f>IF(A154="","",YEAR(A154))</f>
        <v/>
      </c>
    </row>
    <row r="155" ht="15" customHeight="1" s="21">
      <c r="A155" s="34" t="n"/>
      <c r="B155" s="30" t="n"/>
      <c r="C155" s="30" t="n"/>
      <c r="D155" s="30" t="n"/>
      <c r="E155" s="33">
        <f>IF(B155="","",IFERROR(INDEX(Productos!$B$2:$B$501,MATCH(B155,Productos!$A$2:$A$501,0)),"¿Código?"))</f>
        <v/>
      </c>
      <c r="F155" s="32">
        <f>IF(C155&lt;&gt;"Venta","",D155*IFERROR(INDEX(Productos!$D$2:$D$501,MATCH(B155,Productos!$A$2:$A$501,0)),0))</f>
        <v/>
      </c>
      <c r="G155" s="32">
        <f>IF(C155&lt;&gt;"Venta","",D155*IFERROR(INDEX(Productos!$E$2:$E$501,MATCH(B155,Productos!$A$2:$A$501,0)),0))</f>
        <v/>
      </c>
      <c r="H155" s="33">
        <f>IF(A155="","",MONTH(A155))</f>
        <v/>
      </c>
      <c r="I155" s="33">
        <f>IF(A155="","",YEAR(A155))</f>
        <v/>
      </c>
    </row>
    <row r="156" ht="15" customHeight="1" s="21">
      <c r="A156" s="34" t="n"/>
      <c r="B156" s="30" t="n"/>
      <c r="C156" s="30" t="n"/>
      <c r="D156" s="30" t="n"/>
      <c r="E156" s="33">
        <f>IF(B156="","",IFERROR(INDEX(Productos!$B$2:$B$501,MATCH(B156,Productos!$A$2:$A$501,0)),"¿Código?"))</f>
        <v/>
      </c>
      <c r="F156" s="32">
        <f>IF(C156&lt;&gt;"Venta","",D156*IFERROR(INDEX(Productos!$D$2:$D$501,MATCH(B156,Productos!$A$2:$A$501,0)),0))</f>
        <v/>
      </c>
      <c r="G156" s="32">
        <f>IF(C156&lt;&gt;"Venta","",D156*IFERROR(INDEX(Productos!$E$2:$E$501,MATCH(B156,Productos!$A$2:$A$501,0)),0))</f>
        <v/>
      </c>
      <c r="H156" s="33">
        <f>IF(A156="","",MONTH(A156))</f>
        <v/>
      </c>
      <c r="I156" s="33">
        <f>IF(A156="","",YEAR(A156))</f>
        <v/>
      </c>
    </row>
    <row r="157" ht="15" customHeight="1" s="21">
      <c r="A157" s="34" t="n"/>
      <c r="B157" s="30" t="n"/>
      <c r="C157" s="30" t="n"/>
      <c r="D157" s="30" t="n"/>
      <c r="E157" s="33">
        <f>IF(B157="","",IFERROR(INDEX(Productos!$B$2:$B$501,MATCH(B157,Productos!$A$2:$A$501,0)),"¿Código?"))</f>
        <v/>
      </c>
      <c r="F157" s="32">
        <f>IF(C157&lt;&gt;"Venta","",D157*IFERROR(INDEX(Productos!$D$2:$D$501,MATCH(B157,Productos!$A$2:$A$501,0)),0))</f>
        <v/>
      </c>
      <c r="G157" s="32">
        <f>IF(C157&lt;&gt;"Venta","",D157*IFERROR(INDEX(Productos!$E$2:$E$501,MATCH(B157,Productos!$A$2:$A$501,0)),0))</f>
        <v/>
      </c>
      <c r="H157" s="33">
        <f>IF(A157="","",MONTH(A157))</f>
        <v/>
      </c>
      <c r="I157" s="33">
        <f>IF(A157="","",YEAR(A157))</f>
        <v/>
      </c>
    </row>
    <row r="158" ht="15" customHeight="1" s="21">
      <c r="A158" s="34" t="n"/>
      <c r="B158" s="30" t="n"/>
      <c r="C158" s="30" t="n"/>
      <c r="D158" s="30" t="n"/>
      <c r="E158" s="33">
        <f>IF(B158="","",IFERROR(INDEX(Productos!$B$2:$B$501,MATCH(B158,Productos!$A$2:$A$501,0)),"¿Código?"))</f>
        <v/>
      </c>
      <c r="F158" s="32">
        <f>IF(C158&lt;&gt;"Venta","",D158*IFERROR(INDEX(Productos!$D$2:$D$501,MATCH(B158,Productos!$A$2:$A$501,0)),0))</f>
        <v/>
      </c>
      <c r="G158" s="32">
        <f>IF(C158&lt;&gt;"Venta","",D158*IFERROR(INDEX(Productos!$E$2:$E$501,MATCH(B158,Productos!$A$2:$A$501,0)),0))</f>
        <v/>
      </c>
      <c r="H158" s="33">
        <f>IF(A158="","",MONTH(A158))</f>
        <v/>
      </c>
      <c r="I158" s="33">
        <f>IF(A158="","",YEAR(A158))</f>
        <v/>
      </c>
    </row>
    <row r="159" ht="15" customHeight="1" s="21">
      <c r="A159" s="34" t="n"/>
      <c r="B159" s="30" t="n"/>
      <c r="C159" s="30" t="n"/>
      <c r="D159" s="30" t="n"/>
      <c r="E159" s="33">
        <f>IF(B159="","",IFERROR(INDEX(Productos!$B$2:$B$501,MATCH(B159,Productos!$A$2:$A$501,0)),"¿Código?"))</f>
        <v/>
      </c>
      <c r="F159" s="32">
        <f>IF(C159&lt;&gt;"Venta","",D159*IFERROR(INDEX(Productos!$D$2:$D$501,MATCH(B159,Productos!$A$2:$A$501,0)),0))</f>
        <v/>
      </c>
      <c r="G159" s="32">
        <f>IF(C159&lt;&gt;"Venta","",D159*IFERROR(INDEX(Productos!$E$2:$E$501,MATCH(B159,Productos!$A$2:$A$501,0)),0))</f>
        <v/>
      </c>
      <c r="H159" s="33">
        <f>IF(A159="","",MONTH(A159))</f>
        <v/>
      </c>
      <c r="I159" s="33">
        <f>IF(A159="","",YEAR(A159))</f>
        <v/>
      </c>
    </row>
    <row r="160" ht="15" customHeight="1" s="21">
      <c r="A160" s="34" t="n"/>
      <c r="B160" s="30" t="n"/>
      <c r="C160" s="30" t="n"/>
      <c r="D160" s="30" t="n"/>
      <c r="E160" s="33">
        <f>IF(B160="","",IFERROR(INDEX(Productos!$B$2:$B$501,MATCH(B160,Productos!$A$2:$A$501,0)),"¿Código?"))</f>
        <v/>
      </c>
      <c r="F160" s="32">
        <f>IF(C160&lt;&gt;"Venta","",D160*IFERROR(INDEX(Productos!$D$2:$D$501,MATCH(B160,Productos!$A$2:$A$501,0)),0))</f>
        <v/>
      </c>
      <c r="G160" s="32">
        <f>IF(C160&lt;&gt;"Venta","",D160*IFERROR(INDEX(Productos!$E$2:$E$501,MATCH(B160,Productos!$A$2:$A$501,0)),0))</f>
        <v/>
      </c>
      <c r="H160" s="33">
        <f>IF(A160="","",MONTH(A160))</f>
        <v/>
      </c>
      <c r="I160" s="33">
        <f>IF(A160="","",YEAR(A160))</f>
        <v/>
      </c>
    </row>
    <row r="161" ht="15" customHeight="1" s="21">
      <c r="A161" s="34" t="n"/>
      <c r="B161" s="30" t="n"/>
      <c r="C161" s="30" t="n"/>
      <c r="D161" s="30" t="n"/>
      <c r="E161" s="33">
        <f>IF(B161="","",IFERROR(INDEX(Productos!$B$2:$B$501,MATCH(B161,Productos!$A$2:$A$501,0)),"¿Código?"))</f>
        <v/>
      </c>
      <c r="F161" s="32">
        <f>IF(C161&lt;&gt;"Venta","",D161*IFERROR(INDEX(Productos!$D$2:$D$501,MATCH(B161,Productos!$A$2:$A$501,0)),0))</f>
        <v/>
      </c>
      <c r="G161" s="32">
        <f>IF(C161&lt;&gt;"Venta","",D161*IFERROR(INDEX(Productos!$E$2:$E$501,MATCH(B161,Productos!$A$2:$A$501,0)),0))</f>
        <v/>
      </c>
      <c r="H161" s="33">
        <f>IF(A161="","",MONTH(A161))</f>
        <v/>
      </c>
      <c r="I161" s="33">
        <f>IF(A161="","",YEAR(A161))</f>
        <v/>
      </c>
    </row>
    <row r="162" ht="15" customHeight="1" s="21">
      <c r="A162" s="34" t="n"/>
      <c r="B162" s="30" t="n"/>
      <c r="C162" s="30" t="n"/>
      <c r="D162" s="30" t="n"/>
      <c r="E162" s="33">
        <f>IF(B162="","",IFERROR(INDEX(Productos!$B$2:$B$501,MATCH(B162,Productos!$A$2:$A$501,0)),"¿Código?"))</f>
        <v/>
      </c>
      <c r="F162" s="32">
        <f>IF(C162&lt;&gt;"Venta","",D162*IFERROR(INDEX(Productos!$D$2:$D$501,MATCH(B162,Productos!$A$2:$A$501,0)),0))</f>
        <v/>
      </c>
      <c r="G162" s="32">
        <f>IF(C162&lt;&gt;"Venta","",D162*IFERROR(INDEX(Productos!$E$2:$E$501,MATCH(B162,Productos!$A$2:$A$501,0)),0))</f>
        <v/>
      </c>
      <c r="H162" s="33">
        <f>IF(A162="","",MONTH(A162))</f>
        <v/>
      </c>
      <c r="I162" s="33">
        <f>IF(A162="","",YEAR(A162))</f>
        <v/>
      </c>
    </row>
    <row r="163" ht="15" customHeight="1" s="21">
      <c r="A163" s="34" t="n"/>
      <c r="B163" s="30" t="n"/>
      <c r="C163" s="30" t="n"/>
      <c r="D163" s="30" t="n"/>
      <c r="E163" s="33">
        <f>IF(B163="","",IFERROR(INDEX(Productos!$B$2:$B$501,MATCH(B163,Productos!$A$2:$A$501,0)),"¿Código?"))</f>
        <v/>
      </c>
      <c r="F163" s="32">
        <f>IF(C163&lt;&gt;"Venta","",D163*IFERROR(INDEX(Productos!$D$2:$D$501,MATCH(B163,Productos!$A$2:$A$501,0)),0))</f>
        <v/>
      </c>
      <c r="G163" s="32">
        <f>IF(C163&lt;&gt;"Venta","",D163*IFERROR(INDEX(Productos!$E$2:$E$501,MATCH(B163,Productos!$A$2:$A$501,0)),0))</f>
        <v/>
      </c>
      <c r="H163" s="33">
        <f>IF(A163="","",MONTH(A163))</f>
        <v/>
      </c>
      <c r="I163" s="33">
        <f>IF(A163="","",YEAR(A163))</f>
        <v/>
      </c>
    </row>
    <row r="164" ht="15" customHeight="1" s="21">
      <c r="A164" s="34" t="n"/>
      <c r="B164" s="30" t="n"/>
      <c r="C164" s="30" t="n"/>
      <c r="D164" s="30" t="n"/>
      <c r="E164" s="33">
        <f>IF(B164="","",IFERROR(INDEX(Productos!$B$2:$B$501,MATCH(B164,Productos!$A$2:$A$501,0)),"¿Código?"))</f>
        <v/>
      </c>
      <c r="F164" s="32">
        <f>IF(C164&lt;&gt;"Venta","",D164*IFERROR(INDEX(Productos!$D$2:$D$501,MATCH(B164,Productos!$A$2:$A$501,0)),0))</f>
        <v/>
      </c>
      <c r="G164" s="32">
        <f>IF(C164&lt;&gt;"Venta","",D164*IFERROR(INDEX(Productos!$E$2:$E$501,MATCH(B164,Productos!$A$2:$A$501,0)),0))</f>
        <v/>
      </c>
      <c r="H164" s="33">
        <f>IF(A164="","",MONTH(A164))</f>
        <v/>
      </c>
      <c r="I164" s="33">
        <f>IF(A164="","",YEAR(A164))</f>
        <v/>
      </c>
    </row>
    <row r="165" ht="15" customHeight="1" s="21">
      <c r="A165" s="34" t="n"/>
      <c r="B165" s="30" t="n"/>
      <c r="C165" s="30" t="n"/>
      <c r="D165" s="30" t="n"/>
      <c r="E165" s="33">
        <f>IF(B165="","",IFERROR(INDEX(Productos!$B$2:$B$501,MATCH(B165,Productos!$A$2:$A$501,0)),"¿Código?"))</f>
        <v/>
      </c>
      <c r="F165" s="32">
        <f>IF(C165&lt;&gt;"Venta","",D165*IFERROR(INDEX(Productos!$D$2:$D$501,MATCH(B165,Productos!$A$2:$A$501,0)),0))</f>
        <v/>
      </c>
      <c r="G165" s="32">
        <f>IF(C165&lt;&gt;"Venta","",D165*IFERROR(INDEX(Productos!$E$2:$E$501,MATCH(B165,Productos!$A$2:$A$501,0)),0))</f>
        <v/>
      </c>
      <c r="H165" s="33">
        <f>IF(A165="","",MONTH(A165))</f>
        <v/>
      </c>
      <c r="I165" s="33">
        <f>IF(A165="","",YEAR(A165))</f>
        <v/>
      </c>
    </row>
    <row r="166" ht="15" customHeight="1" s="21">
      <c r="A166" s="34" t="n"/>
      <c r="B166" s="30" t="n"/>
      <c r="C166" s="30" t="n"/>
      <c r="D166" s="30" t="n"/>
      <c r="E166" s="33">
        <f>IF(B166="","",IFERROR(INDEX(Productos!$B$2:$B$501,MATCH(B166,Productos!$A$2:$A$501,0)),"¿Código?"))</f>
        <v/>
      </c>
      <c r="F166" s="32">
        <f>IF(C166&lt;&gt;"Venta","",D166*IFERROR(INDEX(Productos!$D$2:$D$501,MATCH(B166,Productos!$A$2:$A$501,0)),0))</f>
        <v/>
      </c>
      <c r="G166" s="32">
        <f>IF(C166&lt;&gt;"Venta","",D166*IFERROR(INDEX(Productos!$E$2:$E$501,MATCH(B166,Productos!$A$2:$A$501,0)),0))</f>
        <v/>
      </c>
      <c r="H166" s="33">
        <f>IF(A166="","",MONTH(A166))</f>
        <v/>
      </c>
      <c r="I166" s="33">
        <f>IF(A166="","",YEAR(A166))</f>
        <v/>
      </c>
    </row>
    <row r="167" ht="15" customHeight="1" s="21">
      <c r="A167" s="34" t="n"/>
      <c r="B167" s="30" t="n"/>
      <c r="C167" s="30" t="n"/>
      <c r="D167" s="30" t="n"/>
      <c r="E167" s="33">
        <f>IF(B167="","",IFERROR(INDEX(Productos!$B$2:$B$501,MATCH(B167,Productos!$A$2:$A$501,0)),"¿Código?"))</f>
        <v/>
      </c>
      <c r="F167" s="32">
        <f>IF(C167&lt;&gt;"Venta","",D167*IFERROR(INDEX(Productos!$D$2:$D$501,MATCH(B167,Productos!$A$2:$A$501,0)),0))</f>
        <v/>
      </c>
      <c r="G167" s="32">
        <f>IF(C167&lt;&gt;"Venta","",D167*IFERROR(INDEX(Productos!$E$2:$E$501,MATCH(B167,Productos!$A$2:$A$501,0)),0))</f>
        <v/>
      </c>
      <c r="H167" s="33">
        <f>IF(A167="","",MONTH(A167))</f>
        <v/>
      </c>
      <c r="I167" s="33">
        <f>IF(A167="","",YEAR(A167))</f>
        <v/>
      </c>
    </row>
    <row r="168" ht="15" customHeight="1" s="21">
      <c r="A168" s="34" t="n"/>
      <c r="B168" s="30" t="n"/>
      <c r="C168" s="30" t="n"/>
      <c r="D168" s="30" t="n"/>
      <c r="E168" s="33">
        <f>IF(B168="","",IFERROR(INDEX(Productos!$B$2:$B$501,MATCH(B168,Productos!$A$2:$A$501,0)),"¿Código?"))</f>
        <v/>
      </c>
      <c r="F168" s="32">
        <f>IF(C168&lt;&gt;"Venta","",D168*IFERROR(INDEX(Productos!$D$2:$D$501,MATCH(B168,Productos!$A$2:$A$501,0)),0))</f>
        <v/>
      </c>
      <c r="G168" s="32">
        <f>IF(C168&lt;&gt;"Venta","",D168*IFERROR(INDEX(Productos!$E$2:$E$501,MATCH(B168,Productos!$A$2:$A$501,0)),0))</f>
        <v/>
      </c>
      <c r="H168" s="33">
        <f>IF(A168="","",MONTH(A168))</f>
        <v/>
      </c>
      <c r="I168" s="33">
        <f>IF(A168="","",YEAR(A168))</f>
        <v/>
      </c>
    </row>
    <row r="169" ht="15" customHeight="1" s="21">
      <c r="A169" s="34" t="n"/>
      <c r="B169" s="30" t="n"/>
      <c r="C169" s="30" t="n"/>
      <c r="D169" s="30" t="n"/>
      <c r="E169" s="33">
        <f>IF(B169="","",IFERROR(INDEX(Productos!$B$2:$B$501,MATCH(B169,Productos!$A$2:$A$501,0)),"¿Código?"))</f>
        <v/>
      </c>
      <c r="F169" s="32">
        <f>IF(C169&lt;&gt;"Venta","",D169*IFERROR(INDEX(Productos!$D$2:$D$501,MATCH(B169,Productos!$A$2:$A$501,0)),0))</f>
        <v/>
      </c>
      <c r="G169" s="32">
        <f>IF(C169&lt;&gt;"Venta","",D169*IFERROR(INDEX(Productos!$E$2:$E$501,MATCH(B169,Productos!$A$2:$A$501,0)),0))</f>
        <v/>
      </c>
      <c r="H169" s="33">
        <f>IF(A169="","",MONTH(A169))</f>
        <v/>
      </c>
      <c r="I169" s="33">
        <f>IF(A169="","",YEAR(A169))</f>
        <v/>
      </c>
    </row>
    <row r="170" ht="15" customHeight="1" s="21">
      <c r="A170" s="34" t="n"/>
      <c r="B170" s="30" t="n"/>
      <c r="C170" s="30" t="n"/>
      <c r="D170" s="30" t="n"/>
      <c r="E170" s="33">
        <f>IF(B170="","",IFERROR(INDEX(Productos!$B$2:$B$501,MATCH(B170,Productos!$A$2:$A$501,0)),"¿Código?"))</f>
        <v/>
      </c>
      <c r="F170" s="32">
        <f>IF(C170&lt;&gt;"Venta","",D170*IFERROR(INDEX(Productos!$D$2:$D$501,MATCH(B170,Productos!$A$2:$A$501,0)),0))</f>
        <v/>
      </c>
      <c r="G170" s="32">
        <f>IF(C170&lt;&gt;"Venta","",D170*IFERROR(INDEX(Productos!$E$2:$E$501,MATCH(B170,Productos!$A$2:$A$501,0)),0))</f>
        <v/>
      </c>
      <c r="H170" s="33">
        <f>IF(A170="","",MONTH(A170))</f>
        <v/>
      </c>
      <c r="I170" s="33">
        <f>IF(A170="","",YEAR(A170))</f>
        <v/>
      </c>
    </row>
    <row r="171" ht="15" customHeight="1" s="21">
      <c r="A171" s="34" t="n"/>
      <c r="B171" s="30" t="n"/>
      <c r="C171" s="30" t="n"/>
      <c r="D171" s="30" t="n"/>
      <c r="E171" s="33">
        <f>IF(B171="","",IFERROR(INDEX(Productos!$B$2:$B$501,MATCH(B171,Productos!$A$2:$A$501,0)),"¿Código?"))</f>
        <v/>
      </c>
      <c r="F171" s="32">
        <f>IF(C171&lt;&gt;"Venta","",D171*IFERROR(INDEX(Productos!$D$2:$D$501,MATCH(B171,Productos!$A$2:$A$501,0)),0))</f>
        <v/>
      </c>
      <c r="G171" s="32">
        <f>IF(C171&lt;&gt;"Venta","",D171*IFERROR(INDEX(Productos!$E$2:$E$501,MATCH(B171,Productos!$A$2:$A$501,0)),0))</f>
        <v/>
      </c>
      <c r="H171" s="33">
        <f>IF(A171="","",MONTH(A171))</f>
        <v/>
      </c>
      <c r="I171" s="33">
        <f>IF(A171="","",YEAR(A171))</f>
        <v/>
      </c>
    </row>
    <row r="172" ht="15" customHeight="1" s="21">
      <c r="A172" s="34" t="n"/>
      <c r="B172" s="30" t="n"/>
      <c r="C172" s="30" t="n"/>
      <c r="D172" s="30" t="n"/>
      <c r="E172" s="33">
        <f>IF(B172="","",IFERROR(INDEX(Productos!$B$2:$B$501,MATCH(B172,Productos!$A$2:$A$501,0)),"¿Código?"))</f>
        <v/>
      </c>
      <c r="F172" s="32">
        <f>IF(C172&lt;&gt;"Venta","",D172*IFERROR(INDEX(Productos!$D$2:$D$501,MATCH(B172,Productos!$A$2:$A$501,0)),0))</f>
        <v/>
      </c>
      <c r="G172" s="32">
        <f>IF(C172&lt;&gt;"Venta","",D172*IFERROR(INDEX(Productos!$E$2:$E$501,MATCH(B172,Productos!$A$2:$A$501,0)),0))</f>
        <v/>
      </c>
      <c r="H172" s="33">
        <f>IF(A172="","",MONTH(A172))</f>
        <v/>
      </c>
      <c r="I172" s="33">
        <f>IF(A172="","",YEAR(A172))</f>
        <v/>
      </c>
    </row>
    <row r="173" ht="15" customHeight="1" s="21">
      <c r="A173" s="34" t="n"/>
      <c r="B173" s="30" t="n"/>
      <c r="C173" s="30" t="n"/>
      <c r="D173" s="30" t="n"/>
      <c r="E173" s="33">
        <f>IF(B173="","",IFERROR(INDEX(Productos!$B$2:$B$501,MATCH(B173,Productos!$A$2:$A$501,0)),"¿Código?"))</f>
        <v/>
      </c>
      <c r="F173" s="32">
        <f>IF(C173&lt;&gt;"Venta","",D173*IFERROR(INDEX(Productos!$D$2:$D$501,MATCH(B173,Productos!$A$2:$A$501,0)),0))</f>
        <v/>
      </c>
      <c r="G173" s="32">
        <f>IF(C173&lt;&gt;"Venta","",D173*IFERROR(INDEX(Productos!$E$2:$E$501,MATCH(B173,Productos!$A$2:$A$501,0)),0))</f>
        <v/>
      </c>
      <c r="H173" s="33">
        <f>IF(A173="","",MONTH(A173))</f>
        <v/>
      </c>
      <c r="I173" s="33">
        <f>IF(A173="","",YEAR(A173))</f>
        <v/>
      </c>
    </row>
    <row r="174" ht="15" customHeight="1" s="21">
      <c r="A174" s="34" t="n"/>
      <c r="B174" s="30" t="n"/>
      <c r="C174" s="30" t="n"/>
      <c r="D174" s="30" t="n"/>
      <c r="E174" s="33">
        <f>IF(B174="","",IFERROR(INDEX(Productos!$B$2:$B$501,MATCH(B174,Productos!$A$2:$A$501,0)),"¿Código?"))</f>
        <v/>
      </c>
      <c r="F174" s="32">
        <f>IF(C174&lt;&gt;"Venta","",D174*IFERROR(INDEX(Productos!$D$2:$D$501,MATCH(B174,Productos!$A$2:$A$501,0)),0))</f>
        <v/>
      </c>
      <c r="G174" s="32">
        <f>IF(C174&lt;&gt;"Venta","",D174*IFERROR(INDEX(Productos!$E$2:$E$501,MATCH(B174,Productos!$A$2:$A$501,0)),0))</f>
        <v/>
      </c>
      <c r="H174" s="33">
        <f>IF(A174="","",MONTH(A174))</f>
        <v/>
      </c>
      <c r="I174" s="33">
        <f>IF(A174="","",YEAR(A174))</f>
        <v/>
      </c>
    </row>
    <row r="175" ht="15" customHeight="1" s="21">
      <c r="A175" s="34" t="n"/>
      <c r="B175" s="30" t="n"/>
      <c r="C175" s="30" t="n"/>
      <c r="D175" s="30" t="n"/>
      <c r="E175" s="33">
        <f>IF(B175="","",IFERROR(INDEX(Productos!$B$2:$B$501,MATCH(B175,Productos!$A$2:$A$501,0)),"¿Código?"))</f>
        <v/>
      </c>
      <c r="F175" s="32">
        <f>IF(C175&lt;&gt;"Venta","",D175*IFERROR(INDEX(Productos!$D$2:$D$501,MATCH(B175,Productos!$A$2:$A$501,0)),0))</f>
        <v/>
      </c>
      <c r="G175" s="32">
        <f>IF(C175&lt;&gt;"Venta","",D175*IFERROR(INDEX(Productos!$E$2:$E$501,MATCH(B175,Productos!$A$2:$A$501,0)),0))</f>
        <v/>
      </c>
      <c r="H175" s="33">
        <f>IF(A175="","",MONTH(A175))</f>
        <v/>
      </c>
      <c r="I175" s="33">
        <f>IF(A175="","",YEAR(A175))</f>
        <v/>
      </c>
    </row>
    <row r="176" ht="15" customHeight="1" s="21">
      <c r="A176" s="34" t="n"/>
      <c r="B176" s="30" t="n"/>
      <c r="C176" s="30" t="n"/>
      <c r="D176" s="30" t="n"/>
      <c r="E176" s="33">
        <f>IF(B176="","",IFERROR(INDEX(Productos!$B$2:$B$501,MATCH(B176,Productos!$A$2:$A$501,0)),"¿Código?"))</f>
        <v/>
      </c>
      <c r="F176" s="32">
        <f>IF(C176&lt;&gt;"Venta","",D176*IFERROR(INDEX(Productos!$D$2:$D$501,MATCH(B176,Productos!$A$2:$A$501,0)),0))</f>
        <v/>
      </c>
      <c r="G176" s="32">
        <f>IF(C176&lt;&gt;"Venta","",D176*IFERROR(INDEX(Productos!$E$2:$E$501,MATCH(B176,Productos!$A$2:$A$501,0)),0))</f>
        <v/>
      </c>
      <c r="H176" s="33">
        <f>IF(A176="","",MONTH(A176))</f>
        <v/>
      </c>
      <c r="I176" s="33">
        <f>IF(A176="","",YEAR(A176))</f>
        <v/>
      </c>
    </row>
    <row r="177" ht="15" customHeight="1" s="21">
      <c r="A177" s="34" t="n"/>
      <c r="B177" s="30" t="n"/>
      <c r="C177" s="30" t="n"/>
      <c r="D177" s="30" t="n"/>
      <c r="E177" s="33">
        <f>IF(B177="","",IFERROR(INDEX(Productos!$B$2:$B$501,MATCH(B177,Productos!$A$2:$A$501,0)),"¿Código?"))</f>
        <v/>
      </c>
      <c r="F177" s="32">
        <f>IF(C177&lt;&gt;"Venta","",D177*IFERROR(INDEX(Productos!$D$2:$D$501,MATCH(B177,Productos!$A$2:$A$501,0)),0))</f>
        <v/>
      </c>
      <c r="G177" s="32">
        <f>IF(C177&lt;&gt;"Venta","",D177*IFERROR(INDEX(Productos!$E$2:$E$501,MATCH(B177,Productos!$A$2:$A$501,0)),0))</f>
        <v/>
      </c>
      <c r="H177" s="33">
        <f>IF(A177="","",MONTH(A177))</f>
        <v/>
      </c>
      <c r="I177" s="33">
        <f>IF(A177="","",YEAR(A177))</f>
        <v/>
      </c>
    </row>
    <row r="178" ht="15" customHeight="1" s="21">
      <c r="A178" s="34" t="n"/>
      <c r="B178" s="30" t="n"/>
      <c r="C178" s="30" t="n"/>
      <c r="D178" s="30" t="n"/>
      <c r="E178" s="33">
        <f>IF(B178="","",IFERROR(INDEX(Productos!$B$2:$B$501,MATCH(B178,Productos!$A$2:$A$501,0)),"¿Código?"))</f>
        <v/>
      </c>
      <c r="F178" s="32">
        <f>IF(C178&lt;&gt;"Venta","",D178*IFERROR(INDEX(Productos!$D$2:$D$501,MATCH(B178,Productos!$A$2:$A$501,0)),0))</f>
        <v/>
      </c>
      <c r="G178" s="32">
        <f>IF(C178&lt;&gt;"Venta","",D178*IFERROR(INDEX(Productos!$E$2:$E$501,MATCH(B178,Productos!$A$2:$A$501,0)),0))</f>
        <v/>
      </c>
      <c r="H178" s="33">
        <f>IF(A178="","",MONTH(A178))</f>
        <v/>
      </c>
      <c r="I178" s="33">
        <f>IF(A178="","",YEAR(A178))</f>
        <v/>
      </c>
    </row>
    <row r="179" ht="15" customHeight="1" s="21">
      <c r="A179" s="34" t="n"/>
      <c r="B179" s="30" t="n"/>
      <c r="C179" s="30" t="n"/>
      <c r="D179" s="30" t="n"/>
      <c r="E179" s="33">
        <f>IF(B179="","",IFERROR(INDEX(Productos!$B$2:$B$501,MATCH(B179,Productos!$A$2:$A$501,0)),"¿Código?"))</f>
        <v/>
      </c>
      <c r="F179" s="32">
        <f>IF(C179&lt;&gt;"Venta","",D179*IFERROR(INDEX(Productos!$D$2:$D$501,MATCH(B179,Productos!$A$2:$A$501,0)),0))</f>
        <v/>
      </c>
      <c r="G179" s="32">
        <f>IF(C179&lt;&gt;"Venta","",D179*IFERROR(INDEX(Productos!$E$2:$E$501,MATCH(B179,Productos!$A$2:$A$501,0)),0))</f>
        <v/>
      </c>
      <c r="H179" s="33">
        <f>IF(A179="","",MONTH(A179))</f>
        <v/>
      </c>
      <c r="I179" s="33">
        <f>IF(A179="","",YEAR(A179))</f>
        <v/>
      </c>
    </row>
    <row r="180" ht="15" customHeight="1" s="21">
      <c r="A180" s="34" t="n"/>
      <c r="B180" s="30" t="n"/>
      <c r="C180" s="30" t="n"/>
      <c r="D180" s="30" t="n"/>
      <c r="E180" s="33">
        <f>IF(B180="","",IFERROR(INDEX(Productos!$B$2:$B$501,MATCH(B180,Productos!$A$2:$A$501,0)),"¿Código?"))</f>
        <v/>
      </c>
      <c r="F180" s="32">
        <f>IF(C180&lt;&gt;"Venta","",D180*IFERROR(INDEX(Productos!$D$2:$D$501,MATCH(B180,Productos!$A$2:$A$501,0)),0))</f>
        <v/>
      </c>
      <c r="G180" s="32">
        <f>IF(C180&lt;&gt;"Venta","",D180*IFERROR(INDEX(Productos!$E$2:$E$501,MATCH(B180,Productos!$A$2:$A$501,0)),0))</f>
        <v/>
      </c>
      <c r="H180" s="33">
        <f>IF(A180="","",MONTH(A180))</f>
        <v/>
      </c>
      <c r="I180" s="33">
        <f>IF(A180="","",YEAR(A180))</f>
        <v/>
      </c>
    </row>
    <row r="181" ht="15" customHeight="1" s="21">
      <c r="A181" s="34" t="n"/>
      <c r="B181" s="30" t="n"/>
      <c r="C181" s="30" t="n"/>
      <c r="D181" s="30" t="n"/>
      <c r="E181" s="33">
        <f>IF(B181="","",IFERROR(INDEX(Productos!$B$2:$B$501,MATCH(B181,Productos!$A$2:$A$501,0)),"¿Código?"))</f>
        <v/>
      </c>
      <c r="F181" s="32">
        <f>IF(C181&lt;&gt;"Venta","",D181*IFERROR(INDEX(Productos!$D$2:$D$501,MATCH(B181,Productos!$A$2:$A$501,0)),0))</f>
        <v/>
      </c>
      <c r="G181" s="32">
        <f>IF(C181&lt;&gt;"Venta","",D181*IFERROR(INDEX(Productos!$E$2:$E$501,MATCH(B181,Productos!$A$2:$A$501,0)),0))</f>
        <v/>
      </c>
      <c r="H181" s="33">
        <f>IF(A181="","",MONTH(A181))</f>
        <v/>
      </c>
      <c r="I181" s="33">
        <f>IF(A181="","",YEAR(A181))</f>
        <v/>
      </c>
    </row>
    <row r="182" ht="15" customHeight="1" s="21">
      <c r="A182" s="34" t="n"/>
      <c r="B182" s="30" t="n"/>
      <c r="C182" s="30" t="n"/>
      <c r="D182" s="30" t="n"/>
      <c r="E182" s="33">
        <f>IF(B182="","",IFERROR(INDEX(Productos!$B$2:$B$501,MATCH(B182,Productos!$A$2:$A$501,0)),"¿Código?"))</f>
        <v/>
      </c>
      <c r="F182" s="32">
        <f>IF(C182&lt;&gt;"Venta","",D182*IFERROR(INDEX(Productos!$D$2:$D$501,MATCH(B182,Productos!$A$2:$A$501,0)),0))</f>
        <v/>
      </c>
      <c r="G182" s="32">
        <f>IF(C182&lt;&gt;"Venta","",D182*IFERROR(INDEX(Productos!$E$2:$E$501,MATCH(B182,Productos!$A$2:$A$501,0)),0))</f>
        <v/>
      </c>
      <c r="H182" s="33">
        <f>IF(A182="","",MONTH(A182))</f>
        <v/>
      </c>
      <c r="I182" s="33">
        <f>IF(A182="","",YEAR(A182))</f>
        <v/>
      </c>
    </row>
    <row r="183" ht="15" customHeight="1" s="21">
      <c r="A183" s="34" t="n"/>
      <c r="B183" s="30" t="n"/>
      <c r="C183" s="30" t="n"/>
      <c r="D183" s="30" t="n"/>
      <c r="E183" s="33">
        <f>IF(B183="","",IFERROR(INDEX(Productos!$B$2:$B$501,MATCH(B183,Productos!$A$2:$A$501,0)),"¿Código?"))</f>
        <v/>
      </c>
      <c r="F183" s="32">
        <f>IF(C183&lt;&gt;"Venta","",D183*IFERROR(INDEX(Productos!$D$2:$D$501,MATCH(B183,Productos!$A$2:$A$501,0)),0))</f>
        <v/>
      </c>
      <c r="G183" s="32">
        <f>IF(C183&lt;&gt;"Venta","",D183*IFERROR(INDEX(Productos!$E$2:$E$501,MATCH(B183,Productos!$A$2:$A$501,0)),0))</f>
        <v/>
      </c>
      <c r="H183" s="33">
        <f>IF(A183="","",MONTH(A183))</f>
        <v/>
      </c>
      <c r="I183" s="33">
        <f>IF(A183="","",YEAR(A183))</f>
        <v/>
      </c>
    </row>
    <row r="184" ht="15" customHeight="1" s="21">
      <c r="A184" s="34" t="n"/>
      <c r="B184" s="30" t="n"/>
      <c r="C184" s="30" t="n"/>
      <c r="D184" s="30" t="n"/>
      <c r="E184" s="33">
        <f>IF(B184="","",IFERROR(INDEX(Productos!$B$2:$B$501,MATCH(B184,Productos!$A$2:$A$501,0)),"¿Código?"))</f>
        <v/>
      </c>
      <c r="F184" s="32">
        <f>IF(C184&lt;&gt;"Venta","",D184*IFERROR(INDEX(Productos!$D$2:$D$501,MATCH(B184,Productos!$A$2:$A$501,0)),0))</f>
        <v/>
      </c>
      <c r="G184" s="32">
        <f>IF(C184&lt;&gt;"Venta","",D184*IFERROR(INDEX(Productos!$E$2:$E$501,MATCH(B184,Productos!$A$2:$A$501,0)),0))</f>
        <v/>
      </c>
      <c r="H184" s="33">
        <f>IF(A184="","",MONTH(A184))</f>
        <v/>
      </c>
      <c r="I184" s="33">
        <f>IF(A184="","",YEAR(A184))</f>
        <v/>
      </c>
    </row>
    <row r="185" ht="15" customHeight="1" s="21">
      <c r="A185" s="34" t="n"/>
      <c r="B185" s="30" t="n"/>
      <c r="C185" s="30" t="n"/>
      <c r="D185" s="30" t="n"/>
      <c r="E185" s="33">
        <f>IF(B185="","",IFERROR(INDEX(Productos!$B$2:$B$501,MATCH(B185,Productos!$A$2:$A$501,0)),"¿Código?"))</f>
        <v/>
      </c>
      <c r="F185" s="32">
        <f>IF(C185&lt;&gt;"Venta","",D185*IFERROR(INDEX(Productos!$D$2:$D$501,MATCH(B185,Productos!$A$2:$A$501,0)),0))</f>
        <v/>
      </c>
      <c r="G185" s="32">
        <f>IF(C185&lt;&gt;"Venta","",D185*IFERROR(INDEX(Productos!$E$2:$E$501,MATCH(B185,Productos!$A$2:$A$501,0)),0))</f>
        <v/>
      </c>
      <c r="H185" s="33">
        <f>IF(A185="","",MONTH(A185))</f>
        <v/>
      </c>
      <c r="I185" s="33">
        <f>IF(A185="","",YEAR(A185))</f>
        <v/>
      </c>
    </row>
    <row r="186" ht="15" customHeight="1" s="21">
      <c r="A186" s="34" t="n"/>
      <c r="B186" s="30" t="n"/>
      <c r="C186" s="30" t="n"/>
      <c r="D186" s="30" t="n"/>
      <c r="E186" s="33">
        <f>IF(B186="","",IFERROR(INDEX(Productos!$B$2:$B$501,MATCH(B186,Productos!$A$2:$A$501,0)),"¿Código?"))</f>
        <v/>
      </c>
      <c r="F186" s="32">
        <f>IF(C186&lt;&gt;"Venta","",D186*IFERROR(INDEX(Productos!$D$2:$D$501,MATCH(B186,Productos!$A$2:$A$501,0)),0))</f>
        <v/>
      </c>
      <c r="G186" s="32">
        <f>IF(C186&lt;&gt;"Venta","",D186*IFERROR(INDEX(Productos!$E$2:$E$501,MATCH(B186,Productos!$A$2:$A$501,0)),0))</f>
        <v/>
      </c>
      <c r="H186" s="33">
        <f>IF(A186="","",MONTH(A186))</f>
        <v/>
      </c>
      <c r="I186" s="33">
        <f>IF(A186="","",YEAR(A186))</f>
        <v/>
      </c>
    </row>
    <row r="187" ht="15" customHeight="1" s="21">
      <c r="A187" s="34" t="n"/>
      <c r="B187" s="30" t="n"/>
      <c r="C187" s="30" t="n"/>
      <c r="D187" s="30" t="n"/>
      <c r="E187" s="33">
        <f>IF(B187="","",IFERROR(INDEX(Productos!$B$2:$B$501,MATCH(B187,Productos!$A$2:$A$501,0)),"¿Código?"))</f>
        <v/>
      </c>
      <c r="F187" s="32">
        <f>IF(C187&lt;&gt;"Venta","",D187*IFERROR(INDEX(Productos!$D$2:$D$501,MATCH(B187,Productos!$A$2:$A$501,0)),0))</f>
        <v/>
      </c>
      <c r="G187" s="32">
        <f>IF(C187&lt;&gt;"Venta","",D187*IFERROR(INDEX(Productos!$E$2:$E$501,MATCH(B187,Productos!$A$2:$A$501,0)),0))</f>
        <v/>
      </c>
      <c r="H187" s="33">
        <f>IF(A187="","",MONTH(A187))</f>
        <v/>
      </c>
      <c r="I187" s="33">
        <f>IF(A187="","",YEAR(A187))</f>
        <v/>
      </c>
    </row>
    <row r="188" ht="15" customHeight="1" s="21">
      <c r="A188" s="34" t="n"/>
      <c r="B188" s="30" t="n"/>
      <c r="C188" s="30" t="n"/>
      <c r="D188" s="30" t="n"/>
      <c r="E188" s="33">
        <f>IF(B188="","",IFERROR(INDEX(Productos!$B$2:$B$501,MATCH(B188,Productos!$A$2:$A$501,0)),"¿Código?"))</f>
        <v/>
      </c>
      <c r="F188" s="32">
        <f>IF(C188&lt;&gt;"Venta","",D188*IFERROR(INDEX(Productos!$D$2:$D$501,MATCH(B188,Productos!$A$2:$A$501,0)),0))</f>
        <v/>
      </c>
      <c r="G188" s="32">
        <f>IF(C188&lt;&gt;"Venta","",D188*IFERROR(INDEX(Productos!$E$2:$E$501,MATCH(B188,Productos!$A$2:$A$501,0)),0))</f>
        <v/>
      </c>
      <c r="H188" s="33">
        <f>IF(A188="","",MONTH(A188))</f>
        <v/>
      </c>
      <c r="I188" s="33">
        <f>IF(A188="","",YEAR(A188))</f>
        <v/>
      </c>
    </row>
    <row r="189" ht="15" customHeight="1" s="21">
      <c r="A189" s="34" t="n"/>
      <c r="B189" s="30" t="n"/>
      <c r="C189" s="30" t="n"/>
      <c r="D189" s="30" t="n"/>
      <c r="E189" s="33">
        <f>IF(B189="","",IFERROR(INDEX(Productos!$B$2:$B$501,MATCH(B189,Productos!$A$2:$A$501,0)),"¿Código?"))</f>
        <v/>
      </c>
      <c r="F189" s="32">
        <f>IF(C189&lt;&gt;"Venta","",D189*IFERROR(INDEX(Productos!$D$2:$D$501,MATCH(B189,Productos!$A$2:$A$501,0)),0))</f>
        <v/>
      </c>
      <c r="G189" s="32">
        <f>IF(C189&lt;&gt;"Venta","",D189*IFERROR(INDEX(Productos!$E$2:$E$501,MATCH(B189,Productos!$A$2:$A$501,0)),0))</f>
        <v/>
      </c>
      <c r="H189" s="33">
        <f>IF(A189="","",MONTH(A189))</f>
        <v/>
      </c>
      <c r="I189" s="33">
        <f>IF(A189="","",YEAR(A189))</f>
        <v/>
      </c>
    </row>
    <row r="190" ht="15" customHeight="1" s="21">
      <c r="A190" s="34" t="n"/>
      <c r="B190" s="30" t="n"/>
      <c r="C190" s="30" t="n"/>
      <c r="D190" s="30" t="n"/>
      <c r="E190" s="33">
        <f>IF(B190="","",IFERROR(INDEX(Productos!$B$2:$B$501,MATCH(B190,Productos!$A$2:$A$501,0)),"¿Código?"))</f>
        <v/>
      </c>
      <c r="F190" s="32">
        <f>IF(C190&lt;&gt;"Venta","",D190*IFERROR(INDEX(Productos!$D$2:$D$501,MATCH(B190,Productos!$A$2:$A$501,0)),0))</f>
        <v/>
      </c>
      <c r="G190" s="32">
        <f>IF(C190&lt;&gt;"Venta","",D190*IFERROR(INDEX(Productos!$E$2:$E$501,MATCH(B190,Productos!$A$2:$A$501,0)),0))</f>
        <v/>
      </c>
      <c r="H190" s="33">
        <f>IF(A190="","",MONTH(A190))</f>
        <v/>
      </c>
      <c r="I190" s="33">
        <f>IF(A190="","",YEAR(A190))</f>
        <v/>
      </c>
    </row>
    <row r="191" ht="15" customHeight="1" s="21">
      <c r="A191" s="34" t="n"/>
      <c r="B191" s="30" t="n"/>
      <c r="C191" s="30" t="n"/>
      <c r="D191" s="30" t="n"/>
      <c r="E191" s="33">
        <f>IF(B191="","",IFERROR(INDEX(Productos!$B$2:$B$501,MATCH(B191,Productos!$A$2:$A$501,0)),"¿Código?"))</f>
        <v/>
      </c>
      <c r="F191" s="32">
        <f>IF(C191&lt;&gt;"Venta","",D191*IFERROR(INDEX(Productos!$D$2:$D$501,MATCH(B191,Productos!$A$2:$A$501,0)),0))</f>
        <v/>
      </c>
      <c r="G191" s="32">
        <f>IF(C191&lt;&gt;"Venta","",D191*IFERROR(INDEX(Productos!$E$2:$E$501,MATCH(B191,Productos!$A$2:$A$501,0)),0))</f>
        <v/>
      </c>
      <c r="H191" s="33">
        <f>IF(A191="","",MONTH(A191))</f>
        <v/>
      </c>
      <c r="I191" s="33">
        <f>IF(A191="","",YEAR(A191))</f>
        <v/>
      </c>
    </row>
    <row r="192" ht="15" customHeight="1" s="21">
      <c r="A192" s="34" t="n"/>
      <c r="B192" s="30" t="n"/>
      <c r="C192" s="30" t="n"/>
      <c r="D192" s="30" t="n"/>
      <c r="E192" s="33">
        <f>IF(B192="","",IFERROR(INDEX(Productos!$B$2:$B$501,MATCH(B192,Productos!$A$2:$A$501,0)),"¿Código?"))</f>
        <v/>
      </c>
      <c r="F192" s="32">
        <f>IF(C192&lt;&gt;"Venta","",D192*IFERROR(INDEX(Productos!$D$2:$D$501,MATCH(B192,Productos!$A$2:$A$501,0)),0))</f>
        <v/>
      </c>
      <c r="G192" s="32">
        <f>IF(C192&lt;&gt;"Venta","",D192*IFERROR(INDEX(Productos!$E$2:$E$501,MATCH(B192,Productos!$A$2:$A$501,0)),0))</f>
        <v/>
      </c>
      <c r="H192" s="33">
        <f>IF(A192="","",MONTH(A192))</f>
        <v/>
      </c>
      <c r="I192" s="33">
        <f>IF(A192="","",YEAR(A192))</f>
        <v/>
      </c>
    </row>
    <row r="193" ht="15" customHeight="1" s="21">
      <c r="A193" s="34" t="n"/>
      <c r="B193" s="30" t="n"/>
      <c r="C193" s="30" t="n"/>
      <c r="D193" s="30" t="n"/>
      <c r="E193" s="33">
        <f>IF(B193="","",IFERROR(INDEX(Productos!$B$2:$B$501,MATCH(B193,Productos!$A$2:$A$501,0)),"¿Código?"))</f>
        <v/>
      </c>
      <c r="F193" s="32">
        <f>IF(C193&lt;&gt;"Venta","",D193*IFERROR(INDEX(Productos!$D$2:$D$501,MATCH(B193,Productos!$A$2:$A$501,0)),0))</f>
        <v/>
      </c>
      <c r="G193" s="32">
        <f>IF(C193&lt;&gt;"Venta","",D193*IFERROR(INDEX(Productos!$E$2:$E$501,MATCH(B193,Productos!$A$2:$A$501,0)),0))</f>
        <v/>
      </c>
      <c r="H193" s="33">
        <f>IF(A193="","",MONTH(A193))</f>
        <v/>
      </c>
      <c r="I193" s="33">
        <f>IF(A193="","",YEAR(A193))</f>
        <v/>
      </c>
    </row>
    <row r="194" ht="15" customHeight="1" s="21">
      <c r="A194" s="34" t="n"/>
      <c r="B194" s="30" t="n"/>
      <c r="C194" s="30" t="n"/>
      <c r="D194" s="30" t="n"/>
      <c r="E194" s="33">
        <f>IF(B194="","",IFERROR(INDEX(Productos!$B$2:$B$501,MATCH(B194,Productos!$A$2:$A$501,0)),"¿Código?"))</f>
        <v/>
      </c>
      <c r="F194" s="32">
        <f>IF(C194&lt;&gt;"Venta","",D194*IFERROR(INDEX(Productos!$D$2:$D$501,MATCH(B194,Productos!$A$2:$A$501,0)),0))</f>
        <v/>
      </c>
      <c r="G194" s="32">
        <f>IF(C194&lt;&gt;"Venta","",D194*IFERROR(INDEX(Productos!$E$2:$E$501,MATCH(B194,Productos!$A$2:$A$501,0)),0))</f>
        <v/>
      </c>
      <c r="H194" s="33">
        <f>IF(A194="","",MONTH(A194))</f>
        <v/>
      </c>
      <c r="I194" s="33">
        <f>IF(A194="","",YEAR(A194))</f>
        <v/>
      </c>
    </row>
    <row r="195" ht="15" customHeight="1" s="21">
      <c r="A195" s="34" t="n"/>
      <c r="B195" s="30" t="n"/>
      <c r="C195" s="30" t="n"/>
      <c r="D195" s="30" t="n"/>
      <c r="E195" s="33">
        <f>IF(B195="","",IFERROR(INDEX(Productos!$B$2:$B$501,MATCH(B195,Productos!$A$2:$A$501,0)),"¿Código?"))</f>
        <v/>
      </c>
      <c r="F195" s="32">
        <f>IF(C195&lt;&gt;"Venta","",D195*IFERROR(INDEX(Productos!$D$2:$D$501,MATCH(B195,Productos!$A$2:$A$501,0)),0))</f>
        <v/>
      </c>
      <c r="G195" s="32">
        <f>IF(C195&lt;&gt;"Venta","",D195*IFERROR(INDEX(Productos!$E$2:$E$501,MATCH(B195,Productos!$A$2:$A$501,0)),0))</f>
        <v/>
      </c>
      <c r="H195" s="33">
        <f>IF(A195="","",MONTH(A195))</f>
        <v/>
      </c>
      <c r="I195" s="33">
        <f>IF(A195="","",YEAR(A195))</f>
        <v/>
      </c>
    </row>
    <row r="196" ht="15" customHeight="1" s="21">
      <c r="A196" s="34" t="n"/>
      <c r="B196" s="30" t="n"/>
      <c r="C196" s="30" t="n"/>
      <c r="D196" s="30" t="n"/>
      <c r="E196" s="33">
        <f>IF(B196="","",IFERROR(INDEX(Productos!$B$2:$B$501,MATCH(B196,Productos!$A$2:$A$501,0)),"¿Código?"))</f>
        <v/>
      </c>
      <c r="F196" s="32">
        <f>IF(C196&lt;&gt;"Venta","",D196*IFERROR(INDEX(Productos!$D$2:$D$501,MATCH(B196,Productos!$A$2:$A$501,0)),0))</f>
        <v/>
      </c>
      <c r="G196" s="32">
        <f>IF(C196&lt;&gt;"Venta","",D196*IFERROR(INDEX(Productos!$E$2:$E$501,MATCH(B196,Productos!$A$2:$A$501,0)),0))</f>
        <v/>
      </c>
      <c r="H196" s="33">
        <f>IF(A196="","",MONTH(A196))</f>
        <v/>
      </c>
      <c r="I196" s="33">
        <f>IF(A196="","",YEAR(A196))</f>
        <v/>
      </c>
    </row>
    <row r="197" ht="15" customHeight="1" s="21">
      <c r="A197" s="34" t="n"/>
      <c r="B197" s="30" t="n"/>
      <c r="C197" s="30" t="n"/>
      <c r="D197" s="30" t="n"/>
      <c r="E197" s="33">
        <f>IF(B197="","",IFERROR(INDEX(Productos!$B$2:$B$501,MATCH(B197,Productos!$A$2:$A$501,0)),"¿Código?"))</f>
        <v/>
      </c>
      <c r="F197" s="32">
        <f>IF(C197&lt;&gt;"Venta","",D197*IFERROR(INDEX(Productos!$D$2:$D$501,MATCH(B197,Productos!$A$2:$A$501,0)),0))</f>
        <v/>
      </c>
      <c r="G197" s="32">
        <f>IF(C197&lt;&gt;"Venta","",D197*IFERROR(INDEX(Productos!$E$2:$E$501,MATCH(B197,Productos!$A$2:$A$501,0)),0))</f>
        <v/>
      </c>
      <c r="H197" s="33">
        <f>IF(A197="","",MONTH(A197))</f>
        <v/>
      </c>
      <c r="I197" s="33">
        <f>IF(A197="","",YEAR(A197))</f>
        <v/>
      </c>
    </row>
    <row r="198" ht="15" customHeight="1" s="21">
      <c r="A198" s="34" t="n"/>
      <c r="B198" s="30" t="n"/>
      <c r="C198" s="30" t="n"/>
      <c r="D198" s="30" t="n"/>
      <c r="E198" s="33">
        <f>IF(B198="","",IFERROR(INDEX(Productos!$B$2:$B$501,MATCH(B198,Productos!$A$2:$A$501,0)),"¿Código?"))</f>
        <v/>
      </c>
      <c r="F198" s="32">
        <f>IF(C198&lt;&gt;"Venta","",D198*IFERROR(INDEX(Productos!$D$2:$D$501,MATCH(B198,Productos!$A$2:$A$501,0)),0))</f>
        <v/>
      </c>
      <c r="G198" s="32">
        <f>IF(C198&lt;&gt;"Venta","",D198*IFERROR(INDEX(Productos!$E$2:$E$501,MATCH(B198,Productos!$A$2:$A$501,0)),0))</f>
        <v/>
      </c>
      <c r="H198" s="33">
        <f>IF(A198="","",MONTH(A198))</f>
        <v/>
      </c>
      <c r="I198" s="33">
        <f>IF(A198="","",YEAR(A198))</f>
        <v/>
      </c>
    </row>
    <row r="199" ht="15" customHeight="1" s="21">
      <c r="A199" s="34" t="n"/>
      <c r="B199" s="30" t="n"/>
      <c r="C199" s="30" t="n"/>
      <c r="D199" s="30" t="n"/>
      <c r="E199" s="33">
        <f>IF(B199="","",IFERROR(INDEX(Productos!$B$2:$B$501,MATCH(B199,Productos!$A$2:$A$501,0)),"¿Código?"))</f>
        <v/>
      </c>
      <c r="F199" s="32">
        <f>IF(C199&lt;&gt;"Venta","",D199*IFERROR(INDEX(Productos!$D$2:$D$501,MATCH(B199,Productos!$A$2:$A$501,0)),0))</f>
        <v/>
      </c>
      <c r="G199" s="32">
        <f>IF(C199&lt;&gt;"Venta","",D199*IFERROR(INDEX(Productos!$E$2:$E$501,MATCH(B199,Productos!$A$2:$A$501,0)),0))</f>
        <v/>
      </c>
      <c r="H199" s="33">
        <f>IF(A199="","",MONTH(A199))</f>
        <v/>
      </c>
      <c r="I199" s="33">
        <f>IF(A199="","",YEAR(A199))</f>
        <v/>
      </c>
    </row>
    <row r="200" ht="15" customHeight="1" s="21">
      <c r="A200" s="34" t="n"/>
      <c r="B200" s="30" t="n"/>
      <c r="C200" s="30" t="n"/>
      <c r="D200" s="30" t="n"/>
      <c r="E200" s="33">
        <f>IF(B200="","",IFERROR(INDEX(Productos!$B$2:$B$501,MATCH(B200,Productos!$A$2:$A$501,0)),"¿Código?"))</f>
        <v/>
      </c>
      <c r="F200" s="32">
        <f>IF(C200&lt;&gt;"Venta","",D200*IFERROR(INDEX(Productos!$D$2:$D$501,MATCH(B200,Productos!$A$2:$A$501,0)),0))</f>
        <v/>
      </c>
      <c r="G200" s="32">
        <f>IF(C200&lt;&gt;"Venta","",D200*IFERROR(INDEX(Productos!$E$2:$E$501,MATCH(B200,Productos!$A$2:$A$501,0)),0))</f>
        <v/>
      </c>
      <c r="H200" s="33">
        <f>IF(A200="","",MONTH(A200))</f>
        <v/>
      </c>
      <c r="I200" s="33">
        <f>IF(A200="","",YEAR(A200))</f>
        <v/>
      </c>
    </row>
    <row r="201" ht="15" customHeight="1" s="21">
      <c r="A201" s="34" t="n"/>
      <c r="B201" s="30" t="n"/>
      <c r="C201" s="30" t="n"/>
      <c r="D201" s="30" t="n"/>
      <c r="E201" s="33">
        <f>IF(B201="","",IFERROR(INDEX(Productos!$B$2:$B$501,MATCH(B201,Productos!$A$2:$A$501,0)),"¿Código?"))</f>
        <v/>
      </c>
      <c r="F201" s="32">
        <f>IF(C201&lt;&gt;"Venta","",D201*IFERROR(INDEX(Productos!$D$2:$D$501,MATCH(B201,Productos!$A$2:$A$501,0)),0))</f>
        <v/>
      </c>
      <c r="G201" s="32">
        <f>IF(C201&lt;&gt;"Venta","",D201*IFERROR(INDEX(Productos!$E$2:$E$501,MATCH(B201,Productos!$A$2:$A$501,0)),0))</f>
        <v/>
      </c>
      <c r="H201" s="33">
        <f>IF(A201="","",MONTH(A201))</f>
        <v/>
      </c>
      <c r="I201" s="33">
        <f>IF(A201="","",YEAR(A201))</f>
        <v/>
      </c>
    </row>
    <row r="202" ht="15" customHeight="1" s="21">
      <c r="A202" s="34" t="n"/>
      <c r="B202" s="30" t="n"/>
      <c r="C202" s="30" t="n"/>
      <c r="D202" s="30" t="n"/>
      <c r="E202" s="33">
        <f>IF(B202="","",IFERROR(INDEX(Productos!$B$2:$B$501,MATCH(B202,Productos!$A$2:$A$501,0)),"¿Código?"))</f>
        <v/>
      </c>
      <c r="F202" s="32">
        <f>IF(C202&lt;&gt;"Venta","",D202*IFERROR(INDEX(Productos!$D$2:$D$501,MATCH(B202,Productos!$A$2:$A$501,0)),0))</f>
        <v/>
      </c>
      <c r="G202" s="32">
        <f>IF(C202&lt;&gt;"Venta","",D202*IFERROR(INDEX(Productos!$E$2:$E$501,MATCH(B202,Productos!$A$2:$A$501,0)),0))</f>
        <v/>
      </c>
      <c r="H202" s="33">
        <f>IF(A202="","",MONTH(A202))</f>
        <v/>
      </c>
      <c r="I202" s="33">
        <f>IF(A202="","",YEAR(A202))</f>
        <v/>
      </c>
    </row>
    <row r="203" ht="15" customHeight="1" s="21">
      <c r="A203" s="34" t="n"/>
      <c r="B203" s="30" t="n"/>
      <c r="C203" s="30" t="n"/>
      <c r="D203" s="30" t="n"/>
      <c r="E203" s="33">
        <f>IF(B203="","",IFERROR(INDEX(Productos!$B$2:$B$501,MATCH(B203,Productos!$A$2:$A$501,0)),"¿Código?"))</f>
        <v/>
      </c>
      <c r="F203" s="32">
        <f>IF(C203&lt;&gt;"Venta","",D203*IFERROR(INDEX(Productos!$D$2:$D$501,MATCH(B203,Productos!$A$2:$A$501,0)),0))</f>
        <v/>
      </c>
      <c r="G203" s="32">
        <f>IF(C203&lt;&gt;"Venta","",D203*IFERROR(INDEX(Productos!$E$2:$E$501,MATCH(B203,Productos!$A$2:$A$501,0)),0))</f>
        <v/>
      </c>
      <c r="H203" s="33">
        <f>IF(A203="","",MONTH(A203))</f>
        <v/>
      </c>
      <c r="I203" s="33">
        <f>IF(A203="","",YEAR(A203))</f>
        <v/>
      </c>
    </row>
    <row r="204" ht="15" customHeight="1" s="21">
      <c r="A204" s="34" t="n"/>
      <c r="B204" s="30" t="n"/>
      <c r="C204" s="30" t="n"/>
      <c r="D204" s="30" t="n"/>
      <c r="E204" s="33">
        <f>IF(B204="","",IFERROR(INDEX(Productos!$B$2:$B$501,MATCH(B204,Productos!$A$2:$A$501,0)),"¿Código?"))</f>
        <v/>
      </c>
      <c r="F204" s="32">
        <f>IF(C204&lt;&gt;"Venta","",D204*IFERROR(INDEX(Productos!$D$2:$D$501,MATCH(B204,Productos!$A$2:$A$501,0)),0))</f>
        <v/>
      </c>
      <c r="G204" s="32">
        <f>IF(C204&lt;&gt;"Venta","",D204*IFERROR(INDEX(Productos!$E$2:$E$501,MATCH(B204,Productos!$A$2:$A$501,0)),0))</f>
        <v/>
      </c>
      <c r="H204" s="33">
        <f>IF(A204="","",MONTH(A204))</f>
        <v/>
      </c>
      <c r="I204" s="33">
        <f>IF(A204="","",YEAR(A204))</f>
        <v/>
      </c>
    </row>
    <row r="205" ht="15" customHeight="1" s="21">
      <c r="A205" s="34" t="n"/>
      <c r="B205" s="30" t="n"/>
      <c r="C205" s="30" t="n"/>
      <c r="D205" s="30" t="n"/>
      <c r="E205" s="33">
        <f>IF(B205="","",IFERROR(INDEX(Productos!$B$2:$B$501,MATCH(B205,Productos!$A$2:$A$501,0)),"¿Código?"))</f>
        <v/>
      </c>
      <c r="F205" s="32">
        <f>IF(C205&lt;&gt;"Venta","",D205*IFERROR(INDEX(Productos!$D$2:$D$501,MATCH(B205,Productos!$A$2:$A$501,0)),0))</f>
        <v/>
      </c>
      <c r="G205" s="32">
        <f>IF(C205&lt;&gt;"Venta","",D205*IFERROR(INDEX(Productos!$E$2:$E$501,MATCH(B205,Productos!$A$2:$A$501,0)),0))</f>
        <v/>
      </c>
      <c r="H205" s="33">
        <f>IF(A205="","",MONTH(A205))</f>
        <v/>
      </c>
      <c r="I205" s="33">
        <f>IF(A205="","",YEAR(A205))</f>
        <v/>
      </c>
    </row>
    <row r="206" ht="15" customHeight="1" s="21">
      <c r="A206" s="34" t="n"/>
      <c r="B206" s="30" t="n"/>
      <c r="C206" s="30" t="n"/>
      <c r="D206" s="30" t="n"/>
      <c r="E206" s="33">
        <f>IF(B206="","",IFERROR(INDEX(Productos!$B$2:$B$501,MATCH(B206,Productos!$A$2:$A$501,0)),"¿Código?"))</f>
        <v/>
      </c>
      <c r="F206" s="32">
        <f>IF(C206&lt;&gt;"Venta","",D206*IFERROR(INDEX(Productos!$D$2:$D$501,MATCH(B206,Productos!$A$2:$A$501,0)),0))</f>
        <v/>
      </c>
      <c r="G206" s="32">
        <f>IF(C206&lt;&gt;"Venta","",D206*IFERROR(INDEX(Productos!$E$2:$E$501,MATCH(B206,Productos!$A$2:$A$501,0)),0))</f>
        <v/>
      </c>
      <c r="H206" s="33">
        <f>IF(A206="","",MONTH(A206))</f>
        <v/>
      </c>
      <c r="I206" s="33">
        <f>IF(A206="","",YEAR(A206))</f>
        <v/>
      </c>
    </row>
    <row r="207" ht="15" customHeight="1" s="21">
      <c r="A207" s="34" t="n"/>
      <c r="B207" s="30" t="n"/>
      <c r="C207" s="30" t="n"/>
      <c r="D207" s="30" t="n"/>
      <c r="E207" s="33">
        <f>IF(B207="","",IFERROR(INDEX(Productos!$B$2:$B$501,MATCH(B207,Productos!$A$2:$A$501,0)),"¿Código?"))</f>
        <v/>
      </c>
      <c r="F207" s="32">
        <f>IF(C207&lt;&gt;"Venta","",D207*IFERROR(INDEX(Productos!$D$2:$D$501,MATCH(B207,Productos!$A$2:$A$501,0)),0))</f>
        <v/>
      </c>
      <c r="G207" s="32">
        <f>IF(C207&lt;&gt;"Venta","",D207*IFERROR(INDEX(Productos!$E$2:$E$501,MATCH(B207,Productos!$A$2:$A$501,0)),0))</f>
        <v/>
      </c>
      <c r="H207" s="33">
        <f>IF(A207="","",MONTH(A207))</f>
        <v/>
      </c>
      <c r="I207" s="33">
        <f>IF(A207="","",YEAR(A207))</f>
        <v/>
      </c>
    </row>
    <row r="208" ht="15" customHeight="1" s="21">
      <c r="A208" s="34" t="n"/>
      <c r="B208" s="30" t="n"/>
      <c r="C208" s="30" t="n"/>
      <c r="D208" s="30" t="n"/>
      <c r="E208" s="33">
        <f>IF(B208="","",IFERROR(INDEX(Productos!$B$2:$B$501,MATCH(B208,Productos!$A$2:$A$501,0)),"¿Código?"))</f>
        <v/>
      </c>
      <c r="F208" s="32">
        <f>IF(C208&lt;&gt;"Venta","",D208*IFERROR(INDEX(Productos!$D$2:$D$501,MATCH(B208,Productos!$A$2:$A$501,0)),0))</f>
        <v/>
      </c>
      <c r="G208" s="32">
        <f>IF(C208&lt;&gt;"Venta","",D208*IFERROR(INDEX(Productos!$E$2:$E$501,MATCH(B208,Productos!$A$2:$A$501,0)),0))</f>
        <v/>
      </c>
      <c r="H208" s="33">
        <f>IF(A208="","",MONTH(A208))</f>
        <v/>
      </c>
      <c r="I208" s="33">
        <f>IF(A208="","",YEAR(A208))</f>
        <v/>
      </c>
    </row>
    <row r="209" ht="15" customHeight="1" s="21">
      <c r="A209" s="34" t="n"/>
      <c r="B209" s="30" t="n"/>
      <c r="C209" s="30" t="n"/>
      <c r="D209" s="30" t="n"/>
      <c r="E209" s="33">
        <f>IF(B209="","",IFERROR(INDEX(Productos!$B$2:$B$501,MATCH(B209,Productos!$A$2:$A$501,0)),"¿Código?"))</f>
        <v/>
      </c>
      <c r="F209" s="32">
        <f>IF(C209&lt;&gt;"Venta","",D209*IFERROR(INDEX(Productos!$D$2:$D$501,MATCH(B209,Productos!$A$2:$A$501,0)),0))</f>
        <v/>
      </c>
      <c r="G209" s="32">
        <f>IF(C209&lt;&gt;"Venta","",D209*IFERROR(INDEX(Productos!$E$2:$E$501,MATCH(B209,Productos!$A$2:$A$501,0)),0))</f>
        <v/>
      </c>
      <c r="H209" s="33">
        <f>IF(A209="","",MONTH(A209))</f>
        <v/>
      </c>
      <c r="I209" s="33">
        <f>IF(A209="","",YEAR(A209))</f>
        <v/>
      </c>
    </row>
    <row r="210" ht="15" customHeight="1" s="21">
      <c r="A210" s="34" t="n"/>
      <c r="B210" s="30" t="n"/>
      <c r="C210" s="30" t="n"/>
      <c r="D210" s="30" t="n"/>
      <c r="E210" s="33">
        <f>IF(B210="","",IFERROR(INDEX(Productos!$B$2:$B$501,MATCH(B210,Productos!$A$2:$A$501,0)),"¿Código?"))</f>
        <v/>
      </c>
      <c r="F210" s="32">
        <f>IF(C210&lt;&gt;"Venta","",D210*IFERROR(INDEX(Productos!$D$2:$D$501,MATCH(B210,Productos!$A$2:$A$501,0)),0))</f>
        <v/>
      </c>
      <c r="G210" s="32">
        <f>IF(C210&lt;&gt;"Venta","",D210*IFERROR(INDEX(Productos!$E$2:$E$501,MATCH(B210,Productos!$A$2:$A$501,0)),0))</f>
        <v/>
      </c>
      <c r="H210" s="33">
        <f>IF(A210="","",MONTH(A210))</f>
        <v/>
      </c>
      <c r="I210" s="33">
        <f>IF(A210="","",YEAR(A210))</f>
        <v/>
      </c>
    </row>
    <row r="211" ht="15" customHeight="1" s="21">
      <c r="A211" s="34" t="n"/>
      <c r="B211" s="30" t="n"/>
      <c r="C211" s="30" t="n"/>
      <c r="D211" s="30" t="n"/>
      <c r="E211" s="33">
        <f>IF(B211="","",IFERROR(INDEX(Productos!$B$2:$B$501,MATCH(B211,Productos!$A$2:$A$501,0)),"¿Código?"))</f>
        <v/>
      </c>
      <c r="F211" s="32">
        <f>IF(C211&lt;&gt;"Venta","",D211*IFERROR(INDEX(Productos!$D$2:$D$501,MATCH(B211,Productos!$A$2:$A$501,0)),0))</f>
        <v/>
      </c>
      <c r="G211" s="32">
        <f>IF(C211&lt;&gt;"Venta","",D211*IFERROR(INDEX(Productos!$E$2:$E$501,MATCH(B211,Productos!$A$2:$A$501,0)),0))</f>
        <v/>
      </c>
      <c r="H211" s="33">
        <f>IF(A211="","",MONTH(A211))</f>
        <v/>
      </c>
      <c r="I211" s="33">
        <f>IF(A211="","",YEAR(A211))</f>
        <v/>
      </c>
    </row>
    <row r="212" ht="15" customHeight="1" s="21">
      <c r="A212" s="34" t="n"/>
      <c r="B212" s="30" t="n"/>
      <c r="C212" s="30" t="n"/>
      <c r="D212" s="30" t="n"/>
      <c r="E212" s="33">
        <f>IF(B212="","",IFERROR(INDEX(Productos!$B$2:$B$501,MATCH(B212,Productos!$A$2:$A$501,0)),"¿Código?"))</f>
        <v/>
      </c>
      <c r="F212" s="32">
        <f>IF(C212&lt;&gt;"Venta","",D212*IFERROR(INDEX(Productos!$D$2:$D$501,MATCH(B212,Productos!$A$2:$A$501,0)),0))</f>
        <v/>
      </c>
      <c r="G212" s="32">
        <f>IF(C212&lt;&gt;"Venta","",D212*IFERROR(INDEX(Productos!$E$2:$E$501,MATCH(B212,Productos!$A$2:$A$501,0)),0))</f>
        <v/>
      </c>
      <c r="H212" s="33">
        <f>IF(A212="","",MONTH(A212))</f>
        <v/>
      </c>
      <c r="I212" s="33">
        <f>IF(A212="","",YEAR(A212))</f>
        <v/>
      </c>
    </row>
    <row r="213" ht="15" customHeight="1" s="21">
      <c r="A213" s="34" t="n"/>
      <c r="B213" s="30" t="n"/>
      <c r="C213" s="30" t="n"/>
      <c r="D213" s="30" t="n"/>
      <c r="E213" s="33">
        <f>IF(B213="","",IFERROR(INDEX(Productos!$B$2:$B$501,MATCH(B213,Productos!$A$2:$A$501,0)),"¿Código?"))</f>
        <v/>
      </c>
      <c r="F213" s="32">
        <f>IF(C213&lt;&gt;"Venta","",D213*IFERROR(INDEX(Productos!$D$2:$D$501,MATCH(B213,Productos!$A$2:$A$501,0)),0))</f>
        <v/>
      </c>
      <c r="G213" s="32">
        <f>IF(C213&lt;&gt;"Venta","",D213*IFERROR(INDEX(Productos!$E$2:$E$501,MATCH(B213,Productos!$A$2:$A$501,0)),0))</f>
        <v/>
      </c>
      <c r="H213" s="33">
        <f>IF(A213="","",MONTH(A213))</f>
        <v/>
      </c>
      <c r="I213" s="33">
        <f>IF(A213="","",YEAR(A213))</f>
        <v/>
      </c>
    </row>
    <row r="214" ht="15" customHeight="1" s="21">
      <c r="A214" s="34" t="n"/>
      <c r="B214" s="30" t="n"/>
      <c r="C214" s="30" t="n"/>
      <c r="D214" s="30" t="n"/>
      <c r="E214" s="33">
        <f>IF(B214="","",IFERROR(INDEX(Productos!$B$2:$B$501,MATCH(B214,Productos!$A$2:$A$501,0)),"¿Código?"))</f>
        <v/>
      </c>
      <c r="F214" s="32">
        <f>IF(C214&lt;&gt;"Venta","",D214*IFERROR(INDEX(Productos!$D$2:$D$501,MATCH(B214,Productos!$A$2:$A$501,0)),0))</f>
        <v/>
      </c>
      <c r="G214" s="32">
        <f>IF(C214&lt;&gt;"Venta","",D214*IFERROR(INDEX(Productos!$E$2:$E$501,MATCH(B214,Productos!$A$2:$A$501,0)),0))</f>
        <v/>
      </c>
      <c r="H214" s="33">
        <f>IF(A214="","",MONTH(A214))</f>
        <v/>
      </c>
      <c r="I214" s="33">
        <f>IF(A214="","",YEAR(A214))</f>
        <v/>
      </c>
    </row>
    <row r="215" ht="15" customHeight="1" s="21">
      <c r="A215" s="34" t="n"/>
      <c r="B215" s="30" t="n"/>
      <c r="C215" s="30" t="n"/>
      <c r="D215" s="30" t="n"/>
      <c r="E215" s="33">
        <f>IF(B215="","",IFERROR(INDEX(Productos!$B$2:$B$501,MATCH(B215,Productos!$A$2:$A$501,0)),"¿Código?"))</f>
        <v/>
      </c>
      <c r="F215" s="32">
        <f>IF(C215&lt;&gt;"Venta","",D215*IFERROR(INDEX(Productos!$D$2:$D$501,MATCH(B215,Productos!$A$2:$A$501,0)),0))</f>
        <v/>
      </c>
      <c r="G215" s="32">
        <f>IF(C215&lt;&gt;"Venta","",D215*IFERROR(INDEX(Productos!$E$2:$E$501,MATCH(B215,Productos!$A$2:$A$501,0)),0))</f>
        <v/>
      </c>
      <c r="H215" s="33">
        <f>IF(A215="","",MONTH(A215))</f>
        <v/>
      </c>
      <c r="I215" s="33">
        <f>IF(A215="","",YEAR(A215))</f>
        <v/>
      </c>
    </row>
    <row r="216" ht="15" customHeight="1" s="21">
      <c r="A216" s="34" t="n"/>
      <c r="B216" s="30" t="n"/>
      <c r="C216" s="30" t="n"/>
      <c r="D216" s="30" t="n"/>
      <c r="E216" s="33">
        <f>IF(B216="","",IFERROR(INDEX(Productos!$B$2:$B$501,MATCH(B216,Productos!$A$2:$A$501,0)),"¿Código?"))</f>
        <v/>
      </c>
      <c r="F216" s="32">
        <f>IF(C216&lt;&gt;"Venta","",D216*IFERROR(INDEX(Productos!$D$2:$D$501,MATCH(B216,Productos!$A$2:$A$501,0)),0))</f>
        <v/>
      </c>
      <c r="G216" s="32">
        <f>IF(C216&lt;&gt;"Venta","",D216*IFERROR(INDEX(Productos!$E$2:$E$501,MATCH(B216,Productos!$A$2:$A$501,0)),0))</f>
        <v/>
      </c>
      <c r="H216" s="33">
        <f>IF(A216="","",MONTH(A216))</f>
        <v/>
      </c>
      <c r="I216" s="33">
        <f>IF(A216="","",YEAR(A216))</f>
        <v/>
      </c>
    </row>
    <row r="217" ht="15" customHeight="1" s="21">
      <c r="A217" s="34" t="n"/>
      <c r="B217" s="30" t="n"/>
      <c r="C217" s="30" t="n"/>
      <c r="D217" s="30" t="n"/>
      <c r="E217" s="33">
        <f>IF(B217="","",IFERROR(INDEX(Productos!$B$2:$B$501,MATCH(B217,Productos!$A$2:$A$501,0)),"¿Código?"))</f>
        <v/>
      </c>
      <c r="F217" s="32">
        <f>IF(C217&lt;&gt;"Venta","",D217*IFERROR(INDEX(Productos!$D$2:$D$501,MATCH(B217,Productos!$A$2:$A$501,0)),0))</f>
        <v/>
      </c>
      <c r="G217" s="32">
        <f>IF(C217&lt;&gt;"Venta","",D217*IFERROR(INDEX(Productos!$E$2:$E$501,MATCH(B217,Productos!$A$2:$A$501,0)),0))</f>
        <v/>
      </c>
      <c r="H217" s="33">
        <f>IF(A217="","",MONTH(A217))</f>
        <v/>
      </c>
      <c r="I217" s="33">
        <f>IF(A217="","",YEAR(A217))</f>
        <v/>
      </c>
    </row>
    <row r="218" ht="15" customHeight="1" s="21">
      <c r="A218" s="34" t="n"/>
      <c r="B218" s="30" t="n"/>
      <c r="C218" s="30" t="n"/>
      <c r="D218" s="30" t="n"/>
      <c r="E218" s="33">
        <f>IF(B218="","",IFERROR(INDEX(Productos!$B$2:$B$501,MATCH(B218,Productos!$A$2:$A$501,0)),"¿Código?"))</f>
        <v/>
      </c>
      <c r="F218" s="32">
        <f>IF(C218&lt;&gt;"Venta","",D218*IFERROR(INDEX(Productos!$D$2:$D$501,MATCH(B218,Productos!$A$2:$A$501,0)),0))</f>
        <v/>
      </c>
      <c r="G218" s="32">
        <f>IF(C218&lt;&gt;"Venta","",D218*IFERROR(INDEX(Productos!$E$2:$E$501,MATCH(B218,Productos!$A$2:$A$501,0)),0))</f>
        <v/>
      </c>
      <c r="H218" s="33">
        <f>IF(A218="","",MONTH(A218))</f>
        <v/>
      </c>
      <c r="I218" s="33">
        <f>IF(A218="","",YEAR(A218))</f>
        <v/>
      </c>
    </row>
    <row r="219" ht="15" customHeight="1" s="21">
      <c r="A219" s="34" t="n"/>
      <c r="B219" s="30" t="n"/>
      <c r="C219" s="30" t="n"/>
      <c r="D219" s="30" t="n"/>
      <c r="E219" s="33">
        <f>IF(B219="","",IFERROR(INDEX(Productos!$B$2:$B$501,MATCH(B219,Productos!$A$2:$A$501,0)),"¿Código?"))</f>
        <v/>
      </c>
      <c r="F219" s="32">
        <f>IF(C219&lt;&gt;"Venta","",D219*IFERROR(INDEX(Productos!$D$2:$D$501,MATCH(B219,Productos!$A$2:$A$501,0)),0))</f>
        <v/>
      </c>
      <c r="G219" s="32">
        <f>IF(C219&lt;&gt;"Venta","",D219*IFERROR(INDEX(Productos!$E$2:$E$501,MATCH(B219,Productos!$A$2:$A$501,0)),0))</f>
        <v/>
      </c>
      <c r="H219" s="33">
        <f>IF(A219="","",MONTH(A219))</f>
        <v/>
      </c>
      <c r="I219" s="33">
        <f>IF(A219="","",YEAR(A219))</f>
        <v/>
      </c>
    </row>
    <row r="220" ht="15" customHeight="1" s="21">
      <c r="A220" s="34" t="n"/>
      <c r="B220" s="30" t="n"/>
      <c r="C220" s="30" t="n"/>
      <c r="D220" s="30" t="n"/>
      <c r="E220" s="33">
        <f>IF(B220="","",IFERROR(INDEX(Productos!$B$2:$B$501,MATCH(B220,Productos!$A$2:$A$501,0)),"¿Código?"))</f>
        <v/>
      </c>
      <c r="F220" s="32">
        <f>IF(C220&lt;&gt;"Venta","",D220*IFERROR(INDEX(Productos!$D$2:$D$501,MATCH(B220,Productos!$A$2:$A$501,0)),0))</f>
        <v/>
      </c>
      <c r="G220" s="32">
        <f>IF(C220&lt;&gt;"Venta","",D220*IFERROR(INDEX(Productos!$E$2:$E$501,MATCH(B220,Productos!$A$2:$A$501,0)),0))</f>
        <v/>
      </c>
      <c r="H220" s="33">
        <f>IF(A220="","",MONTH(A220))</f>
        <v/>
      </c>
      <c r="I220" s="33">
        <f>IF(A220="","",YEAR(A220))</f>
        <v/>
      </c>
    </row>
    <row r="221" ht="15" customHeight="1" s="21">
      <c r="A221" s="34" t="n"/>
      <c r="B221" s="30" t="n"/>
      <c r="C221" s="30" t="n"/>
      <c r="D221" s="30" t="n"/>
      <c r="E221" s="33">
        <f>IF(B221="","",IFERROR(INDEX(Productos!$B$2:$B$501,MATCH(B221,Productos!$A$2:$A$501,0)),"¿Código?"))</f>
        <v/>
      </c>
      <c r="F221" s="32">
        <f>IF(C221&lt;&gt;"Venta","",D221*IFERROR(INDEX(Productos!$D$2:$D$501,MATCH(B221,Productos!$A$2:$A$501,0)),0))</f>
        <v/>
      </c>
      <c r="G221" s="32">
        <f>IF(C221&lt;&gt;"Venta","",D221*IFERROR(INDEX(Productos!$E$2:$E$501,MATCH(B221,Productos!$A$2:$A$501,0)),0))</f>
        <v/>
      </c>
      <c r="H221" s="33">
        <f>IF(A221="","",MONTH(A221))</f>
        <v/>
      </c>
      <c r="I221" s="33">
        <f>IF(A221="","",YEAR(A221))</f>
        <v/>
      </c>
    </row>
    <row r="222" ht="15" customHeight="1" s="21">
      <c r="A222" s="34" t="n"/>
      <c r="B222" s="30" t="n"/>
      <c r="C222" s="30" t="n"/>
      <c r="D222" s="30" t="n"/>
      <c r="E222" s="33">
        <f>IF(B222="","",IFERROR(INDEX(Productos!$B$2:$B$501,MATCH(B222,Productos!$A$2:$A$501,0)),"¿Código?"))</f>
        <v/>
      </c>
      <c r="F222" s="32">
        <f>IF(C222&lt;&gt;"Venta","",D222*IFERROR(INDEX(Productos!$D$2:$D$501,MATCH(B222,Productos!$A$2:$A$501,0)),0))</f>
        <v/>
      </c>
      <c r="G222" s="32">
        <f>IF(C222&lt;&gt;"Venta","",D222*IFERROR(INDEX(Productos!$E$2:$E$501,MATCH(B222,Productos!$A$2:$A$501,0)),0))</f>
        <v/>
      </c>
      <c r="H222" s="33">
        <f>IF(A222="","",MONTH(A222))</f>
        <v/>
      </c>
      <c r="I222" s="33">
        <f>IF(A222="","",YEAR(A222))</f>
        <v/>
      </c>
    </row>
    <row r="223" ht="15" customHeight="1" s="21">
      <c r="A223" s="34" t="n"/>
      <c r="B223" s="30" t="n"/>
      <c r="C223" s="30" t="n"/>
      <c r="D223" s="30" t="n"/>
      <c r="E223" s="33">
        <f>IF(B223="","",IFERROR(INDEX(Productos!$B$2:$B$501,MATCH(B223,Productos!$A$2:$A$501,0)),"¿Código?"))</f>
        <v/>
      </c>
      <c r="F223" s="32">
        <f>IF(C223&lt;&gt;"Venta","",D223*IFERROR(INDEX(Productos!$D$2:$D$501,MATCH(B223,Productos!$A$2:$A$501,0)),0))</f>
        <v/>
      </c>
      <c r="G223" s="32">
        <f>IF(C223&lt;&gt;"Venta","",D223*IFERROR(INDEX(Productos!$E$2:$E$501,MATCH(B223,Productos!$A$2:$A$501,0)),0))</f>
        <v/>
      </c>
      <c r="H223" s="33">
        <f>IF(A223="","",MONTH(A223))</f>
        <v/>
      </c>
      <c r="I223" s="33">
        <f>IF(A223="","",YEAR(A223))</f>
        <v/>
      </c>
    </row>
    <row r="224" ht="15" customHeight="1" s="21">
      <c r="A224" s="34" t="n"/>
      <c r="B224" s="30" t="n"/>
      <c r="C224" s="30" t="n"/>
      <c r="D224" s="30" t="n"/>
      <c r="E224" s="33">
        <f>IF(B224="","",IFERROR(INDEX(Productos!$B$2:$B$501,MATCH(B224,Productos!$A$2:$A$501,0)),"¿Código?"))</f>
        <v/>
      </c>
      <c r="F224" s="32">
        <f>IF(C224&lt;&gt;"Venta","",D224*IFERROR(INDEX(Productos!$D$2:$D$501,MATCH(B224,Productos!$A$2:$A$501,0)),0))</f>
        <v/>
      </c>
      <c r="G224" s="32">
        <f>IF(C224&lt;&gt;"Venta","",D224*IFERROR(INDEX(Productos!$E$2:$E$501,MATCH(B224,Productos!$A$2:$A$501,0)),0))</f>
        <v/>
      </c>
      <c r="H224" s="33">
        <f>IF(A224="","",MONTH(A224))</f>
        <v/>
      </c>
      <c r="I224" s="33">
        <f>IF(A224="","",YEAR(A224))</f>
        <v/>
      </c>
    </row>
    <row r="225" ht="15" customHeight="1" s="21">
      <c r="A225" s="34" t="n"/>
      <c r="B225" s="30" t="n"/>
      <c r="C225" s="30" t="n"/>
      <c r="D225" s="30" t="n"/>
      <c r="E225" s="33">
        <f>IF(B225="","",IFERROR(INDEX(Productos!$B$2:$B$501,MATCH(B225,Productos!$A$2:$A$501,0)),"¿Código?"))</f>
        <v/>
      </c>
      <c r="F225" s="32">
        <f>IF(C225&lt;&gt;"Venta","",D225*IFERROR(INDEX(Productos!$D$2:$D$501,MATCH(B225,Productos!$A$2:$A$501,0)),0))</f>
        <v/>
      </c>
      <c r="G225" s="32">
        <f>IF(C225&lt;&gt;"Venta","",D225*IFERROR(INDEX(Productos!$E$2:$E$501,MATCH(B225,Productos!$A$2:$A$501,0)),0))</f>
        <v/>
      </c>
      <c r="H225" s="33">
        <f>IF(A225="","",MONTH(A225))</f>
        <v/>
      </c>
      <c r="I225" s="33">
        <f>IF(A225="","",YEAR(A225))</f>
        <v/>
      </c>
    </row>
    <row r="226" ht="15" customHeight="1" s="21">
      <c r="A226" s="34" t="n"/>
      <c r="B226" s="30" t="n"/>
      <c r="C226" s="30" t="n"/>
      <c r="D226" s="30" t="n"/>
      <c r="E226" s="33">
        <f>IF(B226="","",IFERROR(INDEX(Productos!$B$2:$B$501,MATCH(B226,Productos!$A$2:$A$501,0)),"¿Código?"))</f>
        <v/>
      </c>
      <c r="F226" s="32">
        <f>IF(C226&lt;&gt;"Venta","",D226*IFERROR(INDEX(Productos!$D$2:$D$501,MATCH(B226,Productos!$A$2:$A$501,0)),0))</f>
        <v/>
      </c>
      <c r="G226" s="32">
        <f>IF(C226&lt;&gt;"Venta","",D226*IFERROR(INDEX(Productos!$E$2:$E$501,MATCH(B226,Productos!$A$2:$A$501,0)),0))</f>
        <v/>
      </c>
      <c r="H226" s="33">
        <f>IF(A226="","",MONTH(A226))</f>
        <v/>
      </c>
      <c r="I226" s="33">
        <f>IF(A226="","",YEAR(A226))</f>
        <v/>
      </c>
    </row>
    <row r="227" ht="15" customHeight="1" s="21">
      <c r="A227" s="34" t="n"/>
      <c r="B227" s="30" t="n"/>
      <c r="C227" s="30" t="n"/>
      <c r="D227" s="30" t="n"/>
      <c r="E227" s="33">
        <f>IF(B227="","",IFERROR(INDEX(Productos!$B$2:$B$501,MATCH(B227,Productos!$A$2:$A$501,0)),"¿Código?"))</f>
        <v/>
      </c>
      <c r="F227" s="32">
        <f>IF(C227&lt;&gt;"Venta","",D227*IFERROR(INDEX(Productos!$D$2:$D$501,MATCH(B227,Productos!$A$2:$A$501,0)),0))</f>
        <v/>
      </c>
      <c r="G227" s="32">
        <f>IF(C227&lt;&gt;"Venta","",D227*IFERROR(INDEX(Productos!$E$2:$E$501,MATCH(B227,Productos!$A$2:$A$501,0)),0))</f>
        <v/>
      </c>
      <c r="H227" s="33">
        <f>IF(A227="","",MONTH(A227))</f>
        <v/>
      </c>
      <c r="I227" s="33">
        <f>IF(A227="","",YEAR(A227))</f>
        <v/>
      </c>
    </row>
    <row r="228" ht="15" customHeight="1" s="21">
      <c r="A228" s="34" t="n"/>
      <c r="B228" s="30" t="n"/>
      <c r="C228" s="30" t="n"/>
      <c r="D228" s="30" t="n"/>
      <c r="E228" s="33">
        <f>IF(B228="","",IFERROR(INDEX(Productos!$B$2:$B$501,MATCH(B228,Productos!$A$2:$A$501,0)),"¿Código?"))</f>
        <v/>
      </c>
      <c r="F228" s="32">
        <f>IF(C228&lt;&gt;"Venta","",D228*IFERROR(INDEX(Productos!$D$2:$D$501,MATCH(B228,Productos!$A$2:$A$501,0)),0))</f>
        <v/>
      </c>
      <c r="G228" s="32">
        <f>IF(C228&lt;&gt;"Venta","",D228*IFERROR(INDEX(Productos!$E$2:$E$501,MATCH(B228,Productos!$A$2:$A$501,0)),0))</f>
        <v/>
      </c>
      <c r="H228" s="33">
        <f>IF(A228="","",MONTH(A228))</f>
        <v/>
      </c>
      <c r="I228" s="33">
        <f>IF(A228="","",YEAR(A228))</f>
        <v/>
      </c>
    </row>
    <row r="229" ht="15" customHeight="1" s="21">
      <c r="A229" s="34" t="n"/>
      <c r="B229" s="30" t="n"/>
      <c r="C229" s="30" t="n"/>
      <c r="D229" s="30" t="n"/>
      <c r="E229" s="33">
        <f>IF(B229="","",IFERROR(INDEX(Productos!$B$2:$B$501,MATCH(B229,Productos!$A$2:$A$501,0)),"¿Código?"))</f>
        <v/>
      </c>
      <c r="F229" s="32">
        <f>IF(C229&lt;&gt;"Venta","",D229*IFERROR(INDEX(Productos!$D$2:$D$501,MATCH(B229,Productos!$A$2:$A$501,0)),0))</f>
        <v/>
      </c>
      <c r="G229" s="32">
        <f>IF(C229&lt;&gt;"Venta","",D229*IFERROR(INDEX(Productos!$E$2:$E$501,MATCH(B229,Productos!$A$2:$A$501,0)),0))</f>
        <v/>
      </c>
      <c r="H229" s="33">
        <f>IF(A229="","",MONTH(A229))</f>
        <v/>
      </c>
      <c r="I229" s="33">
        <f>IF(A229="","",YEAR(A229))</f>
        <v/>
      </c>
    </row>
    <row r="230" ht="15" customHeight="1" s="21">
      <c r="A230" s="34" t="n"/>
      <c r="B230" s="30" t="n"/>
      <c r="C230" s="30" t="n"/>
      <c r="D230" s="30" t="n"/>
      <c r="E230" s="33">
        <f>IF(B230="","",IFERROR(INDEX(Productos!$B$2:$B$501,MATCH(B230,Productos!$A$2:$A$501,0)),"¿Código?"))</f>
        <v/>
      </c>
      <c r="F230" s="32">
        <f>IF(C230&lt;&gt;"Venta","",D230*IFERROR(INDEX(Productos!$D$2:$D$501,MATCH(B230,Productos!$A$2:$A$501,0)),0))</f>
        <v/>
      </c>
      <c r="G230" s="32">
        <f>IF(C230&lt;&gt;"Venta","",D230*IFERROR(INDEX(Productos!$E$2:$E$501,MATCH(B230,Productos!$A$2:$A$501,0)),0))</f>
        <v/>
      </c>
      <c r="H230" s="33">
        <f>IF(A230="","",MONTH(A230))</f>
        <v/>
      </c>
      <c r="I230" s="33">
        <f>IF(A230="","",YEAR(A230))</f>
        <v/>
      </c>
    </row>
    <row r="231" ht="15" customHeight="1" s="21">
      <c r="A231" s="34" t="n"/>
      <c r="B231" s="30" t="n"/>
      <c r="C231" s="30" t="n"/>
      <c r="D231" s="30" t="n"/>
      <c r="E231" s="33">
        <f>IF(B231="","",IFERROR(INDEX(Productos!$B$2:$B$501,MATCH(B231,Productos!$A$2:$A$501,0)),"¿Código?"))</f>
        <v/>
      </c>
      <c r="F231" s="32">
        <f>IF(C231&lt;&gt;"Venta","",D231*IFERROR(INDEX(Productos!$D$2:$D$501,MATCH(B231,Productos!$A$2:$A$501,0)),0))</f>
        <v/>
      </c>
      <c r="G231" s="32">
        <f>IF(C231&lt;&gt;"Venta","",D231*IFERROR(INDEX(Productos!$E$2:$E$501,MATCH(B231,Productos!$A$2:$A$501,0)),0))</f>
        <v/>
      </c>
      <c r="H231" s="33">
        <f>IF(A231="","",MONTH(A231))</f>
        <v/>
      </c>
      <c r="I231" s="33">
        <f>IF(A231="","",YEAR(A231))</f>
        <v/>
      </c>
    </row>
    <row r="232" ht="15" customHeight="1" s="21">
      <c r="A232" s="34" t="n"/>
      <c r="B232" s="30" t="n"/>
      <c r="C232" s="30" t="n"/>
      <c r="D232" s="30" t="n"/>
      <c r="E232" s="33">
        <f>IF(B232="","",IFERROR(INDEX(Productos!$B$2:$B$501,MATCH(B232,Productos!$A$2:$A$501,0)),"¿Código?"))</f>
        <v/>
      </c>
      <c r="F232" s="32">
        <f>IF(C232&lt;&gt;"Venta","",D232*IFERROR(INDEX(Productos!$D$2:$D$501,MATCH(B232,Productos!$A$2:$A$501,0)),0))</f>
        <v/>
      </c>
      <c r="G232" s="32">
        <f>IF(C232&lt;&gt;"Venta","",D232*IFERROR(INDEX(Productos!$E$2:$E$501,MATCH(B232,Productos!$A$2:$A$501,0)),0))</f>
        <v/>
      </c>
      <c r="H232" s="33">
        <f>IF(A232="","",MONTH(A232))</f>
        <v/>
      </c>
      <c r="I232" s="33">
        <f>IF(A232="","",YEAR(A232))</f>
        <v/>
      </c>
    </row>
    <row r="233" ht="15" customHeight="1" s="21">
      <c r="A233" s="34" t="n"/>
      <c r="B233" s="30" t="n"/>
      <c r="C233" s="30" t="n"/>
      <c r="D233" s="30" t="n"/>
      <c r="E233" s="33">
        <f>IF(B233="","",IFERROR(INDEX(Productos!$B$2:$B$501,MATCH(B233,Productos!$A$2:$A$501,0)),"¿Código?"))</f>
        <v/>
      </c>
      <c r="F233" s="32">
        <f>IF(C233&lt;&gt;"Venta","",D233*IFERROR(INDEX(Productos!$D$2:$D$501,MATCH(B233,Productos!$A$2:$A$501,0)),0))</f>
        <v/>
      </c>
      <c r="G233" s="32">
        <f>IF(C233&lt;&gt;"Venta","",D233*IFERROR(INDEX(Productos!$E$2:$E$501,MATCH(B233,Productos!$A$2:$A$501,0)),0))</f>
        <v/>
      </c>
      <c r="H233" s="33">
        <f>IF(A233="","",MONTH(A233))</f>
        <v/>
      </c>
      <c r="I233" s="33">
        <f>IF(A233="","",YEAR(A233))</f>
        <v/>
      </c>
    </row>
    <row r="234" ht="15" customHeight="1" s="21">
      <c r="A234" s="34" t="n"/>
      <c r="B234" s="30" t="n"/>
      <c r="C234" s="30" t="n"/>
      <c r="D234" s="30" t="n"/>
      <c r="E234" s="33">
        <f>IF(B234="","",IFERROR(INDEX(Productos!$B$2:$B$501,MATCH(B234,Productos!$A$2:$A$501,0)),"¿Código?"))</f>
        <v/>
      </c>
      <c r="F234" s="32">
        <f>IF(C234&lt;&gt;"Venta","",D234*IFERROR(INDEX(Productos!$D$2:$D$501,MATCH(B234,Productos!$A$2:$A$501,0)),0))</f>
        <v/>
      </c>
      <c r="G234" s="32">
        <f>IF(C234&lt;&gt;"Venta","",D234*IFERROR(INDEX(Productos!$E$2:$E$501,MATCH(B234,Productos!$A$2:$A$501,0)),0))</f>
        <v/>
      </c>
      <c r="H234" s="33">
        <f>IF(A234="","",MONTH(A234))</f>
        <v/>
      </c>
      <c r="I234" s="33">
        <f>IF(A234="","",YEAR(A234))</f>
        <v/>
      </c>
    </row>
    <row r="235" ht="15" customHeight="1" s="21">
      <c r="A235" s="34" t="n"/>
      <c r="B235" s="30" t="n"/>
      <c r="C235" s="30" t="n"/>
      <c r="D235" s="30" t="n"/>
      <c r="E235" s="33">
        <f>IF(B235="","",IFERROR(INDEX(Productos!$B$2:$B$501,MATCH(B235,Productos!$A$2:$A$501,0)),"¿Código?"))</f>
        <v/>
      </c>
      <c r="F235" s="32">
        <f>IF(C235&lt;&gt;"Venta","",D235*IFERROR(INDEX(Productos!$D$2:$D$501,MATCH(B235,Productos!$A$2:$A$501,0)),0))</f>
        <v/>
      </c>
      <c r="G235" s="32">
        <f>IF(C235&lt;&gt;"Venta","",D235*IFERROR(INDEX(Productos!$E$2:$E$501,MATCH(B235,Productos!$A$2:$A$501,0)),0))</f>
        <v/>
      </c>
      <c r="H235" s="33">
        <f>IF(A235="","",MONTH(A235))</f>
        <v/>
      </c>
      <c r="I235" s="33">
        <f>IF(A235="","",YEAR(A235))</f>
        <v/>
      </c>
    </row>
    <row r="236" ht="15" customHeight="1" s="21">
      <c r="A236" s="34" t="n"/>
      <c r="B236" s="30" t="n"/>
      <c r="C236" s="30" t="n"/>
      <c r="D236" s="30" t="n"/>
      <c r="E236" s="33">
        <f>IF(B236="","",IFERROR(INDEX(Productos!$B$2:$B$501,MATCH(B236,Productos!$A$2:$A$501,0)),"¿Código?"))</f>
        <v/>
      </c>
      <c r="F236" s="32">
        <f>IF(C236&lt;&gt;"Venta","",D236*IFERROR(INDEX(Productos!$D$2:$D$501,MATCH(B236,Productos!$A$2:$A$501,0)),0))</f>
        <v/>
      </c>
      <c r="G236" s="32">
        <f>IF(C236&lt;&gt;"Venta","",D236*IFERROR(INDEX(Productos!$E$2:$E$501,MATCH(B236,Productos!$A$2:$A$501,0)),0))</f>
        <v/>
      </c>
      <c r="H236" s="33">
        <f>IF(A236="","",MONTH(A236))</f>
        <v/>
      </c>
      <c r="I236" s="33">
        <f>IF(A236="","",YEAR(A236))</f>
        <v/>
      </c>
    </row>
    <row r="237" ht="15" customHeight="1" s="21">
      <c r="A237" s="34" t="n"/>
      <c r="B237" s="30" t="n"/>
      <c r="C237" s="30" t="n"/>
      <c r="D237" s="30" t="n"/>
      <c r="E237" s="33">
        <f>IF(B237="","",IFERROR(INDEX(Productos!$B$2:$B$501,MATCH(B237,Productos!$A$2:$A$501,0)),"¿Código?"))</f>
        <v/>
      </c>
      <c r="F237" s="32">
        <f>IF(C237&lt;&gt;"Venta","",D237*IFERROR(INDEX(Productos!$D$2:$D$501,MATCH(B237,Productos!$A$2:$A$501,0)),0))</f>
        <v/>
      </c>
      <c r="G237" s="32">
        <f>IF(C237&lt;&gt;"Venta","",D237*IFERROR(INDEX(Productos!$E$2:$E$501,MATCH(B237,Productos!$A$2:$A$501,0)),0))</f>
        <v/>
      </c>
      <c r="H237" s="33">
        <f>IF(A237="","",MONTH(A237))</f>
        <v/>
      </c>
      <c r="I237" s="33">
        <f>IF(A237="","",YEAR(A237))</f>
        <v/>
      </c>
    </row>
    <row r="238" ht="15" customHeight="1" s="21">
      <c r="A238" s="34" t="n"/>
      <c r="B238" s="30" t="n"/>
      <c r="C238" s="30" t="n"/>
      <c r="D238" s="30" t="n"/>
      <c r="E238" s="33">
        <f>IF(B238="","",IFERROR(INDEX(Productos!$B$2:$B$501,MATCH(B238,Productos!$A$2:$A$501,0)),"¿Código?"))</f>
        <v/>
      </c>
      <c r="F238" s="32">
        <f>IF(C238&lt;&gt;"Venta","",D238*IFERROR(INDEX(Productos!$D$2:$D$501,MATCH(B238,Productos!$A$2:$A$501,0)),0))</f>
        <v/>
      </c>
      <c r="G238" s="32">
        <f>IF(C238&lt;&gt;"Venta","",D238*IFERROR(INDEX(Productos!$E$2:$E$501,MATCH(B238,Productos!$A$2:$A$501,0)),0))</f>
        <v/>
      </c>
      <c r="H238" s="33">
        <f>IF(A238="","",MONTH(A238))</f>
        <v/>
      </c>
      <c r="I238" s="33">
        <f>IF(A238="","",YEAR(A238))</f>
        <v/>
      </c>
    </row>
    <row r="239" ht="15" customHeight="1" s="21">
      <c r="A239" s="34" t="n"/>
      <c r="B239" s="30" t="n"/>
      <c r="C239" s="30" t="n"/>
      <c r="D239" s="30" t="n"/>
      <c r="E239" s="33">
        <f>IF(B239="","",IFERROR(INDEX(Productos!$B$2:$B$501,MATCH(B239,Productos!$A$2:$A$501,0)),"¿Código?"))</f>
        <v/>
      </c>
      <c r="F239" s="32">
        <f>IF(C239&lt;&gt;"Venta","",D239*IFERROR(INDEX(Productos!$D$2:$D$501,MATCH(B239,Productos!$A$2:$A$501,0)),0))</f>
        <v/>
      </c>
      <c r="G239" s="32">
        <f>IF(C239&lt;&gt;"Venta","",D239*IFERROR(INDEX(Productos!$E$2:$E$501,MATCH(B239,Productos!$A$2:$A$501,0)),0))</f>
        <v/>
      </c>
      <c r="H239" s="33">
        <f>IF(A239="","",MONTH(A239))</f>
        <v/>
      </c>
      <c r="I239" s="33">
        <f>IF(A239="","",YEAR(A239))</f>
        <v/>
      </c>
    </row>
    <row r="240" ht="15" customHeight="1" s="21">
      <c r="A240" s="34" t="n"/>
      <c r="B240" s="30" t="n"/>
      <c r="C240" s="30" t="n"/>
      <c r="D240" s="30" t="n"/>
      <c r="E240" s="33">
        <f>IF(B240="","",IFERROR(INDEX(Productos!$B$2:$B$501,MATCH(B240,Productos!$A$2:$A$501,0)),"¿Código?"))</f>
        <v/>
      </c>
      <c r="F240" s="32">
        <f>IF(C240&lt;&gt;"Venta","",D240*IFERROR(INDEX(Productos!$D$2:$D$501,MATCH(B240,Productos!$A$2:$A$501,0)),0))</f>
        <v/>
      </c>
      <c r="G240" s="32">
        <f>IF(C240&lt;&gt;"Venta","",D240*IFERROR(INDEX(Productos!$E$2:$E$501,MATCH(B240,Productos!$A$2:$A$501,0)),0))</f>
        <v/>
      </c>
      <c r="H240" s="33">
        <f>IF(A240="","",MONTH(A240))</f>
        <v/>
      </c>
      <c r="I240" s="33">
        <f>IF(A240="","",YEAR(A240))</f>
        <v/>
      </c>
    </row>
    <row r="241" ht="15" customHeight="1" s="21">
      <c r="A241" s="34" t="n"/>
      <c r="B241" s="30" t="n"/>
      <c r="C241" s="30" t="n"/>
      <c r="D241" s="30" t="n"/>
      <c r="E241" s="33">
        <f>IF(B241="","",IFERROR(INDEX(Productos!$B$2:$B$501,MATCH(B241,Productos!$A$2:$A$501,0)),"¿Código?"))</f>
        <v/>
      </c>
      <c r="F241" s="32">
        <f>IF(C241&lt;&gt;"Venta","",D241*IFERROR(INDEX(Productos!$D$2:$D$501,MATCH(B241,Productos!$A$2:$A$501,0)),0))</f>
        <v/>
      </c>
      <c r="G241" s="32">
        <f>IF(C241&lt;&gt;"Venta","",D241*IFERROR(INDEX(Productos!$E$2:$E$501,MATCH(B241,Productos!$A$2:$A$501,0)),0))</f>
        <v/>
      </c>
      <c r="H241" s="33">
        <f>IF(A241="","",MONTH(A241))</f>
        <v/>
      </c>
      <c r="I241" s="33">
        <f>IF(A241="","",YEAR(A241))</f>
        <v/>
      </c>
    </row>
    <row r="242" ht="15" customHeight="1" s="21">
      <c r="A242" s="34" t="n"/>
      <c r="B242" s="30" t="n"/>
      <c r="C242" s="30" t="n"/>
      <c r="D242" s="30" t="n"/>
      <c r="E242" s="33">
        <f>IF(B242="","",IFERROR(INDEX(Productos!$B$2:$B$501,MATCH(B242,Productos!$A$2:$A$501,0)),"¿Código?"))</f>
        <v/>
      </c>
      <c r="F242" s="32">
        <f>IF(C242&lt;&gt;"Venta","",D242*IFERROR(INDEX(Productos!$D$2:$D$501,MATCH(B242,Productos!$A$2:$A$501,0)),0))</f>
        <v/>
      </c>
      <c r="G242" s="32">
        <f>IF(C242&lt;&gt;"Venta","",D242*IFERROR(INDEX(Productos!$E$2:$E$501,MATCH(B242,Productos!$A$2:$A$501,0)),0))</f>
        <v/>
      </c>
      <c r="H242" s="33">
        <f>IF(A242="","",MONTH(A242))</f>
        <v/>
      </c>
      <c r="I242" s="33">
        <f>IF(A242="","",YEAR(A242))</f>
        <v/>
      </c>
    </row>
    <row r="243" ht="15" customHeight="1" s="21">
      <c r="A243" s="34" t="n"/>
      <c r="B243" s="30" t="n"/>
      <c r="C243" s="30" t="n"/>
      <c r="D243" s="30" t="n"/>
      <c r="E243" s="33">
        <f>IF(B243="","",IFERROR(INDEX(Productos!$B$2:$B$501,MATCH(B243,Productos!$A$2:$A$501,0)),"¿Código?"))</f>
        <v/>
      </c>
      <c r="F243" s="32">
        <f>IF(C243&lt;&gt;"Venta","",D243*IFERROR(INDEX(Productos!$D$2:$D$501,MATCH(B243,Productos!$A$2:$A$501,0)),0))</f>
        <v/>
      </c>
      <c r="G243" s="32">
        <f>IF(C243&lt;&gt;"Venta","",D243*IFERROR(INDEX(Productos!$E$2:$E$501,MATCH(B243,Productos!$A$2:$A$501,0)),0))</f>
        <v/>
      </c>
      <c r="H243" s="33">
        <f>IF(A243="","",MONTH(A243))</f>
        <v/>
      </c>
      <c r="I243" s="33">
        <f>IF(A243="","",YEAR(A243))</f>
        <v/>
      </c>
    </row>
    <row r="244" ht="15" customHeight="1" s="21">
      <c r="A244" s="34" t="n"/>
      <c r="B244" s="30" t="n"/>
      <c r="C244" s="30" t="n"/>
      <c r="D244" s="30" t="n"/>
      <c r="E244" s="33">
        <f>IF(B244="","",IFERROR(INDEX(Productos!$B$2:$B$501,MATCH(B244,Productos!$A$2:$A$501,0)),"¿Código?"))</f>
        <v/>
      </c>
      <c r="F244" s="32">
        <f>IF(C244&lt;&gt;"Venta","",D244*IFERROR(INDEX(Productos!$D$2:$D$501,MATCH(B244,Productos!$A$2:$A$501,0)),0))</f>
        <v/>
      </c>
      <c r="G244" s="32">
        <f>IF(C244&lt;&gt;"Venta","",D244*IFERROR(INDEX(Productos!$E$2:$E$501,MATCH(B244,Productos!$A$2:$A$501,0)),0))</f>
        <v/>
      </c>
      <c r="H244" s="33">
        <f>IF(A244="","",MONTH(A244))</f>
        <v/>
      </c>
      <c r="I244" s="33">
        <f>IF(A244="","",YEAR(A244))</f>
        <v/>
      </c>
    </row>
    <row r="245" ht="15" customHeight="1" s="21">
      <c r="A245" s="34" t="n"/>
      <c r="B245" s="30" t="n"/>
      <c r="C245" s="30" t="n"/>
      <c r="D245" s="30" t="n"/>
      <c r="E245" s="33">
        <f>IF(B245="","",IFERROR(INDEX(Productos!$B$2:$B$501,MATCH(B245,Productos!$A$2:$A$501,0)),"¿Código?"))</f>
        <v/>
      </c>
      <c r="F245" s="32">
        <f>IF(C245&lt;&gt;"Venta","",D245*IFERROR(INDEX(Productos!$D$2:$D$501,MATCH(B245,Productos!$A$2:$A$501,0)),0))</f>
        <v/>
      </c>
      <c r="G245" s="32">
        <f>IF(C245&lt;&gt;"Venta","",D245*IFERROR(INDEX(Productos!$E$2:$E$501,MATCH(B245,Productos!$A$2:$A$501,0)),0))</f>
        <v/>
      </c>
      <c r="H245" s="33">
        <f>IF(A245="","",MONTH(A245))</f>
        <v/>
      </c>
      <c r="I245" s="33">
        <f>IF(A245="","",YEAR(A245))</f>
        <v/>
      </c>
    </row>
    <row r="246" ht="15" customHeight="1" s="21">
      <c r="A246" s="34" t="n"/>
      <c r="B246" s="30" t="n"/>
      <c r="C246" s="30" t="n"/>
      <c r="D246" s="30" t="n"/>
      <c r="E246" s="33">
        <f>IF(B246="","",IFERROR(INDEX(Productos!$B$2:$B$501,MATCH(B246,Productos!$A$2:$A$501,0)),"¿Código?"))</f>
        <v/>
      </c>
      <c r="F246" s="32">
        <f>IF(C246&lt;&gt;"Venta","",D246*IFERROR(INDEX(Productos!$D$2:$D$501,MATCH(B246,Productos!$A$2:$A$501,0)),0))</f>
        <v/>
      </c>
      <c r="G246" s="32">
        <f>IF(C246&lt;&gt;"Venta","",D246*IFERROR(INDEX(Productos!$E$2:$E$501,MATCH(B246,Productos!$A$2:$A$501,0)),0))</f>
        <v/>
      </c>
      <c r="H246" s="33">
        <f>IF(A246="","",MONTH(A246))</f>
        <v/>
      </c>
      <c r="I246" s="33">
        <f>IF(A246="","",YEAR(A246))</f>
        <v/>
      </c>
    </row>
    <row r="247" ht="15" customHeight="1" s="21">
      <c r="A247" s="34" t="n"/>
      <c r="B247" s="30" t="n"/>
      <c r="C247" s="30" t="n"/>
      <c r="D247" s="30" t="n"/>
      <c r="E247" s="33">
        <f>IF(B247="","",IFERROR(INDEX(Productos!$B$2:$B$501,MATCH(B247,Productos!$A$2:$A$501,0)),"¿Código?"))</f>
        <v/>
      </c>
      <c r="F247" s="32">
        <f>IF(C247&lt;&gt;"Venta","",D247*IFERROR(INDEX(Productos!$D$2:$D$501,MATCH(B247,Productos!$A$2:$A$501,0)),0))</f>
        <v/>
      </c>
      <c r="G247" s="32">
        <f>IF(C247&lt;&gt;"Venta","",D247*IFERROR(INDEX(Productos!$E$2:$E$501,MATCH(B247,Productos!$A$2:$A$501,0)),0))</f>
        <v/>
      </c>
      <c r="H247" s="33">
        <f>IF(A247="","",MONTH(A247))</f>
        <v/>
      </c>
      <c r="I247" s="33">
        <f>IF(A247="","",YEAR(A247))</f>
        <v/>
      </c>
    </row>
    <row r="248" ht="15" customHeight="1" s="21">
      <c r="A248" s="34" t="n"/>
      <c r="B248" s="30" t="n"/>
      <c r="C248" s="30" t="n"/>
      <c r="D248" s="30" t="n"/>
      <c r="E248" s="33">
        <f>IF(B248="","",IFERROR(INDEX(Productos!$B$2:$B$501,MATCH(B248,Productos!$A$2:$A$501,0)),"¿Código?"))</f>
        <v/>
      </c>
      <c r="F248" s="32">
        <f>IF(C248&lt;&gt;"Venta","",D248*IFERROR(INDEX(Productos!$D$2:$D$501,MATCH(B248,Productos!$A$2:$A$501,0)),0))</f>
        <v/>
      </c>
      <c r="G248" s="32">
        <f>IF(C248&lt;&gt;"Venta","",D248*IFERROR(INDEX(Productos!$E$2:$E$501,MATCH(B248,Productos!$A$2:$A$501,0)),0))</f>
        <v/>
      </c>
      <c r="H248" s="33">
        <f>IF(A248="","",MONTH(A248))</f>
        <v/>
      </c>
      <c r="I248" s="33">
        <f>IF(A248="","",YEAR(A248))</f>
        <v/>
      </c>
    </row>
    <row r="249" ht="15" customHeight="1" s="21">
      <c r="A249" s="34" t="n"/>
      <c r="B249" s="30" t="n"/>
      <c r="C249" s="30" t="n"/>
      <c r="D249" s="30" t="n"/>
      <c r="E249" s="33">
        <f>IF(B249="","",IFERROR(INDEX(Productos!$B$2:$B$501,MATCH(B249,Productos!$A$2:$A$501,0)),"¿Código?"))</f>
        <v/>
      </c>
      <c r="F249" s="32">
        <f>IF(C249&lt;&gt;"Venta","",D249*IFERROR(INDEX(Productos!$D$2:$D$501,MATCH(B249,Productos!$A$2:$A$501,0)),0))</f>
        <v/>
      </c>
      <c r="G249" s="32">
        <f>IF(C249&lt;&gt;"Venta","",D249*IFERROR(INDEX(Productos!$E$2:$E$501,MATCH(B249,Productos!$A$2:$A$501,0)),0))</f>
        <v/>
      </c>
      <c r="H249" s="33">
        <f>IF(A249="","",MONTH(A249))</f>
        <v/>
      </c>
      <c r="I249" s="33">
        <f>IF(A249="","",YEAR(A249))</f>
        <v/>
      </c>
    </row>
    <row r="250" ht="15" customHeight="1" s="21">
      <c r="A250" s="34" t="n"/>
      <c r="B250" s="30" t="n"/>
      <c r="C250" s="30" t="n"/>
      <c r="D250" s="30" t="n"/>
      <c r="E250" s="33">
        <f>IF(B250="","",IFERROR(INDEX(Productos!$B$2:$B$501,MATCH(B250,Productos!$A$2:$A$501,0)),"¿Código?"))</f>
        <v/>
      </c>
      <c r="F250" s="32">
        <f>IF(C250&lt;&gt;"Venta","",D250*IFERROR(INDEX(Productos!$D$2:$D$501,MATCH(B250,Productos!$A$2:$A$501,0)),0))</f>
        <v/>
      </c>
      <c r="G250" s="32">
        <f>IF(C250&lt;&gt;"Venta","",D250*IFERROR(INDEX(Productos!$E$2:$E$501,MATCH(B250,Productos!$A$2:$A$501,0)),0))</f>
        <v/>
      </c>
      <c r="H250" s="33">
        <f>IF(A250="","",MONTH(A250))</f>
        <v/>
      </c>
      <c r="I250" s="33">
        <f>IF(A250="","",YEAR(A250))</f>
        <v/>
      </c>
    </row>
    <row r="251" ht="15" customHeight="1" s="21">
      <c r="A251" s="34" t="n"/>
      <c r="B251" s="30" t="n"/>
      <c r="C251" s="30" t="n"/>
      <c r="D251" s="30" t="n"/>
      <c r="E251" s="33">
        <f>IF(B251="","",IFERROR(INDEX(Productos!$B$2:$B$501,MATCH(B251,Productos!$A$2:$A$501,0)),"¿Código?"))</f>
        <v/>
      </c>
      <c r="F251" s="32">
        <f>IF(C251&lt;&gt;"Venta","",D251*IFERROR(INDEX(Productos!$D$2:$D$501,MATCH(B251,Productos!$A$2:$A$501,0)),0))</f>
        <v/>
      </c>
      <c r="G251" s="32">
        <f>IF(C251&lt;&gt;"Venta","",D251*IFERROR(INDEX(Productos!$E$2:$E$501,MATCH(B251,Productos!$A$2:$A$501,0)),0))</f>
        <v/>
      </c>
      <c r="H251" s="33">
        <f>IF(A251="","",MONTH(A251))</f>
        <v/>
      </c>
      <c r="I251" s="33">
        <f>IF(A251="","",YEAR(A251))</f>
        <v/>
      </c>
    </row>
    <row r="252" ht="15" customHeight="1" s="21">
      <c r="A252" s="34" t="n"/>
      <c r="B252" s="30" t="n"/>
      <c r="C252" s="30" t="n"/>
      <c r="D252" s="30" t="n"/>
      <c r="E252" s="33">
        <f>IF(B252="","",IFERROR(INDEX(Productos!$B$2:$B$501,MATCH(B252,Productos!$A$2:$A$501,0)),"¿Código?"))</f>
        <v/>
      </c>
      <c r="F252" s="32">
        <f>IF(C252&lt;&gt;"Venta","",D252*IFERROR(INDEX(Productos!$D$2:$D$501,MATCH(B252,Productos!$A$2:$A$501,0)),0))</f>
        <v/>
      </c>
      <c r="G252" s="32">
        <f>IF(C252&lt;&gt;"Venta","",D252*IFERROR(INDEX(Productos!$E$2:$E$501,MATCH(B252,Productos!$A$2:$A$501,0)),0))</f>
        <v/>
      </c>
      <c r="H252" s="33">
        <f>IF(A252="","",MONTH(A252))</f>
        <v/>
      </c>
      <c r="I252" s="33">
        <f>IF(A252="","",YEAR(A252))</f>
        <v/>
      </c>
    </row>
    <row r="253" ht="15" customHeight="1" s="21">
      <c r="A253" s="34" t="n"/>
      <c r="B253" s="30" t="n"/>
      <c r="C253" s="30" t="n"/>
      <c r="D253" s="30" t="n"/>
      <c r="E253" s="33">
        <f>IF(B253="","",IFERROR(INDEX(Productos!$B$2:$B$501,MATCH(B253,Productos!$A$2:$A$501,0)),"¿Código?"))</f>
        <v/>
      </c>
      <c r="F253" s="32">
        <f>IF(C253&lt;&gt;"Venta","",D253*IFERROR(INDEX(Productos!$D$2:$D$501,MATCH(B253,Productos!$A$2:$A$501,0)),0))</f>
        <v/>
      </c>
      <c r="G253" s="32">
        <f>IF(C253&lt;&gt;"Venta","",D253*IFERROR(INDEX(Productos!$E$2:$E$501,MATCH(B253,Productos!$A$2:$A$501,0)),0))</f>
        <v/>
      </c>
      <c r="H253" s="33">
        <f>IF(A253="","",MONTH(A253))</f>
        <v/>
      </c>
      <c r="I253" s="33">
        <f>IF(A253="","",YEAR(A253))</f>
        <v/>
      </c>
    </row>
    <row r="254" ht="15" customHeight="1" s="21">
      <c r="A254" s="34" t="n"/>
      <c r="B254" s="30" t="n"/>
      <c r="C254" s="30" t="n"/>
      <c r="D254" s="30" t="n"/>
      <c r="E254" s="33">
        <f>IF(B254="","",IFERROR(INDEX(Productos!$B$2:$B$501,MATCH(B254,Productos!$A$2:$A$501,0)),"¿Código?"))</f>
        <v/>
      </c>
      <c r="F254" s="32">
        <f>IF(C254&lt;&gt;"Venta","",D254*IFERROR(INDEX(Productos!$D$2:$D$501,MATCH(B254,Productos!$A$2:$A$501,0)),0))</f>
        <v/>
      </c>
      <c r="G254" s="32">
        <f>IF(C254&lt;&gt;"Venta","",D254*IFERROR(INDEX(Productos!$E$2:$E$501,MATCH(B254,Productos!$A$2:$A$501,0)),0))</f>
        <v/>
      </c>
      <c r="H254" s="33">
        <f>IF(A254="","",MONTH(A254))</f>
        <v/>
      </c>
      <c r="I254" s="33">
        <f>IF(A254="","",YEAR(A254))</f>
        <v/>
      </c>
    </row>
    <row r="255" ht="15" customHeight="1" s="21">
      <c r="A255" s="34" t="n"/>
      <c r="B255" s="30" t="n"/>
      <c r="C255" s="30" t="n"/>
      <c r="D255" s="30" t="n"/>
      <c r="E255" s="33">
        <f>IF(B255="","",IFERROR(INDEX(Productos!$B$2:$B$501,MATCH(B255,Productos!$A$2:$A$501,0)),"¿Código?"))</f>
        <v/>
      </c>
      <c r="F255" s="32">
        <f>IF(C255&lt;&gt;"Venta","",D255*IFERROR(INDEX(Productos!$D$2:$D$501,MATCH(B255,Productos!$A$2:$A$501,0)),0))</f>
        <v/>
      </c>
      <c r="G255" s="32">
        <f>IF(C255&lt;&gt;"Venta","",D255*IFERROR(INDEX(Productos!$E$2:$E$501,MATCH(B255,Productos!$A$2:$A$501,0)),0))</f>
        <v/>
      </c>
      <c r="H255" s="33">
        <f>IF(A255="","",MONTH(A255))</f>
        <v/>
      </c>
      <c r="I255" s="33">
        <f>IF(A255="","",YEAR(A255))</f>
        <v/>
      </c>
    </row>
    <row r="256" ht="15" customHeight="1" s="21">
      <c r="A256" s="34" t="n"/>
      <c r="B256" s="30" t="n"/>
      <c r="C256" s="30" t="n"/>
      <c r="D256" s="30" t="n"/>
      <c r="E256" s="33">
        <f>IF(B256="","",IFERROR(INDEX(Productos!$B$2:$B$501,MATCH(B256,Productos!$A$2:$A$501,0)),"¿Código?"))</f>
        <v/>
      </c>
      <c r="F256" s="32">
        <f>IF(C256&lt;&gt;"Venta","",D256*IFERROR(INDEX(Productos!$D$2:$D$501,MATCH(B256,Productos!$A$2:$A$501,0)),0))</f>
        <v/>
      </c>
      <c r="G256" s="32">
        <f>IF(C256&lt;&gt;"Venta","",D256*IFERROR(INDEX(Productos!$E$2:$E$501,MATCH(B256,Productos!$A$2:$A$501,0)),0))</f>
        <v/>
      </c>
      <c r="H256" s="33">
        <f>IF(A256="","",MONTH(A256))</f>
        <v/>
      </c>
      <c r="I256" s="33">
        <f>IF(A256="","",YEAR(A256))</f>
        <v/>
      </c>
    </row>
    <row r="257" ht="15" customHeight="1" s="21">
      <c r="A257" s="34" t="n"/>
      <c r="B257" s="30" t="n"/>
      <c r="C257" s="30" t="n"/>
      <c r="D257" s="30" t="n"/>
      <c r="E257" s="33">
        <f>IF(B257="","",IFERROR(INDEX(Productos!$B$2:$B$501,MATCH(B257,Productos!$A$2:$A$501,0)),"¿Código?"))</f>
        <v/>
      </c>
      <c r="F257" s="32">
        <f>IF(C257&lt;&gt;"Venta","",D257*IFERROR(INDEX(Productos!$D$2:$D$501,MATCH(B257,Productos!$A$2:$A$501,0)),0))</f>
        <v/>
      </c>
      <c r="G257" s="32">
        <f>IF(C257&lt;&gt;"Venta","",D257*IFERROR(INDEX(Productos!$E$2:$E$501,MATCH(B257,Productos!$A$2:$A$501,0)),0))</f>
        <v/>
      </c>
      <c r="H257" s="33">
        <f>IF(A257="","",MONTH(A257))</f>
        <v/>
      </c>
      <c r="I257" s="33">
        <f>IF(A257="","",YEAR(A257))</f>
        <v/>
      </c>
    </row>
    <row r="258" ht="15" customHeight="1" s="21">
      <c r="A258" s="34" t="n"/>
      <c r="B258" s="30" t="n"/>
      <c r="C258" s="30" t="n"/>
      <c r="D258" s="30" t="n"/>
      <c r="E258" s="33">
        <f>IF(B258="","",IFERROR(INDEX(Productos!$B$2:$B$501,MATCH(B258,Productos!$A$2:$A$501,0)),"¿Código?"))</f>
        <v/>
      </c>
      <c r="F258" s="32">
        <f>IF(C258&lt;&gt;"Venta","",D258*IFERROR(INDEX(Productos!$D$2:$D$501,MATCH(B258,Productos!$A$2:$A$501,0)),0))</f>
        <v/>
      </c>
      <c r="G258" s="32">
        <f>IF(C258&lt;&gt;"Venta","",D258*IFERROR(INDEX(Productos!$E$2:$E$501,MATCH(B258,Productos!$A$2:$A$501,0)),0))</f>
        <v/>
      </c>
      <c r="H258" s="33">
        <f>IF(A258="","",MONTH(A258))</f>
        <v/>
      </c>
      <c r="I258" s="33">
        <f>IF(A258="","",YEAR(A258))</f>
        <v/>
      </c>
    </row>
    <row r="259" ht="15" customHeight="1" s="21">
      <c r="A259" s="34" t="n"/>
      <c r="B259" s="30" t="n"/>
      <c r="C259" s="30" t="n"/>
      <c r="D259" s="30" t="n"/>
      <c r="E259" s="33">
        <f>IF(B259="","",IFERROR(INDEX(Productos!$B$2:$B$501,MATCH(B259,Productos!$A$2:$A$501,0)),"¿Código?"))</f>
        <v/>
      </c>
      <c r="F259" s="32">
        <f>IF(C259&lt;&gt;"Venta","",D259*IFERROR(INDEX(Productos!$D$2:$D$501,MATCH(B259,Productos!$A$2:$A$501,0)),0))</f>
        <v/>
      </c>
      <c r="G259" s="32">
        <f>IF(C259&lt;&gt;"Venta","",D259*IFERROR(INDEX(Productos!$E$2:$E$501,MATCH(B259,Productos!$A$2:$A$501,0)),0))</f>
        <v/>
      </c>
      <c r="H259" s="33">
        <f>IF(A259="","",MONTH(A259))</f>
        <v/>
      </c>
      <c r="I259" s="33">
        <f>IF(A259="","",YEAR(A259))</f>
        <v/>
      </c>
    </row>
    <row r="260" ht="15" customHeight="1" s="21">
      <c r="A260" s="34" t="n"/>
      <c r="B260" s="30" t="n"/>
      <c r="C260" s="30" t="n"/>
      <c r="D260" s="30" t="n"/>
      <c r="E260" s="33">
        <f>IF(B260="","",IFERROR(INDEX(Productos!$B$2:$B$501,MATCH(B260,Productos!$A$2:$A$501,0)),"¿Código?"))</f>
        <v/>
      </c>
      <c r="F260" s="32">
        <f>IF(C260&lt;&gt;"Venta","",D260*IFERROR(INDEX(Productos!$D$2:$D$501,MATCH(B260,Productos!$A$2:$A$501,0)),0))</f>
        <v/>
      </c>
      <c r="G260" s="32">
        <f>IF(C260&lt;&gt;"Venta","",D260*IFERROR(INDEX(Productos!$E$2:$E$501,MATCH(B260,Productos!$A$2:$A$501,0)),0))</f>
        <v/>
      </c>
      <c r="H260" s="33">
        <f>IF(A260="","",MONTH(A260))</f>
        <v/>
      </c>
      <c r="I260" s="33">
        <f>IF(A260="","",YEAR(A260))</f>
        <v/>
      </c>
    </row>
    <row r="261" ht="15" customHeight="1" s="21">
      <c r="A261" s="34" t="n"/>
      <c r="B261" s="30" t="n"/>
      <c r="C261" s="30" t="n"/>
      <c r="D261" s="30" t="n"/>
      <c r="E261" s="33">
        <f>IF(B261="","",IFERROR(INDEX(Productos!$B$2:$B$501,MATCH(B261,Productos!$A$2:$A$501,0)),"¿Código?"))</f>
        <v/>
      </c>
      <c r="F261" s="32">
        <f>IF(C261&lt;&gt;"Venta","",D261*IFERROR(INDEX(Productos!$D$2:$D$501,MATCH(B261,Productos!$A$2:$A$501,0)),0))</f>
        <v/>
      </c>
      <c r="G261" s="32">
        <f>IF(C261&lt;&gt;"Venta","",D261*IFERROR(INDEX(Productos!$E$2:$E$501,MATCH(B261,Productos!$A$2:$A$501,0)),0))</f>
        <v/>
      </c>
      <c r="H261" s="33">
        <f>IF(A261="","",MONTH(A261))</f>
        <v/>
      </c>
      <c r="I261" s="33">
        <f>IF(A261="","",YEAR(A261))</f>
        <v/>
      </c>
    </row>
    <row r="262" ht="15" customHeight="1" s="21">
      <c r="A262" s="34" t="n"/>
      <c r="B262" s="30" t="n"/>
      <c r="C262" s="30" t="n"/>
      <c r="D262" s="30" t="n"/>
      <c r="E262" s="33">
        <f>IF(B262="","",IFERROR(INDEX(Productos!$B$2:$B$501,MATCH(B262,Productos!$A$2:$A$501,0)),"¿Código?"))</f>
        <v/>
      </c>
      <c r="F262" s="32">
        <f>IF(C262&lt;&gt;"Venta","",D262*IFERROR(INDEX(Productos!$D$2:$D$501,MATCH(B262,Productos!$A$2:$A$501,0)),0))</f>
        <v/>
      </c>
      <c r="G262" s="32">
        <f>IF(C262&lt;&gt;"Venta","",D262*IFERROR(INDEX(Productos!$E$2:$E$501,MATCH(B262,Productos!$A$2:$A$501,0)),0))</f>
        <v/>
      </c>
      <c r="H262" s="33">
        <f>IF(A262="","",MONTH(A262))</f>
        <v/>
      </c>
      <c r="I262" s="33">
        <f>IF(A262="","",YEAR(A262))</f>
        <v/>
      </c>
    </row>
    <row r="263" ht="15" customHeight="1" s="21">
      <c r="A263" s="34" t="n"/>
      <c r="B263" s="30" t="n"/>
      <c r="C263" s="30" t="n"/>
      <c r="D263" s="30" t="n"/>
      <c r="E263" s="33">
        <f>IF(B263="","",IFERROR(INDEX(Productos!$B$2:$B$501,MATCH(B263,Productos!$A$2:$A$501,0)),"¿Código?"))</f>
        <v/>
      </c>
      <c r="F263" s="32">
        <f>IF(C263&lt;&gt;"Venta","",D263*IFERROR(INDEX(Productos!$D$2:$D$501,MATCH(B263,Productos!$A$2:$A$501,0)),0))</f>
        <v/>
      </c>
      <c r="G263" s="32">
        <f>IF(C263&lt;&gt;"Venta","",D263*IFERROR(INDEX(Productos!$E$2:$E$501,MATCH(B263,Productos!$A$2:$A$501,0)),0))</f>
        <v/>
      </c>
      <c r="H263" s="33">
        <f>IF(A263="","",MONTH(A263))</f>
        <v/>
      </c>
      <c r="I263" s="33">
        <f>IF(A263="","",YEAR(A263))</f>
        <v/>
      </c>
    </row>
    <row r="264" ht="15" customHeight="1" s="21">
      <c r="A264" s="34" t="n"/>
      <c r="B264" s="30" t="n"/>
      <c r="C264" s="30" t="n"/>
      <c r="D264" s="30" t="n"/>
      <c r="E264" s="33">
        <f>IF(B264="","",IFERROR(INDEX(Productos!$B$2:$B$501,MATCH(B264,Productos!$A$2:$A$501,0)),"¿Código?"))</f>
        <v/>
      </c>
      <c r="F264" s="32">
        <f>IF(C264&lt;&gt;"Venta","",D264*IFERROR(INDEX(Productos!$D$2:$D$501,MATCH(B264,Productos!$A$2:$A$501,0)),0))</f>
        <v/>
      </c>
      <c r="G264" s="32">
        <f>IF(C264&lt;&gt;"Venta","",D264*IFERROR(INDEX(Productos!$E$2:$E$501,MATCH(B264,Productos!$A$2:$A$501,0)),0))</f>
        <v/>
      </c>
      <c r="H264" s="33">
        <f>IF(A264="","",MONTH(A264))</f>
        <v/>
      </c>
      <c r="I264" s="33">
        <f>IF(A264="","",YEAR(A264))</f>
        <v/>
      </c>
    </row>
    <row r="265" ht="15" customHeight="1" s="21">
      <c r="A265" s="34" t="n"/>
      <c r="B265" s="30" t="n"/>
      <c r="C265" s="30" t="n"/>
      <c r="D265" s="30" t="n"/>
      <c r="E265" s="33">
        <f>IF(B265="","",IFERROR(INDEX(Productos!$B$2:$B$501,MATCH(B265,Productos!$A$2:$A$501,0)),"¿Código?"))</f>
        <v/>
      </c>
      <c r="F265" s="32">
        <f>IF(C265&lt;&gt;"Venta","",D265*IFERROR(INDEX(Productos!$D$2:$D$501,MATCH(B265,Productos!$A$2:$A$501,0)),0))</f>
        <v/>
      </c>
      <c r="G265" s="32">
        <f>IF(C265&lt;&gt;"Venta","",D265*IFERROR(INDEX(Productos!$E$2:$E$501,MATCH(B265,Productos!$A$2:$A$501,0)),0))</f>
        <v/>
      </c>
      <c r="H265" s="33">
        <f>IF(A265="","",MONTH(A265))</f>
        <v/>
      </c>
      <c r="I265" s="33">
        <f>IF(A265="","",YEAR(A265))</f>
        <v/>
      </c>
    </row>
    <row r="266" ht="15" customHeight="1" s="21">
      <c r="A266" s="34" t="n"/>
      <c r="B266" s="30" t="n"/>
      <c r="C266" s="30" t="n"/>
      <c r="D266" s="30" t="n"/>
      <c r="E266" s="33">
        <f>IF(B266="","",IFERROR(INDEX(Productos!$B$2:$B$501,MATCH(B266,Productos!$A$2:$A$501,0)),"¿Código?"))</f>
        <v/>
      </c>
      <c r="F266" s="32">
        <f>IF(C266&lt;&gt;"Venta","",D266*IFERROR(INDEX(Productos!$D$2:$D$501,MATCH(B266,Productos!$A$2:$A$501,0)),0))</f>
        <v/>
      </c>
      <c r="G266" s="32">
        <f>IF(C266&lt;&gt;"Venta","",D266*IFERROR(INDEX(Productos!$E$2:$E$501,MATCH(B266,Productos!$A$2:$A$501,0)),0))</f>
        <v/>
      </c>
      <c r="H266" s="33">
        <f>IF(A266="","",MONTH(A266))</f>
        <v/>
      </c>
      <c r="I266" s="33">
        <f>IF(A266="","",YEAR(A266))</f>
        <v/>
      </c>
    </row>
    <row r="267" ht="15" customHeight="1" s="21">
      <c r="A267" s="34" t="n"/>
      <c r="B267" s="30" t="n"/>
      <c r="C267" s="30" t="n"/>
      <c r="D267" s="30" t="n"/>
      <c r="E267" s="33">
        <f>IF(B267="","",IFERROR(INDEX(Productos!$B$2:$B$501,MATCH(B267,Productos!$A$2:$A$501,0)),"¿Código?"))</f>
        <v/>
      </c>
      <c r="F267" s="32">
        <f>IF(C267&lt;&gt;"Venta","",D267*IFERROR(INDEX(Productos!$D$2:$D$501,MATCH(B267,Productos!$A$2:$A$501,0)),0))</f>
        <v/>
      </c>
      <c r="G267" s="32">
        <f>IF(C267&lt;&gt;"Venta","",D267*IFERROR(INDEX(Productos!$E$2:$E$501,MATCH(B267,Productos!$A$2:$A$501,0)),0))</f>
        <v/>
      </c>
      <c r="H267" s="33">
        <f>IF(A267="","",MONTH(A267))</f>
        <v/>
      </c>
      <c r="I267" s="33">
        <f>IF(A267="","",YEAR(A267))</f>
        <v/>
      </c>
    </row>
    <row r="268" ht="15" customHeight="1" s="21">
      <c r="A268" s="34" t="n"/>
      <c r="B268" s="30" t="n"/>
      <c r="C268" s="30" t="n"/>
      <c r="D268" s="30" t="n"/>
      <c r="E268" s="33">
        <f>IF(B268="","",IFERROR(INDEX(Productos!$B$2:$B$501,MATCH(B268,Productos!$A$2:$A$501,0)),"¿Código?"))</f>
        <v/>
      </c>
      <c r="F268" s="32">
        <f>IF(C268&lt;&gt;"Venta","",D268*IFERROR(INDEX(Productos!$D$2:$D$501,MATCH(B268,Productos!$A$2:$A$501,0)),0))</f>
        <v/>
      </c>
      <c r="G268" s="32">
        <f>IF(C268&lt;&gt;"Venta","",D268*IFERROR(INDEX(Productos!$E$2:$E$501,MATCH(B268,Productos!$A$2:$A$501,0)),0))</f>
        <v/>
      </c>
      <c r="H268" s="33">
        <f>IF(A268="","",MONTH(A268))</f>
        <v/>
      </c>
      <c r="I268" s="33">
        <f>IF(A268="","",YEAR(A268))</f>
        <v/>
      </c>
    </row>
    <row r="269" ht="15" customHeight="1" s="21">
      <c r="A269" s="34" t="n"/>
      <c r="B269" s="30" t="n"/>
      <c r="C269" s="30" t="n"/>
      <c r="D269" s="30" t="n"/>
      <c r="E269" s="33">
        <f>IF(B269="","",IFERROR(INDEX(Productos!$B$2:$B$501,MATCH(B269,Productos!$A$2:$A$501,0)),"¿Código?"))</f>
        <v/>
      </c>
      <c r="F269" s="32">
        <f>IF(C269&lt;&gt;"Venta","",D269*IFERROR(INDEX(Productos!$D$2:$D$501,MATCH(B269,Productos!$A$2:$A$501,0)),0))</f>
        <v/>
      </c>
      <c r="G269" s="32">
        <f>IF(C269&lt;&gt;"Venta","",D269*IFERROR(INDEX(Productos!$E$2:$E$501,MATCH(B269,Productos!$A$2:$A$501,0)),0))</f>
        <v/>
      </c>
      <c r="H269" s="33">
        <f>IF(A269="","",MONTH(A269))</f>
        <v/>
      </c>
      <c r="I269" s="33">
        <f>IF(A269="","",YEAR(A269))</f>
        <v/>
      </c>
    </row>
    <row r="270" ht="15" customHeight="1" s="21">
      <c r="A270" s="34" t="n"/>
      <c r="B270" s="30" t="n"/>
      <c r="C270" s="30" t="n"/>
      <c r="D270" s="30" t="n"/>
      <c r="E270" s="33">
        <f>IF(B270="","",IFERROR(INDEX(Productos!$B$2:$B$501,MATCH(B270,Productos!$A$2:$A$501,0)),"¿Código?"))</f>
        <v/>
      </c>
      <c r="F270" s="32">
        <f>IF(C270&lt;&gt;"Venta","",D270*IFERROR(INDEX(Productos!$D$2:$D$501,MATCH(B270,Productos!$A$2:$A$501,0)),0))</f>
        <v/>
      </c>
      <c r="G270" s="32">
        <f>IF(C270&lt;&gt;"Venta","",D270*IFERROR(INDEX(Productos!$E$2:$E$501,MATCH(B270,Productos!$A$2:$A$501,0)),0))</f>
        <v/>
      </c>
      <c r="H270" s="33">
        <f>IF(A270="","",MONTH(A270))</f>
        <v/>
      </c>
      <c r="I270" s="33">
        <f>IF(A270="","",YEAR(A270))</f>
        <v/>
      </c>
    </row>
    <row r="271" ht="15" customHeight="1" s="21">
      <c r="A271" s="34" t="n"/>
      <c r="B271" s="30" t="n"/>
      <c r="C271" s="30" t="n"/>
      <c r="D271" s="30" t="n"/>
      <c r="E271" s="33">
        <f>IF(B271="","",IFERROR(INDEX(Productos!$B$2:$B$501,MATCH(B271,Productos!$A$2:$A$501,0)),"¿Código?"))</f>
        <v/>
      </c>
      <c r="F271" s="32">
        <f>IF(C271&lt;&gt;"Venta","",D271*IFERROR(INDEX(Productos!$D$2:$D$501,MATCH(B271,Productos!$A$2:$A$501,0)),0))</f>
        <v/>
      </c>
      <c r="G271" s="32">
        <f>IF(C271&lt;&gt;"Venta","",D271*IFERROR(INDEX(Productos!$E$2:$E$501,MATCH(B271,Productos!$A$2:$A$501,0)),0))</f>
        <v/>
      </c>
      <c r="H271" s="33">
        <f>IF(A271="","",MONTH(A271))</f>
        <v/>
      </c>
      <c r="I271" s="33">
        <f>IF(A271="","",YEAR(A271))</f>
        <v/>
      </c>
    </row>
    <row r="272" ht="15" customHeight="1" s="21">
      <c r="A272" s="34" t="n"/>
      <c r="B272" s="30" t="n"/>
      <c r="C272" s="30" t="n"/>
      <c r="D272" s="30" t="n"/>
      <c r="E272" s="33">
        <f>IF(B272="","",IFERROR(INDEX(Productos!$B$2:$B$501,MATCH(B272,Productos!$A$2:$A$501,0)),"¿Código?"))</f>
        <v/>
      </c>
      <c r="F272" s="32">
        <f>IF(C272&lt;&gt;"Venta","",D272*IFERROR(INDEX(Productos!$D$2:$D$501,MATCH(B272,Productos!$A$2:$A$501,0)),0))</f>
        <v/>
      </c>
      <c r="G272" s="32">
        <f>IF(C272&lt;&gt;"Venta","",D272*IFERROR(INDEX(Productos!$E$2:$E$501,MATCH(B272,Productos!$A$2:$A$501,0)),0))</f>
        <v/>
      </c>
      <c r="H272" s="33">
        <f>IF(A272="","",MONTH(A272))</f>
        <v/>
      </c>
      <c r="I272" s="33">
        <f>IF(A272="","",YEAR(A272))</f>
        <v/>
      </c>
    </row>
    <row r="273" ht="15" customHeight="1" s="21">
      <c r="A273" s="34" t="n"/>
      <c r="B273" s="30" t="n"/>
      <c r="C273" s="30" t="n"/>
      <c r="D273" s="30" t="n"/>
      <c r="E273" s="33">
        <f>IF(B273="","",IFERROR(INDEX(Productos!$B$2:$B$501,MATCH(B273,Productos!$A$2:$A$501,0)),"¿Código?"))</f>
        <v/>
      </c>
      <c r="F273" s="32">
        <f>IF(C273&lt;&gt;"Venta","",D273*IFERROR(INDEX(Productos!$D$2:$D$501,MATCH(B273,Productos!$A$2:$A$501,0)),0))</f>
        <v/>
      </c>
      <c r="G273" s="32">
        <f>IF(C273&lt;&gt;"Venta","",D273*IFERROR(INDEX(Productos!$E$2:$E$501,MATCH(B273,Productos!$A$2:$A$501,0)),0))</f>
        <v/>
      </c>
      <c r="H273" s="33">
        <f>IF(A273="","",MONTH(A273))</f>
        <v/>
      </c>
      <c r="I273" s="33">
        <f>IF(A273="","",YEAR(A273))</f>
        <v/>
      </c>
    </row>
    <row r="274" ht="15" customHeight="1" s="21">
      <c r="A274" s="34" t="n"/>
      <c r="B274" s="30" t="n"/>
      <c r="C274" s="30" t="n"/>
      <c r="D274" s="30" t="n"/>
      <c r="E274" s="33">
        <f>IF(B274="","",IFERROR(INDEX(Productos!$B$2:$B$501,MATCH(B274,Productos!$A$2:$A$501,0)),"¿Código?"))</f>
        <v/>
      </c>
      <c r="F274" s="32">
        <f>IF(C274&lt;&gt;"Venta","",D274*IFERROR(INDEX(Productos!$D$2:$D$501,MATCH(B274,Productos!$A$2:$A$501,0)),0))</f>
        <v/>
      </c>
      <c r="G274" s="32">
        <f>IF(C274&lt;&gt;"Venta","",D274*IFERROR(INDEX(Productos!$E$2:$E$501,MATCH(B274,Productos!$A$2:$A$501,0)),0))</f>
        <v/>
      </c>
      <c r="H274" s="33">
        <f>IF(A274="","",MONTH(A274))</f>
        <v/>
      </c>
      <c r="I274" s="33">
        <f>IF(A274="","",YEAR(A274))</f>
        <v/>
      </c>
    </row>
    <row r="275" ht="15" customHeight="1" s="21">
      <c r="A275" s="34" t="n"/>
      <c r="B275" s="30" t="n"/>
      <c r="C275" s="30" t="n"/>
      <c r="D275" s="30" t="n"/>
      <c r="E275" s="33">
        <f>IF(B275="","",IFERROR(INDEX(Productos!$B$2:$B$501,MATCH(B275,Productos!$A$2:$A$501,0)),"¿Código?"))</f>
        <v/>
      </c>
      <c r="F275" s="32">
        <f>IF(C275&lt;&gt;"Venta","",D275*IFERROR(INDEX(Productos!$D$2:$D$501,MATCH(B275,Productos!$A$2:$A$501,0)),0))</f>
        <v/>
      </c>
      <c r="G275" s="32">
        <f>IF(C275&lt;&gt;"Venta","",D275*IFERROR(INDEX(Productos!$E$2:$E$501,MATCH(B275,Productos!$A$2:$A$501,0)),0))</f>
        <v/>
      </c>
      <c r="H275" s="33">
        <f>IF(A275="","",MONTH(A275))</f>
        <v/>
      </c>
      <c r="I275" s="33">
        <f>IF(A275="","",YEAR(A275))</f>
        <v/>
      </c>
    </row>
    <row r="276" ht="15" customHeight="1" s="21">
      <c r="A276" s="34" t="n"/>
      <c r="B276" s="30" t="n"/>
      <c r="C276" s="30" t="n"/>
      <c r="D276" s="30" t="n"/>
      <c r="E276" s="33">
        <f>IF(B276="","",IFERROR(INDEX(Productos!$B$2:$B$501,MATCH(B276,Productos!$A$2:$A$501,0)),"¿Código?"))</f>
        <v/>
      </c>
      <c r="F276" s="32">
        <f>IF(C276&lt;&gt;"Venta","",D276*IFERROR(INDEX(Productos!$D$2:$D$501,MATCH(B276,Productos!$A$2:$A$501,0)),0))</f>
        <v/>
      </c>
      <c r="G276" s="32">
        <f>IF(C276&lt;&gt;"Venta","",D276*IFERROR(INDEX(Productos!$E$2:$E$501,MATCH(B276,Productos!$A$2:$A$501,0)),0))</f>
        <v/>
      </c>
      <c r="H276" s="33">
        <f>IF(A276="","",MONTH(A276))</f>
        <v/>
      </c>
      <c r="I276" s="33">
        <f>IF(A276="","",YEAR(A276))</f>
        <v/>
      </c>
    </row>
    <row r="277" ht="15" customHeight="1" s="21">
      <c r="A277" s="34" t="n"/>
      <c r="B277" s="30" t="n"/>
      <c r="C277" s="30" t="n"/>
      <c r="D277" s="30" t="n"/>
      <c r="E277" s="33">
        <f>IF(B277="","",IFERROR(INDEX(Productos!$B$2:$B$501,MATCH(B277,Productos!$A$2:$A$501,0)),"¿Código?"))</f>
        <v/>
      </c>
      <c r="F277" s="32">
        <f>IF(C277&lt;&gt;"Venta","",D277*IFERROR(INDEX(Productos!$D$2:$D$501,MATCH(B277,Productos!$A$2:$A$501,0)),0))</f>
        <v/>
      </c>
      <c r="G277" s="32">
        <f>IF(C277&lt;&gt;"Venta","",D277*IFERROR(INDEX(Productos!$E$2:$E$501,MATCH(B277,Productos!$A$2:$A$501,0)),0))</f>
        <v/>
      </c>
      <c r="H277" s="33">
        <f>IF(A277="","",MONTH(A277))</f>
        <v/>
      </c>
      <c r="I277" s="33">
        <f>IF(A277="","",YEAR(A277))</f>
        <v/>
      </c>
    </row>
    <row r="278" ht="15" customHeight="1" s="21">
      <c r="A278" s="34" t="n"/>
      <c r="B278" s="30" t="n"/>
      <c r="C278" s="30" t="n"/>
      <c r="D278" s="30" t="n"/>
      <c r="E278" s="33">
        <f>IF(B278="","",IFERROR(INDEX(Productos!$B$2:$B$501,MATCH(B278,Productos!$A$2:$A$501,0)),"¿Código?"))</f>
        <v/>
      </c>
      <c r="F278" s="32">
        <f>IF(C278&lt;&gt;"Venta","",D278*IFERROR(INDEX(Productos!$D$2:$D$501,MATCH(B278,Productos!$A$2:$A$501,0)),0))</f>
        <v/>
      </c>
      <c r="G278" s="32">
        <f>IF(C278&lt;&gt;"Venta","",D278*IFERROR(INDEX(Productos!$E$2:$E$501,MATCH(B278,Productos!$A$2:$A$501,0)),0))</f>
        <v/>
      </c>
      <c r="H278" s="33">
        <f>IF(A278="","",MONTH(A278))</f>
        <v/>
      </c>
      <c r="I278" s="33">
        <f>IF(A278="","",YEAR(A278))</f>
        <v/>
      </c>
    </row>
    <row r="279" ht="15" customHeight="1" s="21">
      <c r="A279" s="34" t="n"/>
      <c r="B279" s="30" t="n"/>
      <c r="C279" s="30" t="n"/>
      <c r="D279" s="30" t="n"/>
      <c r="E279" s="33">
        <f>IF(B279="","",IFERROR(INDEX(Productos!$B$2:$B$501,MATCH(B279,Productos!$A$2:$A$501,0)),"¿Código?"))</f>
        <v/>
      </c>
      <c r="F279" s="32">
        <f>IF(C279&lt;&gt;"Venta","",D279*IFERROR(INDEX(Productos!$D$2:$D$501,MATCH(B279,Productos!$A$2:$A$501,0)),0))</f>
        <v/>
      </c>
      <c r="G279" s="32">
        <f>IF(C279&lt;&gt;"Venta","",D279*IFERROR(INDEX(Productos!$E$2:$E$501,MATCH(B279,Productos!$A$2:$A$501,0)),0))</f>
        <v/>
      </c>
      <c r="H279" s="33">
        <f>IF(A279="","",MONTH(A279))</f>
        <v/>
      </c>
      <c r="I279" s="33">
        <f>IF(A279="","",YEAR(A279))</f>
        <v/>
      </c>
    </row>
    <row r="280" ht="15" customHeight="1" s="21">
      <c r="A280" s="34" t="n"/>
      <c r="B280" s="30" t="n"/>
      <c r="C280" s="30" t="n"/>
      <c r="D280" s="30" t="n"/>
      <c r="E280" s="33">
        <f>IF(B280="","",IFERROR(INDEX(Productos!$B$2:$B$501,MATCH(B280,Productos!$A$2:$A$501,0)),"¿Código?"))</f>
        <v/>
      </c>
      <c r="F280" s="32">
        <f>IF(C280&lt;&gt;"Venta","",D280*IFERROR(INDEX(Productos!$D$2:$D$501,MATCH(B280,Productos!$A$2:$A$501,0)),0))</f>
        <v/>
      </c>
      <c r="G280" s="32">
        <f>IF(C280&lt;&gt;"Venta","",D280*IFERROR(INDEX(Productos!$E$2:$E$501,MATCH(B280,Productos!$A$2:$A$501,0)),0))</f>
        <v/>
      </c>
      <c r="H280" s="33">
        <f>IF(A280="","",MONTH(A280))</f>
        <v/>
      </c>
      <c r="I280" s="33">
        <f>IF(A280="","",YEAR(A280))</f>
        <v/>
      </c>
    </row>
    <row r="281" ht="15" customHeight="1" s="21">
      <c r="A281" s="34" t="n"/>
      <c r="B281" s="30" t="n"/>
      <c r="C281" s="30" t="n"/>
      <c r="D281" s="30" t="n"/>
      <c r="E281" s="33">
        <f>IF(B281="","",IFERROR(INDEX(Productos!$B$2:$B$501,MATCH(B281,Productos!$A$2:$A$501,0)),"¿Código?"))</f>
        <v/>
      </c>
      <c r="F281" s="32">
        <f>IF(C281&lt;&gt;"Venta","",D281*IFERROR(INDEX(Productos!$D$2:$D$501,MATCH(B281,Productos!$A$2:$A$501,0)),0))</f>
        <v/>
      </c>
      <c r="G281" s="32">
        <f>IF(C281&lt;&gt;"Venta","",D281*IFERROR(INDEX(Productos!$E$2:$E$501,MATCH(B281,Productos!$A$2:$A$501,0)),0))</f>
        <v/>
      </c>
      <c r="H281" s="33">
        <f>IF(A281="","",MONTH(A281))</f>
        <v/>
      </c>
      <c r="I281" s="33">
        <f>IF(A281="","",YEAR(A281))</f>
        <v/>
      </c>
    </row>
    <row r="282" ht="15" customHeight="1" s="21">
      <c r="A282" s="34" t="n"/>
      <c r="B282" s="30" t="n"/>
      <c r="C282" s="30" t="n"/>
      <c r="D282" s="30" t="n"/>
      <c r="E282" s="33">
        <f>IF(B282="","",IFERROR(INDEX(Productos!$B$2:$B$501,MATCH(B282,Productos!$A$2:$A$501,0)),"¿Código?"))</f>
        <v/>
      </c>
      <c r="F282" s="32">
        <f>IF(C282&lt;&gt;"Venta","",D282*IFERROR(INDEX(Productos!$D$2:$D$501,MATCH(B282,Productos!$A$2:$A$501,0)),0))</f>
        <v/>
      </c>
      <c r="G282" s="32">
        <f>IF(C282&lt;&gt;"Venta","",D282*IFERROR(INDEX(Productos!$E$2:$E$501,MATCH(B282,Productos!$A$2:$A$501,0)),0))</f>
        <v/>
      </c>
      <c r="H282" s="33">
        <f>IF(A282="","",MONTH(A282))</f>
        <v/>
      </c>
      <c r="I282" s="33">
        <f>IF(A282="","",YEAR(A282))</f>
        <v/>
      </c>
    </row>
    <row r="283" ht="15" customHeight="1" s="21">
      <c r="A283" s="34" t="n"/>
      <c r="B283" s="30" t="n"/>
      <c r="C283" s="30" t="n"/>
      <c r="D283" s="30" t="n"/>
      <c r="E283" s="33">
        <f>IF(B283="","",IFERROR(INDEX(Productos!$B$2:$B$501,MATCH(B283,Productos!$A$2:$A$501,0)),"¿Código?"))</f>
        <v/>
      </c>
      <c r="F283" s="32">
        <f>IF(C283&lt;&gt;"Venta","",D283*IFERROR(INDEX(Productos!$D$2:$D$501,MATCH(B283,Productos!$A$2:$A$501,0)),0))</f>
        <v/>
      </c>
      <c r="G283" s="32">
        <f>IF(C283&lt;&gt;"Venta","",D283*IFERROR(INDEX(Productos!$E$2:$E$501,MATCH(B283,Productos!$A$2:$A$501,0)),0))</f>
        <v/>
      </c>
      <c r="H283" s="33">
        <f>IF(A283="","",MONTH(A283))</f>
        <v/>
      </c>
      <c r="I283" s="33">
        <f>IF(A283="","",YEAR(A283))</f>
        <v/>
      </c>
    </row>
    <row r="284" ht="15" customHeight="1" s="21">
      <c r="A284" s="34" t="n"/>
      <c r="B284" s="30" t="n"/>
      <c r="C284" s="30" t="n"/>
      <c r="D284" s="30" t="n"/>
      <c r="E284" s="33">
        <f>IF(B284="","",IFERROR(INDEX(Productos!$B$2:$B$501,MATCH(B284,Productos!$A$2:$A$501,0)),"¿Código?"))</f>
        <v/>
      </c>
      <c r="F284" s="32">
        <f>IF(C284&lt;&gt;"Venta","",D284*IFERROR(INDEX(Productos!$D$2:$D$501,MATCH(B284,Productos!$A$2:$A$501,0)),0))</f>
        <v/>
      </c>
      <c r="G284" s="32">
        <f>IF(C284&lt;&gt;"Venta","",D284*IFERROR(INDEX(Productos!$E$2:$E$501,MATCH(B284,Productos!$A$2:$A$501,0)),0))</f>
        <v/>
      </c>
      <c r="H284" s="33">
        <f>IF(A284="","",MONTH(A284))</f>
        <v/>
      </c>
      <c r="I284" s="33">
        <f>IF(A284="","",YEAR(A284))</f>
        <v/>
      </c>
    </row>
    <row r="285" ht="15" customHeight="1" s="21">
      <c r="A285" s="34" t="n"/>
      <c r="B285" s="30" t="n"/>
      <c r="C285" s="30" t="n"/>
      <c r="D285" s="30" t="n"/>
      <c r="E285" s="33">
        <f>IF(B285="","",IFERROR(INDEX(Productos!$B$2:$B$501,MATCH(B285,Productos!$A$2:$A$501,0)),"¿Código?"))</f>
        <v/>
      </c>
      <c r="F285" s="32">
        <f>IF(C285&lt;&gt;"Venta","",D285*IFERROR(INDEX(Productos!$D$2:$D$501,MATCH(B285,Productos!$A$2:$A$501,0)),0))</f>
        <v/>
      </c>
      <c r="G285" s="32">
        <f>IF(C285&lt;&gt;"Venta","",D285*IFERROR(INDEX(Productos!$E$2:$E$501,MATCH(B285,Productos!$A$2:$A$501,0)),0))</f>
        <v/>
      </c>
      <c r="H285" s="33">
        <f>IF(A285="","",MONTH(A285))</f>
        <v/>
      </c>
      <c r="I285" s="33">
        <f>IF(A285="","",YEAR(A285))</f>
        <v/>
      </c>
    </row>
    <row r="286" ht="15" customHeight="1" s="21">
      <c r="A286" s="34" t="n"/>
      <c r="B286" s="30" t="n"/>
      <c r="C286" s="30" t="n"/>
      <c r="D286" s="30" t="n"/>
      <c r="E286" s="33">
        <f>IF(B286="","",IFERROR(INDEX(Productos!$B$2:$B$501,MATCH(B286,Productos!$A$2:$A$501,0)),"¿Código?"))</f>
        <v/>
      </c>
      <c r="F286" s="32">
        <f>IF(C286&lt;&gt;"Venta","",D286*IFERROR(INDEX(Productos!$D$2:$D$501,MATCH(B286,Productos!$A$2:$A$501,0)),0))</f>
        <v/>
      </c>
      <c r="G286" s="32">
        <f>IF(C286&lt;&gt;"Venta","",D286*IFERROR(INDEX(Productos!$E$2:$E$501,MATCH(B286,Productos!$A$2:$A$501,0)),0))</f>
        <v/>
      </c>
      <c r="H286" s="33">
        <f>IF(A286="","",MONTH(A286))</f>
        <v/>
      </c>
      <c r="I286" s="33">
        <f>IF(A286="","",YEAR(A286))</f>
        <v/>
      </c>
    </row>
    <row r="287" ht="15" customHeight="1" s="21">
      <c r="A287" s="34" t="n"/>
      <c r="B287" s="30" t="n"/>
      <c r="C287" s="30" t="n"/>
      <c r="D287" s="30" t="n"/>
      <c r="E287" s="33">
        <f>IF(B287="","",IFERROR(INDEX(Productos!$B$2:$B$501,MATCH(B287,Productos!$A$2:$A$501,0)),"¿Código?"))</f>
        <v/>
      </c>
      <c r="F287" s="32">
        <f>IF(C287&lt;&gt;"Venta","",D287*IFERROR(INDEX(Productos!$D$2:$D$501,MATCH(B287,Productos!$A$2:$A$501,0)),0))</f>
        <v/>
      </c>
      <c r="G287" s="32">
        <f>IF(C287&lt;&gt;"Venta","",D287*IFERROR(INDEX(Productos!$E$2:$E$501,MATCH(B287,Productos!$A$2:$A$501,0)),0))</f>
        <v/>
      </c>
      <c r="H287" s="33">
        <f>IF(A287="","",MONTH(A287))</f>
        <v/>
      </c>
      <c r="I287" s="33">
        <f>IF(A287="","",YEAR(A287))</f>
        <v/>
      </c>
    </row>
    <row r="288" ht="15" customHeight="1" s="21">
      <c r="A288" s="34" t="n"/>
      <c r="B288" s="30" t="n"/>
      <c r="C288" s="30" t="n"/>
      <c r="D288" s="30" t="n"/>
      <c r="E288" s="33">
        <f>IF(B288="","",IFERROR(INDEX(Productos!$B$2:$B$501,MATCH(B288,Productos!$A$2:$A$501,0)),"¿Código?"))</f>
        <v/>
      </c>
      <c r="F288" s="32">
        <f>IF(C288&lt;&gt;"Venta","",D288*IFERROR(INDEX(Productos!$D$2:$D$501,MATCH(B288,Productos!$A$2:$A$501,0)),0))</f>
        <v/>
      </c>
      <c r="G288" s="32">
        <f>IF(C288&lt;&gt;"Venta","",D288*IFERROR(INDEX(Productos!$E$2:$E$501,MATCH(B288,Productos!$A$2:$A$501,0)),0))</f>
        <v/>
      </c>
      <c r="H288" s="33">
        <f>IF(A288="","",MONTH(A288))</f>
        <v/>
      </c>
      <c r="I288" s="33">
        <f>IF(A288="","",YEAR(A288))</f>
        <v/>
      </c>
    </row>
    <row r="289" ht="15" customHeight="1" s="21">
      <c r="A289" s="34" t="n"/>
      <c r="B289" s="30" t="n"/>
      <c r="C289" s="30" t="n"/>
      <c r="D289" s="30" t="n"/>
      <c r="E289" s="33">
        <f>IF(B289="","",IFERROR(INDEX(Productos!$B$2:$B$501,MATCH(B289,Productos!$A$2:$A$501,0)),"¿Código?"))</f>
        <v/>
      </c>
      <c r="F289" s="32">
        <f>IF(C289&lt;&gt;"Venta","",D289*IFERROR(INDEX(Productos!$D$2:$D$501,MATCH(B289,Productos!$A$2:$A$501,0)),0))</f>
        <v/>
      </c>
      <c r="G289" s="32">
        <f>IF(C289&lt;&gt;"Venta","",D289*IFERROR(INDEX(Productos!$E$2:$E$501,MATCH(B289,Productos!$A$2:$A$501,0)),0))</f>
        <v/>
      </c>
      <c r="H289" s="33">
        <f>IF(A289="","",MONTH(A289))</f>
        <v/>
      </c>
      <c r="I289" s="33">
        <f>IF(A289="","",YEAR(A289))</f>
        <v/>
      </c>
    </row>
    <row r="290" ht="15" customHeight="1" s="21">
      <c r="A290" s="34" t="n"/>
      <c r="B290" s="30" t="n"/>
      <c r="C290" s="30" t="n"/>
      <c r="D290" s="30" t="n"/>
      <c r="E290" s="33">
        <f>IF(B290="","",IFERROR(INDEX(Productos!$B$2:$B$501,MATCH(B290,Productos!$A$2:$A$501,0)),"¿Código?"))</f>
        <v/>
      </c>
      <c r="F290" s="32">
        <f>IF(C290&lt;&gt;"Venta","",D290*IFERROR(INDEX(Productos!$D$2:$D$501,MATCH(B290,Productos!$A$2:$A$501,0)),0))</f>
        <v/>
      </c>
      <c r="G290" s="32">
        <f>IF(C290&lt;&gt;"Venta","",D290*IFERROR(INDEX(Productos!$E$2:$E$501,MATCH(B290,Productos!$A$2:$A$501,0)),0))</f>
        <v/>
      </c>
      <c r="H290" s="33">
        <f>IF(A290="","",MONTH(A290))</f>
        <v/>
      </c>
      <c r="I290" s="33">
        <f>IF(A290="","",YEAR(A290))</f>
        <v/>
      </c>
    </row>
    <row r="291" ht="15" customHeight="1" s="21">
      <c r="A291" s="34" t="n"/>
      <c r="B291" s="30" t="n"/>
      <c r="C291" s="30" t="n"/>
      <c r="D291" s="30" t="n"/>
      <c r="E291" s="33">
        <f>IF(B291="","",IFERROR(INDEX(Productos!$B$2:$B$501,MATCH(B291,Productos!$A$2:$A$501,0)),"¿Código?"))</f>
        <v/>
      </c>
      <c r="F291" s="32">
        <f>IF(C291&lt;&gt;"Venta","",D291*IFERROR(INDEX(Productos!$D$2:$D$501,MATCH(B291,Productos!$A$2:$A$501,0)),0))</f>
        <v/>
      </c>
      <c r="G291" s="32">
        <f>IF(C291&lt;&gt;"Venta","",D291*IFERROR(INDEX(Productos!$E$2:$E$501,MATCH(B291,Productos!$A$2:$A$501,0)),0))</f>
        <v/>
      </c>
      <c r="H291" s="33">
        <f>IF(A291="","",MONTH(A291))</f>
        <v/>
      </c>
      <c r="I291" s="33">
        <f>IF(A291="","",YEAR(A291))</f>
        <v/>
      </c>
    </row>
    <row r="292" ht="15" customHeight="1" s="21">
      <c r="A292" s="34" t="n"/>
      <c r="B292" s="30" t="n"/>
      <c r="C292" s="30" t="n"/>
      <c r="D292" s="30" t="n"/>
      <c r="E292" s="33">
        <f>IF(B292="","",IFERROR(INDEX(Productos!$B$2:$B$501,MATCH(B292,Productos!$A$2:$A$501,0)),"¿Código?"))</f>
        <v/>
      </c>
      <c r="F292" s="32">
        <f>IF(C292&lt;&gt;"Venta","",D292*IFERROR(INDEX(Productos!$D$2:$D$501,MATCH(B292,Productos!$A$2:$A$501,0)),0))</f>
        <v/>
      </c>
      <c r="G292" s="32">
        <f>IF(C292&lt;&gt;"Venta","",D292*IFERROR(INDEX(Productos!$E$2:$E$501,MATCH(B292,Productos!$A$2:$A$501,0)),0))</f>
        <v/>
      </c>
      <c r="H292" s="33">
        <f>IF(A292="","",MONTH(A292))</f>
        <v/>
      </c>
      <c r="I292" s="33">
        <f>IF(A292="","",YEAR(A292))</f>
        <v/>
      </c>
    </row>
    <row r="293" ht="15" customHeight="1" s="21">
      <c r="A293" s="34" t="n"/>
      <c r="B293" s="30" t="n"/>
      <c r="C293" s="30" t="n"/>
      <c r="D293" s="30" t="n"/>
      <c r="E293" s="33">
        <f>IF(B293="","",IFERROR(INDEX(Productos!$B$2:$B$501,MATCH(B293,Productos!$A$2:$A$501,0)),"¿Código?"))</f>
        <v/>
      </c>
      <c r="F293" s="32">
        <f>IF(C293&lt;&gt;"Venta","",D293*IFERROR(INDEX(Productos!$D$2:$D$501,MATCH(B293,Productos!$A$2:$A$501,0)),0))</f>
        <v/>
      </c>
      <c r="G293" s="32">
        <f>IF(C293&lt;&gt;"Venta","",D293*IFERROR(INDEX(Productos!$E$2:$E$501,MATCH(B293,Productos!$A$2:$A$501,0)),0))</f>
        <v/>
      </c>
      <c r="H293" s="33">
        <f>IF(A293="","",MONTH(A293))</f>
        <v/>
      </c>
      <c r="I293" s="33">
        <f>IF(A293="","",YEAR(A293))</f>
        <v/>
      </c>
    </row>
    <row r="294" ht="15" customHeight="1" s="21">
      <c r="A294" s="34" t="n"/>
      <c r="B294" s="30" t="n"/>
      <c r="C294" s="30" t="n"/>
      <c r="D294" s="30" t="n"/>
      <c r="E294" s="33">
        <f>IF(B294="","",IFERROR(INDEX(Productos!$B$2:$B$501,MATCH(B294,Productos!$A$2:$A$501,0)),"¿Código?"))</f>
        <v/>
      </c>
      <c r="F294" s="32">
        <f>IF(C294&lt;&gt;"Venta","",D294*IFERROR(INDEX(Productos!$D$2:$D$501,MATCH(B294,Productos!$A$2:$A$501,0)),0))</f>
        <v/>
      </c>
      <c r="G294" s="32">
        <f>IF(C294&lt;&gt;"Venta","",D294*IFERROR(INDEX(Productos!$E$2:$E$501,MATCH(B294,Productos!$A$2:$A$501,0)),0))</f>
        <v/>
      </c>
      <c r="H294" s="33">
        <f>IF(A294="","",MONTH(A294))</f>
        <v/>
      </c>
      <c r="I294" s="33">
        <f>IF(A294="","",YEAR(A294))</f>
        <v/>
      </c>
    </row>
    <row r="295" ht="15" customHeight="1" s="21">
      <c r="A295" s="34" t="n"/>
      <c r="B295" s="30" t="n"/>
      <c r="C295" s="30" t="n"/>
      <c r="D295" s="30" t="n"/>
      <c r="E295" s="33">
        <f>IF(B295="","",IFERROR(INDEX(Productos!$B$2:$B$501,MATCH(B295,Productos!$A$2:$A$501,0)),"¿Código?"))</f>
        <v/>
      </c>
      <c r="F295" s="32">
        <f>IF(C295&lt;&gt;"Venta","",D295*IFERROR(INDEX(Productos!$D$2:$D$501,MATCH(B295,Productos!$A$2:$A$501,0)),0))</f>
        <v/>
      </c>
      <c r="G295" s="32">
        <f>IF(C295&lt;&gt;"Venta","",D295*IFERROR(INDEX(Productos!$E$2:$E$501,MATCH(B295,Productos!$A$2:$A$501,0)),0))</f>
        <v/>
      </c>
      <c r="H295" s="33">
        <f>IF(A295="","",MONTH(A295))</f>
        <v/>
      </c>
      <c r="I295" s="33">
        <f>IF(A295="","",YEAR(A295))</f>
        <v/>
      </c>
    </row>
    <row r="296" ht="15" customHeight="1" s="21">
      <c r="A296" s="34" t="n"/>
      <c r="B296" s="30" t="n"/>
      <c r="C296" s="30" t="n"/>
      <c r="D296" s="30" t="n"/>
      <c r="E296" s="33">
        <f>IF(B296="","",IFERROR(INDEX(Productos!$B$2:$B$501,MATCH(B296,Productos!$A$2:$A$501,0)),"¿Código?"))</f>
        <v/>
      </c>
      <c r="F296" s="32">
        <f>IF(C296&lt;&gt;"Venta","",D296*IFERROR(INDEX(Productos!$D$2:$D$501,MATCH(B296,Productos!$A$2:$A$501,0)),0))</f>
        <v/>
      </c>
      <c r="G296" s="32">
        <f>IF(C296&lt;&gt;"Venta","",D296*IFERROR(INDEX(Productos!$E$2:$E$501,MATCH(B296,Productos!$A$2:$A$501,0)),0))</f>
        <v/>
      </c>
      <c r="H296" s="33">
        <f>IF(A296="","",MONTH(A296))</f>
        <v/>
      </c>
      <c r="I296" s="33">
        <f>IF(A296="","",YEAR(A296))</f>
        <v/>
      </c>
    </row>
    <row r="297" ht="15" customHeight="1" s="21">
      <c r="A297" s="34" t="n"/>
      <c r="B297" s="30" t="n"/>
      <c r="C297" s="30" t="n"/>
      <c r="D297" s="30" t="n"/>
      <c r="E297" s="33">
        <f>IF(B297="","",IFERROR(INDEX(Productos!$B$2:$B$501,MATCH(B297,Productos!$A$2:$A$501,0)),"¿Código?"))</f>
        <v/>
      </c>
      <c r="F297" s="32">
        <f>IF(C297&lt;&gt;"Venta","",D297*IFERROR(INDEX(Productos!$D$2:$D$501,MATCH(B297,Productos!$A$2:$A$501,0)),0))</f>
        <v/>
      </c>
      <c r="G297" s="32">
        <f>IF(C297&lt;&gt;"Venta","",D297*IFERROR(INDEX(Productos!$E$2:$E$501,MATCH(B297,Productos!$A$2:$A$501,0)),0))</f>
        <v/>
      </c>
      <c r="H297" s="33">
        <f>IF(A297="","",MONTH(A297))</f>
        <v/>
      </c>
      <c r="I297" s="33">
        <f>IF(A297="","",YEAR(A297))</f>
        <v/>
      </c>
    </row>
    <row r="298" ht="15" customHeight="1" s="21">
      <c r="A298" s="34" t="n"/>
      <c r="B298" s="30" t="n"/>
      <c r="C298" s="30" t="n"/>
      <c r="D298" s="30" t="n"/>
      <c r="E298" s="33">
        <f>IF(B298="","",IFERROR(INDEX(Productos!$B$2:$B$501,MATCH(B298,Productos!$A$2:$A$501,0)),"¿Código?"))</f>
        <v/>
      </c>
      <c r="F298" s="32">
        <f>IF(C298&lt;&gt;"Venta","",D298*IFERROR(INDEX(Productos!$D$2:$D$501,MATCH(B298,Productos!$A$2:$A$501,0)),0))</f>
        <v/>
      </c>
      <c r="G298" s="32">
        <f>IF(C298&lt;&gt;"Venta","",D298*IFERROR(INDEX(Productos!$E$2:$E$501,MATCH(B298,Productos!$A$2:$A$501,0)),0))</f>
        <v/>
      </c>
      <c r="H298" s="33">
        <f>IF(A298="","",MONTH(A298))</f>
        <v/>
      </c>
      <c r="I298" s="33">
        <f>IF(A298="","",YEAR(A298))</f>
        <v/>
      </c>
    </row>
    <row r="299" ht="15" customHeight="1" s="21">
      <c r="A299" s="34" t="n"/>
      <c r="B299" s="30" t="n"/>
      <c r="C299" s="30" t="n"/>
      <c r="D299" s="30" t="n"/>
      <c r="E299" s="33">
        <f>IF(B299="","",IFERROR(INDEX(Productos!$B$2:$B$501,MATCH(B299,Productos!$A$2:$A$501,0)),"¿Código?"))</f>
        <v/>
      </c>
      <c r="F299" s="32">
        <f>IF(C299&lt;&gt;"Venta","",D299*IFERROR(INDEX(Productos!$D$2:$D$501,MATCH(B299,Productos!$A$2:$A$501,0)),0))</f>
        <v/>
      </c>
      <c r="G299" s="32">
        <f>IF(C299&lt;&gt;"Venta","",D299*IFERROR(INDEX(Productos!$E$2:$E$501,MATCH(B299,Productos!$A$2:$A$501,0)),0))</f>
        <v/>
      </c>
      <c r="H299" s="33">
        <f>IF(A299="","",MONTH(A299))</f>
        <v/>
      </c>
      <c r="I299" s="33">
        <f>IF(A299="","",YEAR(A299))</f>
        <v/>
      </c>
    </row>
    <row r="300" ht="15" customHeight="1" s="21">
      <c r="A300" s="34" t="n"/>
      <c r="B300" s="30" t="n"/>
      <c r="C300" s="30" t="n"/>
      <c r="D300" s="30" t="n"/>
      <c r="E300" s="33">
        <f>IF(B300="","",IFERROR(INDEX(Productos!$B$2:$B$501,MATCH(B300,Productos!$A$2:$A$501,0)),"¿Código?"))</f>
        <v/>
      </c>
      <c r="F300" s="32">
        <f>IF(C300&lt;&gt;"Venta","",D300*IFERROR(INDEX(Productos!$D$2:$D$501,MATCH(B300,Productos!$A$2:$A$501,0)),0))</f>
        <v/>
      </c>
      <c r="G300" s="32">
        <f>IF(C300&lt;&gt;"Venta","",D300*IFERROR(INDEX(Productos!$E$2:$E$501,MATCH(B300,Productos!$A$2:$A$501,0)),0))</f>
        <v/>
      </c>
      <c r="H300" s="33">
        <f>IF(A300="","",MONTH(A300))</f>
        <v/>
      </c>
      <c r="I300" s="33">
        <f>IF(A300="","",YEAR(A300))</f>
        <v/>
      </c>
    </row>
    <row r="301" ht="15" customHeight="1" s="21">
      <c r="A301" s="34" t="n"/>
      <c r="B301" s="30" t="n"/>
      <c r="C301" s="30" t="n"/>
      <c r="D301" s="30" t="n"/>
      <c r="E301" s="33">
        <f>IF(B301="","",IFERROR(INDEX(Productos!$B$2:$B$501,MATCH(B301,Productos!$A$2:$A$501,0)),"¿Código?"))</f>
        <v/>
      </c>
      <c r="F301" s="32">
        <f>IF(C301&lt;&gt;"Venta","",D301*IFERROR(INDEX(Productos!$D$2:$D$501,MATCH(B301,Productos!$A$2:$A$501,0)),0))</f>
        <v/>
      </c>
      <c r="G301" s="32">
        <f>IF(C301&lt;&gt;"Venta","",D301*IFERROR(INDEX(Productos!$E$2:$E$501,MATCH(B301,Productos!$A$2:$A$501,0)),0))</f>
        <v/>
      </c>
      <c r="H301" s="33">
        <f>IF(A301="","",MONTH(A301))</f>
        <v/>
      </c>
      <c r="I301" s="33">
        <f>IF(A301="","",YEAR(A301))</f>
        <v/>
      </c>
    </row>
    <row r="302" ht="15" customHeight="1" s="21">
      <c r="A302" s="34" t="n"/>
      <c r="B302" s="30" t="n"/>
      <c r="C302" s="30" t="n"/>
      <c r="D302" s="30" t="n"/>
      <c r="E302" s="33">
        <f>IF(B302="","",IFERROR(INDEX(Productos!$B$2:$B$501,MATCH(B302,Productos!$A$2:$A$501,0)),"¿Código?"))</f>
        <v/>
      </c>
      <c r="F302" s="32">
        <f>IF(C302&lt;&gt;"Venta","",D302*IFERROR(INDEX(Productos!$D$2:$D$501,MATCH(B302,Productos!$A$2:$A$501,0)),0))</f>
        <v/>
      </c>
      <c r="G302" s="32">
        <f>IF(C302&lt;&gt;"Venta","",D302*IFERROR(INDEX(Productos!$E$2:$E$501,MATCH(B302,Productos!$A$2:$A$501,0)),0))</f>
        <v/>
      </c>
      <c r="H302" s="33">
        <f>IF(A302="","",MONTH(A302))</f>
        <v/>
      </c>
      <c r="I302" s="33">
        <f>IF(A302="","",YEAR(A302))</f>
        <v/>
      </c>
    </row>
    <row r="303" ht="15" customHeight="1" s="21">
      <c r="A303" s="34" t="n"/>
      <c r="B303" s="30" t="n"/>
      <c r="C303" s="30" t="n"/>
      <c r="D303" s="30" t="n"/>
      <c r="E303" s="33">
        <f>IF(B303="","",IFERROR(INDEX(Productos!$B$2:$B$501,MATCH(B303,Productos!$A$2:$A$501,0)),"¿Código?"))</f>
        <v/>
      </c>
      <c r="F303" s="32">
        <f>IF(C303&lt;&gt;"Venta","",D303*IFERROR(INDEX(Productos!$D$2:$D$501,MATCH(B303,Productos!$A$2:$A$501,0)),0))</f>
        <v/>
      </c>
      <c r="G303" s="32">
        <f>IF(C303&lt;&gt;"Venta","",D303*IFERROR(INDEX(Productos!$E$2:$E$501,MATCH(B303,Productos!$A$2:$A$501,0)),0))</f>
        <v/>
      </c>
      <c r="H303" s="33">
        <f>IF(A303="","",MONTH(A303))</f>
        <v/>
      </c>
      <c r="I303" s="33">
        <f>IF(A303="","",YEAR(A303))</f>
        <v/>
      </c>
    </row>
    <row r="304" ht="15" customHeight="1" s="21">
      <c r="A304" s="34" t="n"/>
      <c r="B304" s="30" t="n"/>
      <c r="C304" s="30" t="n"/>
      <c r="D304" s="30" t="n"/>
      <c r="E304" s="33">
        <f>IF(B304="","",IFERROR(INDEX(Productos!$B$2:$B$501,MATCH(B304,Productos!$A$2:$A$501,0)),"¿Código?"))</f>
        <v/>
      </c>
      <c r="F304" s="32">
        <f>IF(C304&lt;&gt;"Venta","",D304*IFERROR(INDEX(Productos!$D$2:$D$501,MATCH(B304,Productos!$A$2:$A$501,0)),0))</f>
        <v/>
      </c>
      <c r="G304" s="32">
        <f>IF(C304&lt;&gt;"Venta","",D304*IFERROR(INDEX(Productos!$E$2:$E$501,MATCH(B304,Productos!$A$2:$A$501,0)),0))</f>
        <v/>
      </c>
      <c r="H304" s="33">
        <f>IF(A304="","",MONTH(A304))</f>
        <v/>
      </c>
      <c r="I304" s="33">
        <f>IF(A304="","",YEAR(A304))</f>
        <v/>
      </c>
    </row>
    <row r="305" ht="15" customHeight="1" s="21">
      <c r="A305" s="34" t="n"/>
      <c r="B305" s="30" t="n"/>
      <c r="C305" s="30" t="n"/>
      <c r="D305" s="30" t="n"/>
      <c r="E305" s="33">
        <f>IF(B305="","",IFERROR(INDEX(Productos!$B$2:$B$501,MATCH(B305,Productos!$A$2:$A$501,0)),"¿Código?"))</f>
        <v/>
      </c>
      <c r="F305" s="32">
        <f>IF(C305&lt;&gt;"Venta","",D305*IFERROR(INDEX(Productos!$D$2:$D$501,MATCH(B305,Productos!$A$2:$A$501,0)),0))</f>
        <v/>
      </c>
      <c r="G305" s="32">
        <f>IF(C305&lt;&gt;"Venta","",D305*IFERROR(INDEX(Productos!$E$2:$E$501,MATCH(B305,Productos!$A$2:$A$501,0)),0))</f>
        <v/>
      </c>
      <c r="H305" s="33">
        <f>IF(A305="","",MONTH(A305))</f>
        <v/>
      </c>
      <c r="I305" s="33">
        <f>IF(A305="","",YEAR(A305))</f>
        <v/>
      </c>
    </row>
    <row r="306" ht="15" customHeight="1" s="21">
      <c r="A306" s="34" t="n"/>
      <c r="B306" s="30" t="n"/>
      <c r="C306" s="30" t="n"/>
      <c r="D306" s="30" t="n"/>
      <c r="E306" s="33">
        <f>IF(B306="","",IFERROR(INDEX(Productos!$B$2:$B$501,MATCH(B306,Productos!$A$2:$A$501,0)),"¿Código?"))</f>
        <v/>
      </c>
      <c r="F306" s="32">
        <f>IF(C306&lt;&gt;"Venta","",D306*IFERROR(INDEX(Productos!$D$2:$D$501,MATCH(B306,Productos!$A$2:$A$501,0)),0))</f>
        <v/>
      </c>
      <c r="G306" s="32">
        <f>IF(C306&lt;&gt;"Venta","",D306*IFERROR(INDEX(Productos!$E$2:$E$501,MATCH(B306,Productos!$A$2:$A$501,0)),0))</f>
        <v/>
      </c>
      <c r="H306" s="33">
        <f>IF(A306="","",MONTH(A306))</f>
        <v/>
      </c>
      <c r="I306" s="33">
        <f>IF(A306="","",YEAR(A306))</f>
        <v/>
      </c>
    </row>
    <row r="307" ht="15" customHeight="1" s="21">
      <c r="A307" s="34" t="n"/>
      <c r="B307" s="30" t="n"/>
      <c r="C307" s="30" t="n"/>
      <c r="D307" s="30" t="n"/>
      <c r="E307" s="33">
        <f>IF(B307="","",IFERROR(INDEX(Productos!$B$2:$B$501,MATCH(B307,Productos!$A$2:$A$501,0)),"¿Código?"))</f>
        <v/>
      </c>
      <c r="F307" s="32">
        <f>IF(C307&lt;&gt;"Venta","",D307*IFERROR(INDEX(Productos!$D$2:$D$501,MATCH(B307,Productos!$A$2:$A$501,0)),0))</f>
        <v/>
      </c>
      <c r="G307" s="32">
        <f>IF(C307&lt;&gt;"Venta","",D307*IFERROR(INDEX(Productos!$E$2:$E$501,MATCH(B307,Productos!$A$2:$A$501,0)),0))</f>
        <v/>
      </c>
      <c r="H307" s="33">
        <f>IF(A307="","",MONTH(A307))</f>
        <v/>
      </c>
      <c r="I307" s="33">
        <f>IF(A307="","",YEAR(A307))</f>
        <v/>
      </c>
    </row>
    <row r="308" ht="15" customHeight="1" s="21">
      <c r="A308" s="34" t="n"/>
      <c r="B308" s="30" t="n"/>
      <c r="C308" s="30" t="n"/>
      <c r="D308" s="30" t="n"/>
      <c r="E308" s="33">
        <f>IF(B308="","",IFERROR(INDEX(Productos!$B$2:$B$501,MATCH(B308,Productos!$A$2:$A$501,0)),"¿Código?"))</f>
        <v/>
      </c>
      <c r="F308" s="32">
        <f>IF(C308&lt;&gt;"Venta","",D308*IFERROR(INDEX(Productos!$D$2:$D$501,MATCH(B308,Productos!$A$2:$A$501,0)),0))</f>
        <v/>
      </c>
      <c r="G308" s="32">
        <f>IF(C308&lt;&gt;"Venta","",D308*IFERROR(INDEX(Productos!$E$2:$E$501,MATCH(B308,Productos!$A$2:$A$501,0)),0))</f>
        <v/>
      </c>
      <c r="H308" s="33">
        <f>IF(A308="","",MONTH(A308))</f>
        <v/>
      </c>
      <c r="I308" s="33">
        <f>IF(A308="","",YEAR(A308))</f>
        <v/>
      </c>
    </row>
    <row r="309" ht="15" customHeight="1" s="21">
      <c r="A309" s="34" t="n"/>
      <c r="B309" s="30" t="n"/>
      <c r="C309" s="30" t="n"/>
      <c r="D309" s="30" t="n"/>
      <c r="E309" s="33">
        <f>IF(B309="","",IFERROR(INDEX(Productos!$B$2:$B$501,MATCH(B309,Productos!$A$2:$A$501,0)),"¿Código?"))</f>
        <v/>
      </c>
      <c r="F309" s="32">
        <f>IF(C309&lt;&gt;"Venta","",D309*IFERROR(INDEX(Productos!$D$2:$D$501,MATCH(B309,Productos!$A$2:$A$501,0)),0))</f>
        <v/>
      </c>
      <c r="G309" s="32">
        <f>IF(C309&lt;&gt;"Venta","",D309*IFERROR(INDEX(Productos!$E$2:$E$501,MATCH(B309,Productos!$A$2:$A$501,0)),0))</f>
        <v/>
      </c>
      <c r="H309" s="33">
        <f>IF(A309="","",MONTH(A309))</f>
        <v/>
      </c>
      <c r="I309" s="33">
        <f>IF(A309="","",YEAR(A309))</f>
        <v/>
      </c>
    </row>
    <row r="310" ht="15" customHeight="1" s="21">
      <c r="A310" s="34" t="n"/>
      <c r="B310" s="30" t="n"/>
      <c r="C310" s="30" t="n"/>
      <c r="D310" s="30" t="n"/>
      <c r="E310" s="33">
        <f>IF(B310="","",IFERROR(INDEX(Productos!$B$2:$B$501,MATCH(B310,Productos!$A$2:$A$501,0)),"¿Código?"))</f>
        <v/>
      </c>
      <c r="F310" s="32">
        <f>IF(C310&lt;&gt;"Venta","",D310*IFERROR(INDEX(Productos!$D$2:$D$501,MATCH(B310,Productos!$A$2:$A$501,0)),0))</f>
        <v/>
      </c>
      <c r="G310" s="32">
        <f>IF(C310&lt;&gt;"Venta","",D310*IFERROR(INDEX(Productos!$E$2:$E$501,MATCH(B310,Productos!$A$2:$A$501,0)),0))</f>
        <v/>
      </c>
      <c r="H310" s="33">
        <f>IF(A310="","",MONTH(A310))</f>
        <v/>
      </c>
      <c r="I310" s="33">
        <f>IF(A310="","",YEAR(A310))</f>
        <v/>
      </c>
    </row>
    <row r="311" ht="15" customHeight="1" s="21">
      <c r="A311" s="34" t="n"/>
      <c r="B311" s="30" t="n"/>
      <c r="C311" s="30" t="n"/>
      <c r="D311" s="30" t="n"/>
      <c r="E311" s="33">
        <f>IF(B311="","",IFERROR(INDEX(Productos!$B$2:$B$501,MATCH(B311,Productos!$A$2:$A$501,0)),"¿Código?"))</f>
        <v/>
      </c>
      <c r="F311" s="32">
        <f>IF(C311&lt;&gt;"Venta","",D311*IFERROR(INDEX(Productos!$D$2:$D$501,MATCH(B311,Productos!$A$2:$A$501,0)),0))</f>
        <v/>
      </c>
      <c r="G311" s="32">
        <f>IF(C311&lt;&gt;"Venta","",D311*IFERROR(INDEX(Productos!$E$2:$E$501,MATCH(B311,Productos!$A$2:$A$501,0)),0))</f>
        <v/>
      </c>
      <c r="H311" s="33">
        <f>IF(A311="","",MONTH(A311))</f>
        <v/>
      </c>
      <c r="I311" s="33">
        <f>IF(A311="","",YEAR(A311))</f>
        <v/>
      </c>
    </row>
    <row r="312" ht="15" customHeight="1" s="21">
      <c r="A312" s="34" t="n"/>
      <c r="B312" s="30" t="n"/>
      <c r="C312" s="30" t="n"/>
      <c r="D312" s="30" t="n"/>
      <c r="E312" s="33">
        <f>IF(B312="","",IFERROR(INDEX(Productos!$B$2:$B$501,MATCH(B312,Productos!$A$2:$A$501,0)),"¿Código?"))</f>
        <v/>
      </c>
      <c r="F312" s="32">
        <f>IF(C312&lt;&gt;"Venta","",D312*IFERROR(INDEX(Productos!$D$2:$D$501,MATCH(B312,Productos!$A$2:$A$501,0)),0))</f>
        <v/>
      </c>
      <c r="G312" s="32">
        <f>IF(C312&lt;&gt;"Venta","",D312*IFERROR(INDEX(Productos!$E$2:$E$501,MATCH(B312,Productos!$A$2:$A$501,0)),0))</f>
        <v/>
      </c>
      <c r="H312" s="33">
        <f>IF(A312="","",MONTH(A312))</f>
        <v/>
      </c>
      <c r="I312" s="33">
        <f>IF(A312="","",YEAR(A312))</f>
        <v/>
      </c>
    </row>
    <row r="313" ht="15" customHeight="1" s="21">
      <c r="A313" s="34" t="n"/>
      <c r="B313" s="30" t="n"/>
      <c r="C313" s="30" t="n"/>
      <c r="D313" s="30" t="n"/>
      <c r="E313" s="33">
        <f>IF(B313="","",IFERROR(INDEX(Productos!$B$2:$B$501,MATCH(B313,Productos!$A$2:$A$501,0)),"¿Código?"))</f>
        <v/>
      </c>
      <c r="F313" s="32">
        <f>IF(C313&lt;&gt;"Venta","",D313*IFERROR(INDEX(Productos!$D$2:$D$501,MATCH(B313,Productos!$A$2:$A$501,0)),0))</f>
        <v/>
      </c>
      <c r="G313" s="32">
        <f>IF(C313&lt;&gt;"Venta","",D313*IFERROR(INDEX(Productos!$E$2:$E$501,MATCH(B313,Productos!$A$2:$A$501,0)),0))</f>
        <v/>
      </c>
      <c r="H313" s="33">
        <f>IF(A313="","",MONTH(A313))</f>
        <v/>
      </c>
      <c r="I313" s="33">
        <f>IF(A313="","",YEAR(A313))</f>
        <v/>
      </c>
    </row>
    <row r="314" ht="15" customHeight="1" s="21">
      <c r="A314" s="34" t="n"/>
      <c r="B314" s="30" t="n"/>
      <c r="C314" s="30" t="n"/>
      <c r="D314" s="30" t="n"/>
      <c r="E314" s="33">
        <f>IF(B314="","",IFERROR(INDEX(Productos!$B$2:$B$501,MATCH(B314,Productos!$A$2:$A$501,0)),"¿Código?"))</f>
        <v/>
      </c>
      <c r="F314" s="32">
        <f>IF(C314&lt;&gt;"Venta","",D314*IFERROR(INDEX(Productos!$D$2:$D$501,MATCH(B314,Productos!$A$2:$A$501,0)),0))</f>
        <v/>
      </c>
      <c r="G314" s="32">
        <f>IF(C314&lt;&gt;"Venta","",D314*IFERROR(INDEX(Productos!$E$2:$E$501,MATCH(B314,Productos!$A$2:$A$501,0)),0))</f>
        <v/>
      </c>
      <c r="H314" s="33">
        <f>IF(A314="","",MONTH(A314))</f>
        <v/>
      </c>
      <c r="I314" s="33">
        <f>IF(A314="","",YEAR(A314))</f>
        <v/>
      </c>
    </row>
    <row r="315" ht="15" customHeight="1" s="21">
      <c r="A315" s="34" t="n"/>
      <c r="B315" s="30" t="n"/>
      <c r="C315" s="30" t="n"/>
      <c r="D315" s="30" t="n"/>
      <c r="E315" s="33">
        <f>IF(B315="","",IFERROR(INDEX(Productos!$B$2:$B$501,MATCH(B315,Productos!$A$2:$A$501,0)),"¿Código?"))</f>
        <v/>
      </c>
      <c r="F315" s="32">
        <f>IF(C315&lt;&gt;"Venta","",D315*IFERROR(INDEX(Productos!$D$2:$D$501,MATCH(B315,Productos!$A$2:$A$501,0)),0))</f>
        <v/>
      </c>
      <c r="G315" s="32">
        <f>IF(C315&lt;&gt;"Venta","",D315*IFERROR(INDEX(Productos!$E$2:$E$501,MATCH(B315,Productos!$A$2:$A$501,0)),0))</f>
        <v/>
      </c>
      <c r="H315" s="33">
        <f>IF(A315="","",MONTH(A315))</f>
        <v/>
      </c>
      <c r="I315" s="33">
        <f>IF(A315="","",YEAR(A315))</f>
        <v/>
      </c>
    </row>
    <row r="316" ht="15" customHeight="1" s="21">
      <c r="A316" s="34" t="n"/>
      <c r="B316" s="30" t="n"/>
      <c r="C316" s="30" t="n"/>
      <c r="D316" s="30" t="n"/>
      <c r="E316" s="33">
        <f>IF(B316="","",IFERROR(INDEX(Productos!$B$2:$B$501,MATCH(B316,Productos!$A$2:$A$501,0)),"¿Código?"))</f>
        <v/>
      </c>
      <c r="F316" s="32">
        <f>IF(C316&lt;&gt;"Venta","",D316*IFERROR(INDEX(Productos!$D$2:$D$501,MATCH(B316,Productos!$A$2:$A$501,0)),0))</f>
        <v/>
      </c>
      <c r="G316" s="32">
        <f>IF(C316&lt;&gt;"Venta","",D316*IFERROR(INDEX(Productos!$E$2:$E$501,MATCH(B316,Productos!$A$2:$A$501,0)),0))</f>
        <v/>
      </c>
      <c r="H316" s="33">
        <f>IF(A316="","",MONTH(A316))</f>
        <v/>
      </c>
      <c r="I316" s="33">
        <f>IF(A316="","",YEAR(A316))</f>
        <v/>
      </c>
    </row>
    <row r="317" ht="15" customHeight="1" s="21">
      <c r="A317" s="34" t="n"/>
      <c r="B317" s="30" t="n"/>
      <c r="C317" s="30" t="n"/>
      <c r="D317" s="30" t="n"/>
      <c r="E317" s="33">
        <f>IF(B317="","",IFERROR(INDEX(Productos!$B$2:$B$501,MATCH(B317,Productos!$A$2:$A$501,0)),"¿Código?"))</f>
        <v/>
      </c>
      <c r="F317" s="32">
        <f>IF(C317&lt;&gt;"Venta","",D317*IFERROR(INDEX(Productos!$D$2:$D$501,MATCH(B317,Productos!$A$2:$A$501,0)),0))</f>
        <v/>
      </c>
      <c r="G317" s="32">
        <f>IF(C317&lt;&gt;"Venta","",D317*IFERROR(INDEX(Productos!$E$2:$E$501,MATCH(B317,Productos!$A$2:$A$501,0)),0))</f>
        <v/>
      </c>
      <c r="H317" s="33">
        <f>IF(A317="","",MONTH(A317))</f>
        <v/>
      </c>
      <c r="I317" s="33">
        <f>IF(A317="","",YEAR(A317))</f>
        <v/>
      </c>
    </row>
    <row r="318" ht="15" customHeight="1" s="21">
      <c r="A318" s="34" t="n"/>
      <c r="B318" s="30" t="n"/>
      <c r="C318" s="30" t="n"/>
      <c r="D318" s="30" t="n"/>
      <c r="E318" s="33">
        <f>IF(B318="","",IFERROR(INDEX(Productos!$B$2:$B$501,MATCH(B318,Productos!$A$2:$A$501,0)),"¿Código?"))</f>
        <v/>
      </c>
      <c r="F318" s="32">
        <f>IF(C318&lt;&gt;"Venta","",D318*IFERROR(INDEX(Productos!$D$2:$D$501,MATCH(B318,Productos!$A$2:$A$501,0)),0))</f>
        <v/>
      </c>
      <c r="G318" s="32">
        <f>IF(C318&lt;&gt;"Venta","",D318*IFERROR(INDEX(Productos!$E$2:$E$501,MATCH(B318,Productos!$A$2:$A$501,0)),0))</f>
        <v/>
      </c>
      <c r="H318" s="33">
        <f>IF(A318="","",MONTH(A318))</f>
        <v/>
      </c>
      <c r="I318" s="33">
        <f>IF(A318="","",YEAR(A318))</f>
        <v/>
      </c>
    </row>
    <row r="319" ht="15" customHeight="1" s="21">
      <c r="A319" s="34" t="n"/>
      <c r="B319" s="30" t="n"/>
      <c r="C319" s="30" t="n"/>
      <c r="D319" s="30" t="n"/>
      <c r="E319" s="33">
        <f>IF(B319="","",IFERROR(INDEX(Productos!$B$2:$B$501,MATCH(B319,Productos!$A$2:$A$501,0)),"¿Código?"))</f>
        <v/>
      </c>
      <c r="F319" s="32">
        <f>IF(C319&lt;&gt;"Venta","",D319*IFERROR(INDEX(Productos!$D$2:$D$501,MATCH(B319,Productos!$A$2:$A$501,0)),0))</f>
        <v/>
      </c>
      <c r="G319" s="32">
        <f>IF(C319&lt;&gt;"Venta","",D319*IFERROR(INDEX(Productos!$E$2:$E$501,MATCH(B319,Productos!$A$2:$A$501,0)),0))</f>
        <v/>
      </c>
      <c r="H319" s="33">
        <f>IF(A319="","",MONTH(A319))</f>
        <v/>
      </c>
      <c r="I319" s="33">
        <f>IF(A319="","",YEAR(A319))</f>
        <v/>
      </c>
    </row>
    <row r="320" ht="15" customHeight="1" s="21">
      <c r="A320" s="34" t="n"/>
      <c r="B320" s="30" t="n"/>
      <c r="C320" s="30" t="n"/>
      <c r="D320" s="30" t="n"/>
      <c r="E320" s="33">
        <f>IF(B320="","",IFERROR(INDEX(Productos!$B$2:$B$501,MATCH(B320,Productos!$A$2:$A$501,0)),"¿Código?"))</f>
        <v/>
      </c>
      <c r="F320" s="32">
        <f>IF(C320&lt;&gt;"Venta","",D320*IFERROR(INDEX(Productos!$D$2:$D$501,MATCH(B320,Productos!$A$2:$A$501,0)),0))</f>
        <v/>
      </c>
      <c r="G320" s="32">
        <f>IF(C320&lt;&gt;"Venta","",D320*IFERROR(INDEX(Productos!$E$2:$E$501,MATCH(B320,Productos!$A$2:$A$501,0)),0))</f>
        <v/>
      </c>
      <c r="H320" s="33">
        <f>IF(A320="","",MONTH(A320))</f>
        <v/>
      </c>
      <c r="I320" s="33">
        <f>IF(A320="","",YEAR(A320))</f>
        <v/>
      </c>
    </row>
    <row r="321" ht="15" customHeight="1" s="21">
      <c r="A321" s="34" t="n"/>
      <c r="B321" s="30" t="n"/>
      <c r="C321" s="30" t="n"/>
      <c r="D321" s="30" t="n"/>
      <c r="E321" s="33">
        <f>IF(B321="","",IFERROR(INDEX(Productos!$B$2:$B$501,MATCH(B321,Productos!$A$2:$A$501,0)),"¿Código?"))</f>
        <v/>
      </c>
      <c r="F321" s="32">
        <f>IF(C321&lt;&gt;"Venta","",D321*IFERROR(INDEX(Productos!$D$2:$D$501,MATCH(B321,Productos!$A$2:$A$501,0)),0))</f>
        <v/>
      </c>
      <c r="G321" s="32">
        <f>IF(C321&lt;&gt;"Venta","",D321*IFERROR(INDEX(Productos!$E$2:$E$501,MATCH(B321,Productos!$A$2:$A$501,0)),0))</f>
        <v/>
      </c>
      <c r="H321" s="33">
        <f>IF(A321="","",MONTH(A321))</f>
        <v/>
      </c>
      <c r="I321" s="33">
        <f>IF(A321="","",YEAR(A321))</f>
        <v/>
      </c>
    </row>
    <row r="322" ht="15" customHeight="1" s="21">
      <c r="A322" s="34" t="n"/>
      <c r="B322" s="30" t="n"/>
      <c r="C322" s="30" t="n"/>
      <c r="D322" s="30" t="n"/>
      <c r="E322" s="33">
        <f>IF(B322="","",IFERROR(INDEX(Productos!$B$2:$B$501,MATCH(B322,Productos!$A$2:$A$501,0)),"¿Código?"))</f>
        <v/>
      </c>
      <c r="F322" s="32">
        <f>IF(C322&lt;&gt;"Venta","",D322*IFERROR(INDEX(Productos!$D$2:$D$501,MATCH(B322,Productos!$A$2:$A$501,0)),0))</f>
        <v/>
      </c>
      <c r="G322" s="32">
        <f>IF(C322&lt;&gt;"Venta","",D322*IFERROR(INDEX(Productos!$E$2:$E$501,MATCH(B322,Productos!$A$2:$A$501,0)),0))</f>
        <v/>
      </c>
      <c r="H322" s="33">
        <f>IF(A322="","",MONTH(A322))</f>
        <v/>
      </c>
      <c r="I322" s="33">
        <f>IF(A322="","",YEAR(A322))</f>
        <v/>
      </c>
    </row>
    <row r="323" ht="15" customHeight="1" s="21">
      <c r="A323" s="34" t="n"/>
      <c r="B323" s="30" t="n"/>
      <c r="C323" s="30" t="n"/>
      <c r="D323" s="30" t="n"/>
      <c r="E323" s="33">
        <f>IF(B323="","",IFERROR(INDEX(Productos!$B$2:$B$501,MATCH(B323,Productos!$A$2:$A$501,0)),"¿Código?"))</f>
        <v/>
      </c>
      <c r="F323" s="32">
        <f>IF(C323&lt;&gt;"Venta","",D323*IFERROR(INDEX(Productos!$D$2:$D$501,MATCH(B323,Productos!$A$2:$A$501,0)),0))</f>
        <v/>
      </c>
      <c r="G323" s="32">
        <f>IF(C323&lt;&gt;"Venta","",D323*IFERROR(INDEX(Productos!$E$2:$E$501,MATCH(B323,Productos!$A$2:$A$501,0)),0))</f>
        <v/>
      </c>
      <c r="H323" s="33">
        <f>IF(A323="","",MONTH(A323))</f>
        <v/>
      </c>
      <c r="I323" s="33">
        <f>IF(A323="","",YEAR(A323))</f>
        <v/>
      </c>
    </row>
    <row r="324" ht="15" customHeight="1" s="21">
      <c r="A324" s="34" t="n"/>
      <c r="B324" s="30" t="n"/>
      <c r="C324" s="30" t="n"/>
      <c r="D324" s="30" t="n"/>
      <c r="E324" s="33">
        <f>IF(B324="","",IFERROR(INDEX(Productos!$B$2:$B$501,MATCH(B324,Productos!$A$2:$A$501,0)),"¿Código?"))</f>
        <v/>
      </c>
      <c r="F324" s="32">
        <f>IF(C324&lt;&gt;"Venta","",D324*IFERROR(INDEX(Productos!$D$2:$D$501,MATCH(B324,Productos!$A$2:$A$501,0)),0))</f>
        <v/>
      </c>
      <c r="G324" s="32">
        <f>IF(C324&lt;&gt;"Venta","",D324*IFERROR(INDEX(Productos!$E$2:$E$501,MATCH(B324,Productos!$A$2:$A$501,0)),0))</f>
        <v/>
      </c>
      <c r="H324" s="33">
        <f>IF(A324="","",MONTH(A324))</f>
        <v/>
      </c>
      <c r="I324" s="33">
        <f>IF(A324="","",YEAR(A324))</f>
        <v/>
      </c>
    </row>
    <row r="325" ht="15" customHeight="1" s="21">
      <c r="A325" s="34" t="n"/>
      <c r="B325" s="30" t="n"/>
      <c r="C325" s="30" t="n"/>
      <c r="D325" s="30" t="n"/>
      <c r="E325" s="33">
        <f>IF(B325="","",IFERROR(INDEX(Productos!$B$2:$B$501,MATCH(B325,Productos!$A$2:$A$501,0)),"¿Código?"))</f>
        <v/>
      </c>
      <c r="F325" s="32">
        <f>IF(C325&lt;&gt;"Venta","",D325*IFERROR(INDEX(Productos!$D$2:$D$501,MATCH(B325,Productos!$A$2:$A$501,0)),0))</f>
        <v/>
      </c>
      <c r="G325" s="32">
        <f>IF(C325&lt;&gt;"Venta","",D325*IFERROR(INDEX(Productos!$E$2:$E$501,MATCH(B325,Productos!$A$2:$A$501,0)),0))</f>
        <v/>
      </c>
      <c r="H325" s="33">
        <f>IF(A325="","",MONTH(A325))</f>
        <v/>
      </c>
      <c r="I325" s="33">
        <f>IF(A325="","",YEAR(A325))</f>
        <v/>
      </c>
    </row>
    <row r="326" ht="15" customHeight="1" s="21">
      <c r="A326" s="34" t="n"/>
      <c r="B326" s="30" t="n"/>
      <c r="C326" s="30" t="n"/>
      <c r="D326" s="30" t="n"/>
      <c r="E326" s="33">
        <f>IF(B326="","",IFERROR(INDEX(Productos!$B$2:$B$501,MATCH(B326,Productos!$A$2:$A$501,0)),"¿Código?"))</f>
        <v/>
      </c>
      <c r="F326" s="32">
        <f>IF(C326&lt;&gt;"Venta","",D326*IFERROR(INDEX(Productos!$D$2:$D$501,MATCH(B326,Productos!$A$2:$A$501,0)),0))</f>
        <v/>
      </c>
      <c r="G326" s="32">
        <f>IF(C326&lt;&gt;"Venta","",D326*IFERROR(INDEX(Productos!$E$2:$E$501,MATCH(B326,Productos!$A$2:$A$501,0)),0))</f>
        <v/>
      </c>
      <c r="H326" s="33">
        <f>IF(A326="","",MONTH(A326))</f>
        <v/>
      </c>
      <c r="I326" s="33">
        <f>IF(A326="","",YEAR(A326))</f>
        <v/>
      </c>
    </row>
    <row r="327" ht="15" customHeight="1" s="21">
      <c r="A327" s="34" t="n"/>
      <c r="B327" s="30" t="n"/>
      <c r="C327" s="30" t="n"/>
      <c r="D327" s="30" t="n"/>
      <c r="E327" s="33">
        <f>IF(B327="","",IFERROR(INDEX(Productos!$B$2:$B$501,MATCH(B327,Productos!$A$2:$A$501,0)),"¿Código?"))</f>
        <v/>
      </c>
      <c r="F327" s="32">
        <f>IF(C327&lt;&gt;"Venta","",D327*IFERROR(INDEX(Productos!$D$2:$D$501,MATCH(B327,Productos!$A$2:$A$501,0)),0))</f>
        <v/>
      </c>
      <c r="G327" s="32">
        <f>IF(C327&lt;&gt;"Venta","",D327*IFERROR(INDEX(Productos!$E$2:$E$501,MATCH(B327,Productos!$A$2:$A$501,0)),0))</f>
        <v/>
      </c>
      <c r="H327" s="33">
        <f>IF(A327="","",MONTH(A327))</f>
        <v/>
      </c>
      <c r="I327" s="33">
        <f>IF(A327="","",YEAR(A327))</f>
        <v/>
      </c>
    </row>
    <row r="328" ht="15" customHeight="1" s="21">
      <c r="A328" s="34" t="n"/>
      <c r="B328" s="30" t="n"/>
      <c r="C328" s="30" t="n"/>
      <c r="D328" s="30" t="n"/>
      <c r="E328" s="33">
        <f>IF(B328="","",IFERROR(INDEX(Productos!$B$2:$B$501,MATCH(B328,Productos!$A$2:$A$501,0)),"¿Código?"))</f>
        <v/>
      </c>
      <c r="F328" s="32">
        <f>IF(C328&lt;&gt;"Venta","",D328*IFERROR(INDEX(Productos!$D$2:$D$501,MATCH(B328,Productos!$A$2:$A$501,0)),0))</f>
        <v/>
      </c>
      <c r="G328" s="32">
        <f>IF(C328&lt;&gt;"Venta","",D328*IFERROR(INDEX(Productos!$E$2:$E$501,MATCH(B328,Productos!$A$2:$A$501,0)),0))</f>
        <v/>
      </c>
      <c r="H328" s="33">
        <f>IF(A328="","",MONTH(A328))</f>
        <v/>
      </c>
      <c r="I328" s="33">
        <f>IF(A328="","",YEAR(A328))</f>
        <v/>
      </c>
    </row>
    <row r="329" ht="15" customHeight="1" s="21">
      <c r="A329" s="34" t="n"/>
      <c r="B329" s="30" t="n"/>
      <c r="C329" s="30" t="n"/>
      <c r="D329" s="30" t="n"/>
      <c r="E329" s="33">
        <f>IF(B329="","",IFERROR(INDEX(Productos!$B$2:$B$501,MATCH(B329,Productos!$A$2:$A$501,0)),"¿Código?"))</f>
        <v/>
      </c>
      <c r="F329" s="32">
        <f>IF(C329&lt;&gt;"Venta","",D329*IFERROR(INDEX(Productos!$D$2:$D$501,MATCH(B329,Productos!$A$2:$A$501,0)),0))</f>
        <v/>
      </c>
      <c r="G329" s="32">
        <f>IF(C329&lt;&gt;"Venta","",D329*IFERROR(INDEX(Productos!$E$2:$E$501,MATCH(B329,Productos!$A$2:$A$501,0)),0))</f>
        <v/>
      </c>
      <c r="H329" s="33">
        <f>IF(A329="","",MONTH(A329))</f>
        <v/>
      </c>
      <c r="I329" s="33">
        <f>IF(A329="","",YEAR(A329))</f>
        <v/>
      </c>
    </row>
    <row r="330" ht="15" customHeight="1" s="21">
      <c r="A330" s="34" t="n"/>
      <c r="B330" s="30" t="n"/>
      <c r="C330" s="30" t="n"/>
      <c r="D330" s="30" t="n"/>
      <c r="E330" s="33">
        <f>IF(B330="","",IFERROR(INDEX(Productos!$B$2:$B$501,MATCH(B330,Productos!$A$2:$A$501,0)),"¿Código?"))</f>
        <v/>
      </c>
      <c r="F330" s="32">
        <f>IF(C330&lt;&gt;"Venta","",D330*IFERROR(INDEX(Productos!$D$2:$D$501,MATCH(B330,Productos!$A$2:$A$501,0)),0))</f>
        <v/>
      </c>
      <c r="G330" s="32">
        <f>IF(C330&lt;&gt;"Venta","",D330*IFERROR(INDEX(Productos!$E$2:$E$501,MATCH(B330,Productos!$A$2:$A$501,0)),0))</f>
        <v/>
      </c>
      <c r="H330" s="33">
        <f>IF(A330="","",MONTH(A330))</f>
        <v/>
      </c>
      <c r="I330" s="33">
        <f>IF(A330="","",YEAR(A330))</f>
        <v/>
      </c>
    </row>
    <row r="331" ht="15" customHeight="1" s="21">
      <c r="A331" s="34" t="n"/>
      <c r="B331" s="30" t="n"/>
      <c r="C331" s="30" t="n"/>
      <c r="D331" s="30" t="n"/>
      <c r="E331" s="33">
        <f>IF(B331="","",IFERROR(INDEX(Productos!$B$2:$B$501,MATCH(B331,Productos!$A$2:$A$501,0)),"¿Código?"))</f>
        <v/>
      </c>
      <c r="F331" s="32">
        <f>IF(C331&lt;&gt;"Venta","",D331*IFERROR(INDEX(Productos!$D$2:$D$501,MATCH(B331,Productos!$A$2:$A$501,0)),0))</f>
        <v/>
      </c>
      <c r="G331" s="32">
        <f>IF(C331&lt;&gt;"Venta","",D331*IFERROR(INDEX(Productos!$E$2:$E$501,MATCH(B331,Productos!$A$2:$A$501,0)),0))</f>
        <v/>
      </c>
      <c r="H331" s="33">
        <f>IF(A331="","",MONTH(A331))</f>
        <v/>
      </c>
      <c r="I331" s="33">
        <f>IF(A331="","",YEAR(A331))</f>
        <v/>
      </c>
    </row>
    <row r="332" ht="15" customHeight="1" s="21">
      <c r="A332" s="34" t="n"/>
      <c r="B332" s="30" t="n"/>
      <c r="C332" s="30" t="n"/>
      <c r="D332" s="30" t="n"/>
      <c r="E332" s="33">
        <f>IF(B332="","",IFERROR(INDEX(Productos!$B$2:$B$501,MATCH(B332,Productos!$A$2:$A$501,0)),"¿Código?"))</f>
        <v/>
      </c>
      <c r="F332" s="32">
        <f>IF(C332&lt;&gt;"Venta","",D332*IFERROR(INDEX(Productos!$D$2:$D$501,MATCH(B332,Productos!$A$2:$A$501,0)),0))</f>
        <v/>
      </c>
      <c r="G332" s="32">
        <f>IF(C332&lt;&gt;"Venta","",D332*IFERROR(INDEX(Productos!$E$2:$E$501,MATCH(B332,Productos!$A$2:$A$501,0)),0))</f>
        <v/>
      </c>
      <c r="H332" s="33">
        <f>IF(A332="","",MONTH(A332))</f>
        <v/>
      </c>
      <c r="I332" s="33">
        <f>IF(A332="","",YEAR(A332))</f>
        <v/>
      </c>
    </row>
    <row r="333" ht="15" customHeight="1" s="21">
      <c r="A333" s="34" t="n"/>
      <c r="B333" s="30" t="n"/>
      <c r="C333" s="30" t="n"/>
      <c r="D333" s="30" t="n"/>
      <c r="E333" s="33">
        <f>IF(B333="","",IFERROR(INDEX(Productos!$B$2:$B$501,MATCH(B333,Productos!$A$2:$A$501,0)),"¿Código?"))</f>
        <v/>
      </c>
      <c r="F333" s="32">
        <f>IF(C333&lt;&gt;"Venta","",D333*IFERROR(INDEX(Productos!$D$2:$D$501,MATCH(B333,Productos!$A$2:$A$501,0)),0))</f>
        <v/>
      </c>
      <c r="G333" s="32">
        <f>IF(C333&lt;&gt;"Venta","",D333*IFERROR(INDEX(Productos!$E$2:$E$501,MATCH(B333,Productos!$A$2:$A$501,0)),0))</f>
        <v/>
      </c>
      <c r="H333" s="33">
        <f>IF(A333="","",MONTH(A333))</f>
        <v/>
      </c>
      <c r="I333" s="33">
        <f>IF(A333="","",YEAR(A333))</f>
        <v/>
      </c>
    </row>
    <row r="334" ht="15" customHeight="1" s="21">
      <c r="A334" s="34" t="n"/>
      <c r="B334" s="30" t="n"/>
      <c r="C334" s="30" t="n"/>
      <c r="D334" s="30" t="n"/>
      <c r="E334" s="33">
        <f>IF(B334="","",IFERROR(INDEX(Productos!$B$2:$B$501,MATCH(B334,Productos!$A$2:$A$501,0)),"¿Código?"))</f>
        <v/>
      </c>
      <c r="F334" s="32">
        <f>IF(C334&lt;&gt;"Venta","",D334*IFERROR(INDEX(Productos!$D$2:$D$501,MATCH(B334,Productos!$A$2:$A$501,0)),0))</f>
        <v/>
      </c>
      <c r="G334" s="32">
        <f>IF(C334&lt;&gt;"Venta","",D334*IFERROR(INDEX(Productos!$E$2:$E$501,MATCH(B334,Productos!$A$2:$A$501,0)),0))</f>
        <v/>
      </c>
      <c r="H334" s="33">
        <f>IF(A334="","",MONTH(A334))</f>
        <v/>
      </c>
      <c r="I334" s="33">
        <f>IF(A334="","",YEAR(A334))</f>
        <v/>
      </c>
    </row>
    <row r="335" ht="15" customHeight="1" s="21">
      <c r="A335" s="34" t="n"/>
      <c r="B335" s="30" t="n"/>
      <c r="C335" s="30" t="n"/>
      <c r="D335" s="30" t="n"/>
      <c r="E335" s="33">
        <f>IF(B335="","",IFERROR(INDEX(Productos!$B$2:$B$501,MATCH(B335,Productos!$A$2:$A$501,0)),"¿Código?"))</f>
        <v/>
      </c>
      <c r="F335" s="32">
        <f>IF(C335&lt;&gt;"Venta","",D335*IFERROR(INDEX(Productos!$D$2:$D$501,MATCH(B335,Productos!$A$2:$A$501,0)),0))</f>
        <v/>
      </c>
      <c r="G335" s="32">
        <f>IF(C335&lt;&gt;"Venta","",D335*IFERROR(INDEX(Productos!$E$2:$E$501,MATCH(B335,Productos!$A$2:$A$501,0)),0))</f>
        <v/>
      </c>
      <c r="H335" s="33">
        <f>IF(A335="","",MONTH(A335))</f>
        <v/>
      </c>
      <c r="I335" s="33">
        <f>IF(A335="","",YEAR(A335))</f>
        <v/>
      </c>
    </row>
    <row r="336" ht="15" customHeight="1" s="21">
      <c r="A336" s="34" t="n"/>
      <c r="B336" s="30" t="n"/>
      <c r="C336" s="30" t="n"/>
      <c r="D336" s="30" t="n"/>
      <c r="E336" s="33">
        <f>IF(B336="","",IFERROR(INDEX(Productos!$B$2:$B$501,MATCH(B336,Productos!$A$2:$A$501,0)),"¿Código?"))</f>
        <v/>
      </c>
      <c r="F336" s="32">
        <f>IF(C336&lt;&gt;"Venta","",D336*IFERROR(INDEX(Productos!$D$2:$D$501,MATCH(B336,Productos!$A$2:$A$501,0)),0))</f>
        <v/>
      </c>
      <c r="G336" s="32">
        <f>IF(C336&lt;&gt;"Venta","",D336*IFERROR(INDEX(Productos!$E$2:$E$501,MATCH(B336,Productos!$A$2:$A$501,0)),0))</f>
        <v/>
      </c>
      <c r="H336" s="33">
        <f>IF(A336="","",MONTH(A336))</f>
        <v/>
      </c>
      <c r="I336" s="33">
        <f>IF(A336="","",YEAR(A336))</f>
        <v/>
      </c>
    </row>
    <row r="337" ht="15" customHeight="1" s="21">
      <c r="A337" s="34" t="n"/>
      <c r="B337" s="30" t="n"/>
      <c r="C337" s="30" t="n"/>
      <c r="D337" s="30" t="n"/>
      <c r="E337" s="33">
        <f>IF(B337="","",IFERROR(INDEX(Productos!$B$2:$B$501,MATCH(B337,Productos!$A$2:$A$501,0)),"¿Código?"))</f>
        <v/>
      </c>
      <c r="F337" s="32">
        <f>IF(C337&lt;&gt;"Venta","",D337*IFERROR(INDEX(Productos!$D$2:$D$501,MATCH(B337,Productos!$A$2:$A$501,0)),0))</f>
        <v/>
      </c>
      <c r="G337" s="32">
        <f>IF(C337&lt;&gt;"Venta","",D337*IFERROR(INDEX(Productos!$E$2:$E$501,MATCH(B337,Productos!$A$2:$A$501,0)),0))</f>
        <v/>
      </c>
      <c r="H337" s="33">
        <f>IF(A337="","",MONTH(A337))</f>
        <v/>
      </c>
      <c r="I337" s="33">
        <f>IF(A337="","",YEAR(A337))</f>
        <v/>
      </c>
    </row>
    <row r="338" ht="15" customHeight="1" s="21">
      <c r="A338" s="34" t="n"/>
      <c r="B338" s="30" t="n"/>
      <c r="C338" s="30" t="n"/>
      <c r="D338" s="30" t="n"/>
      <c r="E338" s="33">
        <f>IF(B338="","",IFERROR(INDEX(Productos!$B$2:$B$501,MATCH(B338,Productos!$A$2:$A$501,0)),"¿Código?"))</f>
        <v/>
      </c>
      <c r="F338" s="32">
        <f>IF(C338&lt;&gt;"Venta","",D338*IFERROR(INDEX(Productos!$D$2:$D$501,MATCH(B338,Productos!$A$2:$A$501,0)),0))</f>
        <v/>
      </c>
      <c r="G338" s="32">
        <f>IF(C338&lt;&gt;"Venta","",D338*IFERROR(INDEX(Productos!$E$2:$E$501,MATCH(B338,Productos!$A$2:$A$501,0)),0))</f>
        <v/>
      </c>
      <c r="H338" s="33">
        <f>IF(A338="","",MONTH(A338))</f>
        <v/>
      </c>
      <c r="I338" s="33">
        <f>IF(A338="","",YEAR(A338))</f>
        <v/>
      </c>
    </row>
    <row r="339" ht="15" customHeight="1" s="21">
      <c r="A339" s="34" t="n"/>
      <c r="B339" s="30" t="n"/>
      <c r="C339" s="30" t="n"/>
      <c r="D339" s="30" t="n"/>
      <c r="E339" s="33">
        <f>IF(B339="","",IFERROR(INDEX(Productos!$B$2:$B$501,MATCH(B339,Productos!$A$2:$A$501,0)),"¿Código?"))</f>
        <v/>
      </c>
      <c r="F339" s="32">
        <f>IF(C339&lt;&gt;"Venta","",D339*IFERROR(INDEX(Productos!$D$2:$D$501,MATCH(B339,Productos!$A$2:$A$501,0)),0))</f>
        <v/>
      </c>
      <c r="G339" s="32">
        <f>IF(C339&lt;&gt;"Venta","",D339*IFERROR(INDEX(Productos!$E$2:$E$501,MATCH(B339,Productos!$A$2:$A$501,0)),0))</f>
        <v/>
      </c>
      <c r="H339" s="33">
        <f>IF(A339="","",MONTH(A339))</f>
        <v/>
      </c>
      <c r="I339" s="33">
        <f>IF(A339="","",YEAR(A339))</f>
        <v/>
      </c>
    </row>
    <row r="340" ht="15" customHeight="1" s="21">
      <c r="A340" s="34" t="n"/>
      <c r="B340" s="30" t="n"/>
      <c r="C340" s="30" t="n"/>
      <c r="D340" s="30" t="n"/>
      <c r="E340" s="33">
        <f>IF(B340="","",IFERROR(INDEX(Productos!$B$2:$B$501,MATCH(B340,Productos!$A$2:$A$501,0)),"¿Código?"))</f>
        <v/>
      </c>
      <c r="F340" s="32">
        <f>IF(C340&lt;&gt;"Venta","",D340*IFERROR(INDEX(Productos!$D$2:$D$501,MATCH(B340,Productos!$A$2:$A$501,0)),0))</f>
        <v/>
      </c>
      <c r="G340" s="32">
        <f>IF(C340&lt;&gt;"Venta","",D340*IFERROR(INDEX(Productos!$E$2:$E$501,MATCH(B340,Productos!$A$2:$A$501,0)),0))</f>
        <v/>
      </c>
      <c r="H340" s="33">
        <f>IF(A340="","",MONTH(A340))</f>
        <v/>
      </c>
      <c r="I340" s="33">
        <f>IF(A340="","",YEAR(A340))</f>
        <v/>
      </c>
    </row>
    <row r="341" ht="15" customHeight="1" s="21">
      <c r="A341" s="34" t="n"/>
      <c r="B341" s="30" t="n"/>
      <c r="C341" s="30" t="n"/>
      <c r="D341" s="30" t="n"/>
      <c r="E341" s="33">
        <f>IF(B341="","",IFERROR(INDEX(Productos!$B$2:$B$501,MATCH(B341,Productos!$A$2:$A$501,0)),"¿Código?"))</f>
        <v/>
      </c>
      <c r="F341" s="32">
        <f>IF(C341&lt;&gt;"Venta","",D341*IFERROR(INDEX(Productos!$D$2:$D$501,MATCH(B341,Productos!$A$2:$A$501,0)),0))</f>
        <v/>
      </c>
      <c r="G341" s="32">
        <f>IF(C341&lt;&gt;"Venta","",D341*IFERROR(INDEX(Productos!$E$2:$E$501,MATCH(B341,Productos!$A$2:$A$501,0)),0))</f>
        <v/>
      </c>
      <c r="H341" s="33">
        <f>IF(A341="","",MONTH(A341))</f>
        <v/>
      </c>
      <c r="I341" s="33">
        <f>IF(A341="","",YEAR(A341))</f>
        <v/>
      </c>
    </row>
    <row r="342" ht="15" customHeight="1" s="21">
      <c r="A342" s="34" t="n"/>
      <c r="B342" s="30" t="n"/>
      <c r="C342" s="30" t="n"/>
      <c r="D342" s="30" t="n"/>
      <c r="E342" s="33">
        <f>IF(B342="","",IFERROR(INDEX(Productos!$B$2:$B$501,MATCH(B342,Productos!$A$2:$A$501,0)),"¿Código?"))</f>
        <v/>
      </c>
      <c r="F342" s="32">
        <f>IF(C342&lt;&gt;"Venta","",D342*IFERROR(INDEX(Productos!$D$2:$D$501,MATCH(B342,Productos!$A$2:$A$501,0)),0))</f>
        <v/>
      </c>
      <c r="G342" s="32">
        <f>IF(C342&lt;&gt;"Venta","",D342*IFERROR(INDEX(Productos!$E$2:$E$501,MATCH(B342,Productos!$A$2:$A$501,0)),0))</f>
        <v/>
      </c>
      <c r="H342" s="33">
        <f>IF(A342="","",MONTH(A342))</f>
        <v/>
      </c>
      <c r="I342" s="33">
        <f>IF(A342="","",YEAR(A342))</f>
        <v/>
      </c>
    </row>
    <row r="343" ht="15" customHeight="1" s="21">
      <c r="A343" s="34" t="n"/>
      <c r="B343" s="30" t="n"/>
      <c r="C343" s="30" t="n"/>
      <c r="D343" s="30" t="n"/>
      <c r="E343" s="33">
        <f>IF(B343="","",IFERROR(INDEX(Productos!$B$2:$B$501,MATCH(B343,Productos!$A$2:$A$501,0)),"¿Código?"))</f>
        <v/>
      </c>
      <c r="F343" s="32">
        <f>IF(C343&lt;&gt;"Venta","",D343*IFERROR(INDEX(Productos!$D$2:$D$501,MATCH(B343,Productos!$A$2:$A$501,0)),0))</f>
        <v/>
      </c>
      <c r="G343" s="32">
        <f>IF(C343&lt;&gt;"Venta","",D343*IFERROR(INDEX(Productos!$E$2:$E$501,MATCH(B343,Productos!$A$2:$A$501,0)),0))</f>
        <v/>
      </c>
      <c r="H343" s="33">
        <f>IF(A343="","",MONTH(A343))</f>
        <v/>
      </c>
      <c r="I343" s="33">
        <f>IF(A343="","",YEAR(A343))</f>
        <v/>
      </c>
    </row>
    <row r="344" ht="15" customHeight="1" s="21">
      <c r="A344" s="34" t="n"/>
      <c r="B344" s="30" t="n"/>
      <c r="C344" s="30" t="n"/>
      <c r="D344" s="30" t="n"/>
      <c r="E344" s="33">
        <f>IF(B344="","",IFERROR(INDEX(Productos!$B$2:$B$501,MATCH(B344,Productos!$A$2:$A$501,0)),"¿Código?"))</f>
        <v/>
      </c>
      <c r="F344" s="32">
        <f>IF(C344&lt;&gt;"Venta","",D344*IFERROR(INDEX(Productos!$D$2:$D$501,MATCH(B344,Productos!$A$2:$A$501,0)),0))</f>
        <v/>
      </c>
      <c r="G344" s="32">
        <f>IF(C344&lt;&gt;"Venta","",D344*IFERROR(INDEX(Productos!$E$2:$E$501,MATCH(B344,Productos!$A$2:$A$501,0)),0))</f>
        <v/>
      </c>
      <c r="H344" s="33">
        <f>IF(A344="","",MONTH(A344))</f>
        <v/>
      </c>
      <c r="I344" s="33">
        <f>IF(A344="","",YEAR(A344))</f>
        <v/>
      </c>
    </row>
    <row r="345" ht="15" customHeight="1" s="21">
      <c r="A345" s="34" t="n"/>
      <c r="B345" s="30" t="n"/>
      <c r="C345" s="30" t="n"/>
      <c r="D345" s="30" t="n"/>
      <c r="E345" s="33">
        <f>IF(B345="","",IFERROR(INDEX(Productos!$B$2:$B$501,MATCH(B345,Productos!$A$2:$A$501,0)),"¿Código?"))</f>
        <v/>
      </c>
      <c r="F345" s="32">
        <f>IF(C345&lt;&gt;"Venta","",D345*IFERROR(INDEX(Productos!$D$2:$D$501,MATCH(B345,Productos!$A$2:$A$501,0)),0))</f>
        <v/>
      </c>
      <c r="G345" s="32">
        <f>IF(C345&lt;&gt;"Venta","",D345*IFERROR(INDEX(Productos!$E$2:$E$501,MATCH(B345,Productos!$A$2:$A$501,0)),0))</f>
        <v/>
      </c>
      <c r="H345" s="33">
        <f>IF(A345="","",MONTH(A345))</f>
        <v/>
      </c>
      <c r="I345" s="33">
        <f>IF(A345="","",YEAR(A345))</f>
        <v/>
      </c>
    </row>
    <row r="346" ht="15" customHeight="1" s="21">
      <c r="A346" s="34" t="n"/>
      <c r="B346" s="30" t="n"/>
      <c r="C346" s="30" t="n"/>
      <c r="D346" s="30" t="n"/>
      <c r="E346" s="33">
        <f>IF(B346="","",IFERROR(INDEX(Productos!$B$2:$B$501,MATCH(B346,Productos!$A$2:$A$501,0)),"¿Código?"))</f>
        <v/>
      </c>
      <c r="F346" s="32">
        <f>IF(C346&lt;&gt;"Venta","",D346*IFERROR(INDEX(Productos!$D$2:$D$501,MATCH(B346,Productos!$A$2:$A$501,0)),0))</f>
        <v/>
      </c>
      <c r="G346" s="32">
        <f>IF(C346&lt;&gt;"Venta","",D346*IFERROR(INDEX(Productos!$E$2:$E$501,MATCH(B346,Productos!$A$2:$A$501,0)),0))</f>
        <v/>
      </c>
      <c r="H346" s="33">
        <f>IF(A346="","",MONTH(A346))</f>
        <v/>
      </c>
      <c r="I346" s="33">
        <f>IF(A346="","",YEAR(A346))</f>
        <v/>
      </c>
    </row>
    <row r="347" ht="15" customHeight="1" s="21">
      <c r="A347" s="34" t="n"/>
      <c r="B347" s="30" t="n"/>
      <c r="C347" s="30" t="n"/>
      <c r="D347" s="30" t="n"/>
      <c r="E347" s="33">
        <f>IF(B347="","",IFERROR(INDEX(Productos!$B$2:$B$501,MATCH(B347,Productos!$A$2:$A$501,0)),"¿Código?"))</f>
        <v/>
      </c>
      <c r="F347" s="32">
        <f>IF(C347&lt;&gt;"Venta","",D347*IFERROR(INDEX(Productos!$D$2:$D$501,MATCH(B347,Productos!$A$2:$A$501,0)),0))</f>
        <v/>
      </c>
      <c r="G347" s="32">
        <f>IF(C347&lt;&gt;"Venta","",D347*IFERROR(INDEX(Productos!$E$2:$E$501,MATCH(B347,Productos!$A$2:$A$501,0)),0))</f>
        <v/>
      </c>
      <c r="H347" s="33">
        <f>IF(A347="","",MONTH(A347))</f>
        <v/>
      </c>
      <c r="I347" s="33">
        <f>IF(A347="","",YEAR(A347))</f>
        <v/>
      </c>
    </row>
    <row r="348" ht="15" customHeight="1" s="21">
      <c r="A348" s="34" t="n"/>
      <c r="B348" s="30" t="n"/>
      <c r="C348" s="30" t="n"/>
      <c r="D348" s="30" t="n"/>
      <c r="E348" s="33">
        <f>IF(B348="","",IFERROR(INDEX(Productos!$B$2:$B$501,MATCH(B348,Productos!$A$2:$A$501,0)),"¿Código?"))</f>
        <v/>
      </c>
      <c r="F348" s="32">
        <f>IF(C348&lt;&gt;"Venta","",D348*IFERROR(INDEX(Productos!$D$2:$D$501,MATCH(B348,Productos!$A$2:$A$501,0)),0))</f>
        <v/>
      </c>
      <c r="G348" s="32">
        <f>IF(C348&lt;&gt;"Venta","",D348*IFERROR(INDEX(Productos!$E$2:$E$501,MATCH(B348,Productos!$A$2:$A$501,0)),0))</f>
        <v/>
      </c>
      <c r="H348" s="33">
        <f>IF(A348="","",MONTH(A348))</f>
        <v/>
      </c>
      <c r="I348" s="33">
        <f>IF(A348="","",YEAR(A348))</f>
        <v/>
      </c>
    </row>
    <row r="349" ht="15" customHeight="1" s="21">
      <c r="A349" s="34" t="n"/>
      <c r="B349" s="30" t="n"/>
      <c r="C349" s="30" t="n"/>
      <c r="D349" s="30" t="n"/>
      <c r="E349" s="33">
        <f>IF(B349="","",IFERROR(INDEX(Productos!$B$2:$B$501,MATCH(B349,Productos!$A$2:$A$501,0)),"¿Código?"))</f>
        <v/>
      </c>
      <c r="F349" s="32">
        <f>IF(C349&lt;&gt;"Venta","",D349*IFERROR(INDEX(Productos!$D$2:$D$501,MATCH(B349,Productos!$A$2:$A$501,0)),0))</f>
        <v/>
      </c>
      <c r="G349" s="32">
        <f>IF(C349&lt;&gt;"Venta","",D349*IFERROR(INDEX(Productos!$E$2:$E$501,MATCH(B349,Productos!$A$2:$A$501,0)),0))</f>
        <v/>
      </c>
      <c r="H349" s="33">
        <f>IF(A349="","",MONTH(A349))</f>
        <v/>
      </c>
      <c r="I349" s="33">
        <f>IF(A349="","",YEAR(A349))</f>
        <v/>
      </c>
    </row>
    <row r="350" ht="15" customHeight="1" s="21">
      <c r="A350" s="34" t="n"/>
      <c r="B350" s="30" t="n"/>
      <c r="C350" s="30" t="n"/>
      <c r="D350" s="30" t="n"/>
      <c r="E350" s="33">
        <f>IF(B350="","",IFERROR(INDEX(Productos!$B$2:$B$501,MATCH(B350,Productos!$A$2:$A$501,0)),"¿Código?"))</f>
        <v/>
      </c>
      <c r="F350" s="32">
        <f>IF(C350&lt;&gt;"Venta","",D350*IFERROR(INDEX(Productos!$D$2:$D$501,MATCH(B350,Productos!$A$2:$A$501,0)),0))</f>
        <v/>
      </c>
      <c r="G350" s="32">
        <f>IF(C350&lt;&gt;"Venta","",D350*IFERROR(INDEX(Productos!$E$2:$E$501,MATCH(B350,Productos!$A$2:$A$501,0)),0))</f>
        <v/>
      </c>
      <c r="H350" s="33">
        <f>IF(A350="","",MONTH(A350))</f>
        <v/>
      </c>
      <c r="I350" s="33">
        <f>IF(A350="","",YEAR(A350))</f>
        <v/>
      </c>
    </row>
    <row r="351" ht="15" customHeight="1" s="21">
      <c r="A351" s="34" t="n"/>
      <c r="B351" s="30" t="n"/>
      <c r="C351" s="30" t="n"/>
      <c r="D351" s="30" t="n"/>
      <c r="E351" s="33">
        <f>IF(B351="","",IFERROR(INDEX(Productos!$B$2:$B$501,MATCH(B351,Productos!$A$2:$A$501,0)),"¿Código?"))</f>
        <v/>
      </c>
      <c r="F351" s="32">
        <f>IF(C351&lt;&gt;"Venta","",D351*IFERROR(INDEX(Productos!$D$2:$D$501,MATCH(B351,Productos!$A$2:$A$501,0)),0))</f>
        <v/>
      </c>
      <c r="G351" s="32">
        <f>IF(C351&lt;&gt;"Venta","",D351*IFERROR(INDEX(Productos!$E$2:$E$501,MATCH(B351,Productos!$A$2:$A$501,0)),0))</f>
        <v/>
      </c>
      <c r="H351" s="33">
        <f>IF(A351="","",MONTH(A351))</f>
        <v/>
      </c>
      <c r="I351" s="33">
        <f>IF(A351="","",YEAR(A351))</f>
        <v/>
      </c>
    </row>
    <row r="352" ht="15" customHeight="1" s="21">
      <c r="A352" s="34" t="n"/>
      <c r="B352" s="30" t="n"/>
      <c r="C352" s="30" t="n"/>
      <c r="D352" s="30" t="n"/>
      <c r="E352" s="33">
        <f>IF(B352="","",IFERROR(INDEX(Productos!$B$2:$B$501,MATCH(B352,Productos!$A$2:$A$501,0)),"¿Código?"))</f>
        <v/>
      </c>
      <c r="F352" s="32">
        <f>IF(C352&lt;&gt;"Venta","",D352*IFERROR(INDEX(Productos!$D$2:$D$501,MATCH(B352,Productos!$A$2:$A$501,0)),0))</f>
        <v/>
      </c>
      <c r="G352" s="32">
        <f>IF(C352&lt;&gt;"Venta","",D352*IFERROR(INDEX(Productos!$E$2:$E$501,MATCH(B352,Productos!$A$2:$A$501,0)),0))</f>
        <v/>
      </c>
      <c r="H352" s="33">
        <f>IF(A352="","",MONTH(A352))</f>
        <v/>
      </c>
      <c r="I352" s="33">
        <f>IF(A352="","",YEAR(A352))</f>
        <v/>
      </c>
    </row>
    <row r="353" ht="15" customHeight="1" s="21">
      <c r="A353" s="34" t="n"/>
      <c r="B353" s="30" t="n"/>
      <c r="C353" s="30" t="n"/>
      <c r="D353" s="30" t="n"/>
      <c r="E353" s="33">
        <f>IF(B353="","",IFERROR(INDEX(Productos!$B$2:$B$501,MATCH(B353,Productos!$A$2:$A$501,0)),"¿Código?"))</f>
        <v/>
      </c>
      <c r="F353" s="32">
        <f>IF(C353&lt;&gt;"Venta","",D353*IFERROR(INDEX(Productos!$D$2:$D$501,MATCH(B353,Productos!$A$2:$A$501,0)),0))</f>
        <v/>
      </c>
      <c r="G353" s="32">
        <f>IF(C353&lt;&gt;"Venta","",D353*IFERROR(INDEX(Productos!$E$2:$E$501,MATCH(B353,Productos!$A$2:$A$501,0)),0))</f>
        <v/>
      </c>
      <c r="H353" s="33">
        <f>IF(A353="","",MONTH(A353))</f>
        <v/>
      </c>
      <c r="I353" s="33">
        <f>IF(A353="","",YEAR(A353))</f>
        <v/>
      </c>
    </row>
    <row r="354" ht="15" customHeight="1" s="21">
      <c r="A354" s="34" t="n"/>
      <c r="B354" s="30" t="n"/>
      <c r="C354" s="30" t="n"/>
      <c r="D354" s="30" t="n"/>
      <c r="E354" s="33">
        <f>IF(B354="","",IFERROR(INDEX(Productos!$B$2:$B$501,MATCH(B354,Productos!$A$2:$A$501,0)),"¿Código?"))</f>
        <v/>
      </c>
      <c r="F354" s="32">
        <f>IF(C354&lt;&gt;"Venta","",D354*IFERROR(INDEX(Productos!$D$2:$D$501,MATCH(B354,Productos!$A$2:$A$501,0)),0))</f>
        <v/>
      </c>
      <c r="G354" s="32">
        <f>IF(C354&lt;&gt;"Venta","",D354*IFERROR(INDEX(Productos!$E$2:$E$501,MATCH(B354,Productos!$A$2:$A$501,0)),0))</f>
        <v/>
      </c>
      <c r="H354" s="33">
        <f>IF(A354="","",MONTH(A354))</f>
        <v/>
      </c>
      <c r="I354" s="33">
        <f>IF(A354="","",YEAR(A354))</f>
        <v/>
      </c>
    </row>
    <row r="355" ht="15" customHeight="1" s="21">
      <c r="A355" s="34" t="n"/>
      <c r="B355" s="30" t="n"/>
      <c r="C355" s="30" t="n"/>
      <c r="D355" s="30" t="n"/>
      <c r="E355" s="33">
        <f>IF(B355="","",IFERROR(INDEX(Productos!$B$2:$B$501,MATCH(B355,Productos!$A$2:$A$501,0)),"¿Código?"))</f>
        <v/>
      </c>
      <c r="F355" s="32">
        <f>IF(C355&lt;&gt;"Venta","",D355*IFERROR(INDEX(Productos!$D$2:$D$501,MATCH(B355,Productos!$A$2:$A$501,0)),0))</f>
        <v/>
      </c>
      <c r="G355" s="32">
        <f>IF(C355&lt;&gt;"Venta","",D355*IFERROR(INDEX(Productos!$E$2:$E$501,MATCH(B355,Productos!$A$2:$A$501,0)),0))</f>
        <v/>
      </c>
      <c r="H355" s="33">
        <f>IF(A355="","",MONTH(A355))</f>
        <v/>
      </c>
      <c r="I355" s="33">
        <f>IF(A355="","",YEAR(A355))</f>
        <v/>
      </c>
    </row>
    <row r="356" ht="15" customHeight="1" s="21">
      <c r="A356" s="34" t="n"/>
      <c r="B356" s="30" t="n"/>
      <c r="C356" s="30" t="n"/>
      <c r="D356" s="30" t="n"/>
      <c r="E356" s="33">
        <f>IF(B356="","",IFERROR(INDEX(Productos!$B$2:$B$501,MATCH(B356,Productos!$A$2:$A$501,0)),"¿Código?"))</f>
        <v/>
      </c>
      <c r="F356" s="32">
        <f>IF(C356&lt;&gt;"Venta","",D356*IFERROR(INDEX(Productos!$D$2:$D$501,MATCH(B356,Productos!$A$2:$A$501,0)),0))</f>
        <v/>
      </c>
      <c r="G356" s="32">
        <f>IF(C356&lt;&gt;"Venta","",D356*IFERROR(INDEX(Productos!$E$2:$E$501,MATCH(B356,Productos!$A$2:$A$501,0)),0))</f>
        <v/>
      </c>
      <c r="H356" s="33">
        <f>IF(A356="","",MONTH(A356))</f>
        <v/>
      </c>
      <c r="I356" s="33">
        <f>IF(A356="","",YEAR(A356))</f>
        <v/>
      </c>
    </row>
    <row r="357" ht="15" customHeight="1" s="21">
      <c r="A357" s="34" t="n"/>
      <c r="B357" s="30" t="n"/>
      <c r="C357" s="30" t="n"/>
      <c r="D357" s="30" t="n"/>
      <c r="E357" s="33">
        <f>IF(B357="","",IFERROR(INDEX(Productos!$B$2:$B$501,MATCH(B357,Productos!$A$2:$A$501,0)),"¿Código?"))</f>
        <v/>
      </c>
      <c r="F357" s="32">
        <f>IF(C357&lt;&gt;"Venta","",D357*IFERROR(INDEX(Productos!$D$2:$D$501,MATCH(B357,Productos!$A$2:$A$501,0)),0))</f>
        <v/>
      </c>
      <c r="G357" s="32">
        <f>IF(C357&lt;&gt;"Venta","",D357*IFERROR(INDEX(Productos!$E$2:$E$501,MATCH(B357,Productos!$A$2:$A$501,0)),0))</f>
        <v/>
      </c>
      <c r="H357" s="33">
        <f>IF(A357="","",MONTH(A357))</f>
        <v/>
      </c>
      <c r="I357" s="33">
        <f>IF(A357="","",YEAR(A357))</f>
        <v/>
      </c>
    </row>
    <row r="358" ht="15" customHeight="1" s="21">
      <c r="A358" s="34" t="n"/>
      <c r="B358" s="30" t="n"/>
      <c r="C358" s="30" t="n"/>
      <c r="D358" s="30" t="n"/>
      <c r="E358" s="33">
        <f>IF(B358="","",IFERROR(INDEX(Productos!$B$2:$B$501,MATCH(B358,Productos!$A$2:$A$501,0)),"¿Código?"))</f>
        <v/>
      </c>
      <c r="F358" s="32">
        <f>IF(C358&lt;&gt;"Venta","",D358*IFERROR(INDEX(Productos!$D$2:$D$501,MATCH(B358,Productos!$A$2:$A$501,0)),0))</f>
        <v/>
      </c>
      <c r="G358" s="32">
        <f>IF(C358&lt;&gt;"Venta","",D358*IFERROR(INDEX(Productos!$E$2:$E$501,MATCH(B358,Productos!$A$2:$A$501,0)),0))</f>
        <v/>
      </c>
      <c r="H358" s="33">
        <f>IF(A358="","",MONTH(A358))</f>
        <v/>
      </c>
      <c r="I358" s="33">
        <f>IF(A358="","",YEAR(A358))</f>
        <v/>
      </c>
    </row>
    <row r="359" ht="15" customHeight="1" s="21">
      <c r="A359" s="34" t="n"/>
      <c r="B359" s="30" t="n"/>
      <c r="C359" s="30" t="n"/>
      <c r="D359" s="30" t="n"/>
      <c r="E359" s="33">
        <f>IF(B359="","",IFERROR(INDEX(Productos!$B$2:$B$501,MATCH(B359,Productos!$A$2:$A$501,0)),"¿Código?"))</f>
        <v/>
      </c>
      <c r="F359" s="32">
        <f>IF(C359&lt;&gt;"Venta","",D359*IFERROR(INDEX(Productos!$D$2:$D$501,MATCH(B359,Productos!$A$2:$A$501,0)),0))</f>
        <v/>
      </c>
      <c r="G359" s="32">
        <f>IF(C359&lt;&gt;"Venta","",D359*IFERROR(INDEX(Productos!$E$2:$E$501,MATCH(B359,Productos!$A$2:$A$501,0)),0))</f>
        <v/>
      </c>
      <c r="H359" s="33">
        <f>IF(A359="","",MONTH(A359))</f>
        <v/>
      </c>
      <c r="I359" s="33">
        <f>IF(A359="","",YEAR(A359))</f>
        <v/>
      </c>
    </row>
    <row r="360" ht="15" customHeight="1" s="21">
      <c r="A360" s="34" t="n"/>
      <c r="B360" s="30" t="n"/>
      <c r="C360" s="30" t="n"/>
      <c r="D360" s="30" t="n"/>
      <c r="E360" s="33">
        <f>IF(B360="","",IFERROR(INDEX(Productos!$B$2:$B$501,MATCH(B360,Productos!$A$2:$A$501,0)),"¿Código?"))</f>
        <v/>
      </c>
      <c r="F360" s="32">
        <f>IF(C360&lt;&gt;"Venta","",D360*IFERROR(INDEX(Productos!$D$2:$D$501,MATCH(B360,Productos!$A$2:$A$501,0)),0))</f>
        <v/>
      </c>
      <c r="G360" s="32">
        <f>IF(C360&lt;&gt;"Venta","",D360*IFERROR(INDEX(Productos!$E$2:$E$501,MATCH(B360,Productos!$A$2:$A$501,0)),0))</f>
        <v/>
      </c>
      <c r="H360" s="33">
        <f>IF(A360="","",MONTH(A360))</f>
        <v/>
      </c>
      <c r="I360" s="33">
        <f>IF(A360="","",YEAR(A360))</f>
        <v/>
      </c>
    </row>
    <row r="361" ht="15" customHeight="1" s="21">
      <c r="A361" s="34" t="n"/>
      <c r="B361" s="30" t="n"/>
      <c r="C361" s="30" t="n"/>
      <c r="D361" s="30" t="n"/>
      <c r="E361" s="33">
        <f>IF(B361="","",IFERROR(INDEX(Productos!$B$2:$B$501,MATCH(B361,Productos!$A$2:$A$501,0)),"¿Código?"))</f>
        <v/>
      </c>
      <c r="F361" s="32">
        <f>IF(C361&lt;&gt;"Venta","",D361*IFERROR(INDEX(Productos!$D$2:$D$501,MATCH(B361,Productos!$A$2:$A$501,0)),0))</f>
        <v/>
      </c>
      <c r="G361" s="32">
        <f>IF(C361&lt;&gt;"Venta","",D361*IFERROR(INDEX(Productos!$E$2:$E$501,MATCH(B361,Productos!$A$2:$A$501,0)),0))</f>
        <v/>
      </c>
      <c r="H361" s="33">
        <f>IF(A361="","",MONTH(A361))</f>
        <v/>
      </c>
      <c r="I361" s="33">
        <f>IF(A361="","",YEAR(A361))</f>
        <v/>
      </c>
    </row>
    <row r="362" ht="15" customHeight="1" s="21">
      <c r="A362" s="34" t="n"/>
      <c r="B362" s="30" t="n"/>
      <c r="C362" s="30" t="n"/>
      <c r="D362" s="30" t="n"/>
      <c r="E362" s="33">
        <f>IF(B362="","",IFERROR(INDEX(Productos!$B$2:$B$501,MATCH(B362,Productos!$A$2:$A$501,0)),"¿Código?"))</f>
        <v/>
      </c>
      <c r="F362" s="32">
        <f>IF(C362&lt;&gt;"Venta","",D362*IFERROR(INDEX(Productos!$D$2:$D$501,MATCH(B362,Productos!$A$2:$A$501,0)),0))</f>
        <v/>
      </c>
      <c r="G362" s="32">
        <f>IF(C362&lt;&gt;"Venta","",D362*IFERROR(INDEX(Productos!$E$2:$E$501,MATCH(B362,Productos!$A$2:$A$501,0)),0))</f>
        <v/>
      </c>
      <c r="H362" s="33">
        <f>IF(A362="","",MONTH(A362))</f>
        <v/>
      </c>
      <c r="I362" s="33">
        <f>IF(A362="","",YEAR(A362))</f>
        <v/>
      </c>
    </row>
    <row r="363" ht="15" customHeight="1" s="21">
      <c r="A363" s="34" t="n"/>
      <c r="B363" s="30" t="n"/>
      <c r="C363" s="30" t="n"/>
      <c r="D363" s="30" t="n"/>
      <c r="E363" s="33">
        <f>IF(B363="","",IFERROR(INDEX(Productos!$B$2:$B$501,MATCH(B363,Productos!$A$2:$A$501,0)),"¿Código?"))</f>
        <v/>
      </c>
      <c r="F363" s="32">
        <f>IF(C363&lt;&gt;"Venta","",D363*IFERROR(INDEX(Productos!$D$2:$D$501,MATCH(B363,Productos!$A$2:$A$501,0)),0))</f>
        <v/>
      </c>
      <c r="G363" s="32">
        <f>IF(C363&lt;&gt;"Venta","",D363*IFERROR(INDEX(Productos!$E$2:$E$501,MATCH(B363,Productos!$A$2:$A$501,0)),0))</f>
        <v/>
      </c>
      <c r="H363" s="33">
        <f>IF(A363="","",MONTH(A363))</f>
        <v/>
      </c>
      <c r="I363" s="33">
        <f>IF(A363="","",YEAR(A363))</f>
        <v/>
      </c>
    </row>
    <row r="364" ht="15" customHeight="1" s="21">
      <c r="A364" s="34" t="n"/>
      <c r="B364" s="30" t="n"/>
      <c r="C364" s="30" t="n"/>
      <c r="D364" s="30" t="n"/>
      <c r="E364" s="33">
        <f>IF(B364="","",IFERROR(INDEX(Productos!$B$2:$B$501,MATCH(B364,Productos!$A$2:$A$501,0)),"¿Código?"))</f>
        <v/>
      </c>
      <c r="F364" s="32">
        <f>IF(C364&lt;&gt;"Venta","",D364*IFERROR(INDEX(Productos!$D$2:$D$501,MATCH(B364,Productos!$A$2:$A$501,0)),0))</f>
        <v/>
      </c>
      <c r="G364" s="32">
        <f>IF(C364&lt;&gt;"Venta","",D364*IFERROR(INDEX(Productos!$E$2:$E$501,MATCH(B364,Productos!$A$2:$A$501,0)),0))</f>
        <v/>
      </c>
      <c r="H364" s="33">
        <f>IF(A364="","",MONTH(A364))</f>
        <v/>
      </c>
      <c r="I364" s="33">
        <f>IF(A364="","",YEAR(A364))</f>
        <v/>
      </c>
    </row>
    <row r="365" ht="15" customHeight="1" s="21">
      <c r="A365" s="34" t="n"/>
      <c r="B365" s="30" t="n"/>
      <c r="C365" s="30" t="n"/>
      <c r="D365" s="30" t="n"/>
      <c r="E365" s="33">
        <f>IF(B365="","",IFERROR(INDEX(Productos!$B$2:$B$501,MATCH(B365,Productos!$A$2:$A$501,0)),"¿Código?"))</f>
        <v/>
      </c>
      <c r="F365" s="32">
        <f>IF(C365&lt;&gt;"Venta","",D365*IFERROR(INDEX(Productos!$D$2:$D$501,MATCH(B365,Productos!$A$2:$A$501,0)),0))</f>
        <v/>
      </c>
      <c r="G365" s="32">
        <f>IF(C365&lt;&gt;"Venta","",D365*IFERROR(INDEX(Productos!$E$2:$E$501,MATCH(B365,Productos!$A$2:$A$501,0)),0))</f>
        <v/>
      </c>
      <c r="H365" s="33">
        <f>IF(A365="","",MONTH(A365))</f>
        <v/>
      </c>
      <c r="I365" s="33">
        <f>IF(A365="","",YEAR(A365))</f>
        <v/>
      </c>
    </row>
    <row r="366" ht="15" customHeight="1" s="21">
      <c r="A366" s="34" t="n"/>
      <c r="B366" s="30" t="n"/>
      <c r="C366" s="30" t="n"/>
      <c r="D366" s="30" t="n"/>
      <c r="E366" s="33">
        <f>IF(B366="","",IFERROR(INDEX(Productos!$B$2:$B$501,MATCH(B366,Productos!$A$2:$A$501,0)),"¿Código?"))</f>
        <v/>
      </c>
      <c r="F366" s="32">
        <f>IF(C366&lt;&gt;"Venta","",D366*IFERROR(INDEX(Productos!$D$2:$D$501,MATCH(B366,Productos!$A$2:$A$501,0)),0))</f>
        <v/>
      </c>
      <c r="G366" s="32">
        <f>IF(C366&lt;&gt;"Venta","",D366*IFERROR(INDEX(Productos!$E$2:$E$501,MATCH(B366,Productos!$A$2:$A$501,0)),0))</f>
        <v/>
      </c>
      <c r="H366" s="33">
        <f>IF(A366="","",MONTH(A366))</f>
        <v/>
      </c>
      <c r="I366" s="33">
        <f>IF(A366="","",YEAR(A366))</f>
        <v/>
      </c>
    </row>
    <row r="367" ht="15" customHeight="1" s="21">
      <c r="A367" s="34" t="n"/>
      <c r="B367" s="30" t="n"/>
      <c r="C367" s="30" t="n"/>
      <c r="D367" s="30" t="n"/>
      <c r="E367" s="33">
        <f>IF(B367="","",IFERROR(INDEX(Productos!$B$2:$B$501,MATCH(B367,Productos!$A$2:$A$501,0)),"¿Código?"))</f>
        <v/>
      </c>
      <c r="F367" s="32">
        <f>IF(C367&lt;&gt;"Venta","",D367*IFERROR(INDEX(Productos!$D$2:$D$501,MATCH(B367,Productos!$A$2:$A$501,0)),0))</f>
        <v/>
      </c>
      <c r="G367" s="32">
        <f>IF(C367&lt;&gt;"Venta","",D367*IFERROR(INDEX(Productos!$E$2:$E$501,MATCH(B367,Productos!$A$2:$A$501,0)),0))</f>
        <v/>
      </c>
      <c r="H367" s="33">
        <f>IF(A367="","",MONTH(A367))</f>
        <v/>
      </c>
      <c r="I367" s="33">
        <f>IF(A367="","",YEAR(A367))</f>
        <v/>
      </c>
    </row>
    <row r="368" ht="15" customHeight="1" s="21">
      <c r="A368" s="34" t="n"/>
      <c r="B368" s="30" t="n"/>
      <c r="C368" s="30" t="n"/>
      <c r="D368" s="30" t="n"/>
      <c r="E368" s="33">
        <f>IF(B368="","",IFERROR(INDEX(Productos!$B$2:$B$501,MATCH(B368,Productos!$A$2:$A$501,0)),"¿Código?"))</f>
        <v/>
      </c>
      <c r="F368" s="32">
        <f>IF(C368&lt;&gt;"Venta","",D368*IFERROR(INDEX(Productos!$D$2:$D$501,MATCH(B368,Productos!$A$2:$A$501,0)),0))</f>
        <v/>
      </c>
      <c r="G368" s="32">
        <f>IF(C368&lt;&gt;"Venta","",D368*IFERROR(INDEX(Productos!$E$2:$E$501,MATCH(B368,Productos!$A$2:$A$501,0)),0))</f>
        <v/>
      </c>
      <c r="H368" s="33">
        <f>IF(A368="","",MONTH(A368))</f>
        <v/>
      </c>
      <c r="I368" s="33">
        <f>IF(A368="","",YEAR(A368))</f>
        <v/>
      </c>
    </row>
    <row r="369" ht="15" customHeight="1" s="21">
      <c r="A369" s="34" t="n"/>
      <c r="B369" s="30" t="n"/>
      <c r="C369" s="30" t="n"/>
      <c r="D369" s="30" t="n"/>
      <c r="E369" s="33">
        <f>IF(B369="","",IFERROR(INDEX(Productos!$B$2:$B$501,MATCH(B369,Productos!$A$2:$A$501,0)),"¿Código?"))</f>
        <v/>
      </c>
      <c r="F369" s="32">
        <f>IF(C369&lt;&gt;"Venta","",D369*IFERROR(INDEX(Productos!$D$2:$D$501,MATCH(B369,Productos!$A$2:$A$501,0)),0))</f>
        <v/>
      </c>
      <c r="G369" s="32">
        <f>IF(C369&lt;&gt;"Venta","",D369*IFERROR(INDEX(Productos!$E$2:$E$501,MATCH(B369,Productos!$A$2:$A$501,0)),0))</f>
        <v/>
      </c>
      <c r="H369" s="33">
        <f>IF(A369="","",MONTH(A369))</f>
        <v/>
      </c>
      <c r="I369" s="33">
        <f>IF(A369="","",YEAR(A369))</f>
        <v/>
      </c>
    </row>
    <row r="370" ht="15" customHeight="1" s="21">
      <c r="A370" s="34" t="n"/>
      <c r="B370" s="30" t="n"/>
      <c r="C370" s="30" t="n"/>
      <c r="D370" s="30" t="n"/>
      <c r="E370" s="33">
        <f>IF(B370="","",IFERROR(INDEX(Productos!$B$2:$B$501,MATCH(B370,Productos!$A$2:$A$501,0)),"¿Código?"))</f>
        <v/>
      </c>
      <c r="F370" s="32">
        <f>IF(C370&lt;&gt;"Venta","",D370*IFERROR(INDEX(Productos!$D$2:$D$501,MATCH(B370,Productos!$A$2:$A$501,0)),0))</f>
        <v/>
      </c>
      <c r="G370" s="32">
        <f>IF(C370&lt;&gt;"Venta","",D370*IFERROR(INDEX(Productos!$E$2:$E$501,MATCH(B370,Productos!$A$2:$A$501,0)),0))</f>
        <v/>
      </c>
      <c r="H370" s="33">
        <f>IF(A370="","",MONTH(A370))</f>
        <v/>
      </c>
      <c r="I370" s="33">
        <f>IF(A370="","",YEAR(A370))</f>
        <v/>
      </c>
    </row>
    <row r="371" ht="15" customHeight="1" s="21">
      <c r="A371" s="34" t="n"/>
      <c r="B371" s="30" t="n"/>
      <c r="C371" s="30" t="n"/>
      <c r="D371" s="30" t="n"/>
      <c r="E371" s="33">
        <f>IF(B371="","",IFERROR(INDEX(Productos!$B$2:$B$501,MATCH(B371,Productos!$A$2:$A$501,0)),"¿Código?"))</f>
        <v/>
      </c>
      <c r="F371" s="32">
        <f>IF(C371&lt;&gt;"Venta","",D371*IFERROR(INDEX(Productos!$D$2:$D$501,MATCH(B371,Productos!$A$2:$A$501,0)),0))</f>
        <v/>
      </c>
      <c r="G371" s="32">
        <f>IF(C371&lt;&gt;"Venta","",D371*IFERROR(INDEX(Productos!$E$2:$E$501,MATCH(B371,Productos!$A$2:$A$501,0)),0))</f>
        <v/>
      </c>
      <c r="H371" s="33">
        <f>IF(A371="","",MONTH(A371))</f>
        <v/>
      </c>
      <c r="I371" s="33">
        <f>IF(A371="","",YEAR(A371))</f>
        <v/>
      </c>
    </row>
    <row r="372" ht="15" customHeight="1" s="21">
      <c r="A372" s="34" t="n"/>
      <c r="B372" s="30" t="n"/>
      <c r="C372" s="30" t="n"/>
      <c r="D372" s="30" t="n"/>
      <c r="E372" s="33">
        <f>IF(B372="","",IFERROR(INDEX(Productos!$B$2:$B$501,MATCH(B372,Productos!$A$2:$A$501,0)),"¿Código?"))</f>
        <v/>
      </c>
      <c r="F372" s="32">
        <f>IF(C372&lt;&gt;"Venta","",D372*IFERROR(INDEX(Productos!$D$2:$D$501,MATCH(B372,Productos!$A$2:$A$501,0)),0))</f>
        <v/>
      </c>
      <c r="G372" s="32">
        <f>IF(C372&lt;&gt;"Venta","",D372*IFERROR(INDEX(Productos!$E$2:$E$501,MATCH(B372,Productos!$A$2:$A$501,0)),0))</f>
        <v/>
      </c>
      <c r="H372" s="33">
        <f>IF(A372="","",MONTH(A372))</f>
        <v/>
      </c>
      <c r="I372" s="33">
        <f>IF(A372="","",YEAR(A372))</f>
        <v/>
      </c>
    </row>
    <row r="373" ht="15" customHeight="1" s="21">
      <c r="A373" s="34" t="n"/>
      <c r="B373" s="30" t="n"/>
      <c r="C373" s="30" t="n"/>
      <c r="D373" s="30" t="n"/>
      <c r="E373" s="33">
        <f>IF(B373="","",IFERROR(INDEX(Productos!$B$2:$B$501,MATCH(B373,Productos!$A$2:$A$501,0)),"¿Código?"))</f>
        <v/>
      </c>
      <c r="F373" s="32">
        <f>IF(C373&lt;&gt;"Venta","",D373*IFERROR(INDEX(Productos!$D$2:$D$501,MATCH(B373,Productos!$A$2:$A$501,0)),0))</f>
        <v/>
      </c>
      <c r="G373" s="32">
        <f>IF(C373&lt;&gt;"Venta","",D373*IFERROR(INDEX(Productos!$E$2:$E$501,MATCH(B373,Productos!$A$2:$A$501,0)),0))</f>
        <v/>
      </c>
      <c r="H373" s="33">
        <f>IF(A373="","",MONTH(A373))</f>
        <v/>
      </c>
      <c r="I373" s="33">
        <f>IF(A373="","",YEAR(A373))</f>
        <v/>
      </c>
    </row>
    <row r="374" ht="15" customHeight="1" s="21">
      <c r="A374" s="34" t="n"/>
      <c r="B374" s="30" t="n"/>
      <c r="C374" s="30" t="n"/>
      <c r="D374" s="30" t="n"/>
      <c r="E374" s="33">
        <f>IF(B374="","",IFERROR(INDEX(Productos!$B$2:$B$501,MATCH(B374,Productos!$A$2:$A$501,0)),"¿Código?"))</f>
        <v/>
      </c>
      <c r="F374" s="32">
        <f>IF(C374&lt;&gt;"Venta","",D374*IFERROR(INDEX(Productos!$D$2:$D$501,MATCH(B374,Productos!$A$2:$A$501,0)),0))</f>
        <v/>
      </c>
      <c r="G374" s="32">
        <f>IF(C374&lt;&gt;"Venta","",D374*IFERROR(INDEX(Productos!$E$2:$E$501,MATCH(B374,Productos!$A$2:$A$501,0)),0))</f>
        <v/>
      </c>
      <c r="H374" s="33">
        <f>IF(A374="","",MONTH(A374))</f>
        <v/>
      </c>
      <c r="I374" s="33">
        <f>IF(A374="","",YEAR(A374))</f>
        <v/>
      </c>
    </row>
    <row r="375" ht="15" customHeight="1" s="21">
      <c r="A375" s="34" t="n"/>
      <c r="B375" s="30" t="n"/>
      <c r="C375" s="30" t="n"/>
      <c r="D375" s="30" t="n"/>
      <c r="E375" s="33">
        <f>IF(B375="","",IFERROR(INDEX(Productos!$B$2:$B$501,MATCH(B375,Productos!$A$2:$A$501,0)),"¿Código?"))</f>
        <v/>
      </c>
      <c r="F375" s="32">
        <f>IF(C375&lt;&gt;"Venta","",D375*IFERROR(INDEX(Productos!$D$2:$D$501,MATCH(B375,Productos!$A$2:$A$501,0)),0))</f>
        <v/>
      </c>
      <c r="G375" s="32">
        <f>IF(C375&lt;&gt;"Venta","",D375*IFERROR(INDEX(Productos!$E$2:$E$501,MATCH(B375,Productos!$A$2:$A$501,0)),0))</f>
        <v/>
      </c>
      <c r="H375" s="33">
        <f>IF(A375="","",MONTH(A375))</f>
        <v/>
      </c>
      <c r="I375" s="33">
        <f>IF(A375="","",YEAR(A375))</f>
        <v/>
      </c>
    </row>
    <row r="376" ht="15" customHeight="1" s="21">
      <c r="A376" s="34" t="n"/>
      <c r="B376" s="30" t="n"/>
      <c r="C376" s="30" t="n"/>
      <c r="D376" s="30" t="n"/>
      <c r="E376" s="33">
        <f>IF(B376="","",IFERROR(INDEX(Productos!$B$2:$B$501,MATCH(B376,Productos!$A$2:$A$501,0)),"¿Código?"))</f>
        <v/>
      </c>
      <c r="F376" s="32">
        <f>IF(C376&lt;&gt;"Venta","",D376*IFERROR(INDEX(Productos!$D$2:$D$501,MATCH(B376,Productos!$A$2:$A$501,0)),0))</f>
        <v/>
      </c>
      <c r="G376" s="32">
        <f>IF(C376&lt;&gt;"Venta","",D376*IFERROR(INDEX(Productos!$E$2:$E$501,MATCH(B376,Productos!$A$2:$A$501,0)),0))</f>
        <v/>
      </c>
      <c r="H376" s="33">
        <f>IF(A376="","",MONTH(A376))</f>
        <v/>
      </c>
      <c r="I376" s="33">
        <f>IF(A376="","",YEAR(A376))</f>
        <v/>
      </c>
    </row>
    <row r="377" ht="15" customHeight="1" s="21">
      <c r="A377" s="34" t="n"/>
      <c r="B377" s="30" t="n"/>
      <c r="C377" s="30" t="n"/>
      <c r="D377" s="30" t="n"/>
      <c r="E377" s="33">
        <f>IF(B377="","",IFERROR(INDEX(Productos!$B$2:$B$501,MATCH(B377,Productos!$A$2:$A$501,0)),"¿Código?"))</f>
        <v/>
      </c>
      <c r="F377" s="32">
        <f>IF(C377&lt;&gt;"Venta","",D377*IFERROR(INDEX(Productos!$D$2:$D$501,MATCH(B377,Productos!$A$2:$A$501,0)),0))</f>
        <v/>
      </c>
      <c r="G377" s="32">
        <f>IF(C377&lt;&gt;"Venta","",D377*IFERROR(INDEX(Productos!$E$2:$E$501,MATCH(B377,Productos!$A$2:$A$501,0)),0))</f>
        <v/>
      </c>
      <c r="H377" s="33">
        <f>IF(A377="","",MONTH(A377))</f>
        <v/>
      </c>
      <c r="I377" s="33">
        <f>IF(A377="","",YEAR(A377))</f>
        <v/>
      </c>
    </row>
    <row r="378" ht="15" customHeight="1" s="21">
      <c r="A378" s="34" t="n"/>
      <c r="B378" s="30" t="n"/>
      <c r="C378" s="30" t="n"/>
      <c r="D378" s="30" t="n"/>
      <c r="E378" s="33">
        <f>IF(B378="","",IFERROR(INDEX(Productos!$B$2:$B$501,MATCH(B378,Productos!$A$2:$A$501,0)),"¿Código?"))</f>
        <v/>
      </c>
      <c r="F378" s="32">
        <f>IF(C378&lt;&gt;"Venta","",D378*IFERROR(INDEX(Productos!$D$2:$D$501,MATCH(B378,Productos!$A$2:$A$501,0)),0))</f>
        <v/>
      </c>
      <c r="G378" s="32">
        <f>IF(C378&lt;&gt;"Venta","",D378*IFERROR(INDEX(Productos!$E$2:$E$501,MATCH(B378,Productos!$A$2:$A$501,0)),0))</f>
        <v/>
      </c>
      <c r="H378" s="33">
        <f>IF(A378="","",MONTH(A378))</f>
        <v/>
      </c>
      <c r="I378" s="33">
        <f>IF(A378="","",YEAR(A378))</f>
        <v/>
      </c>
    </row>
    <row r="379" ht="15" customHeight="1" s="21">
      <c r="A379" s="34" t="n"/>
      <c r="B379" s="30" t="n"/>
      <c r="C379" s="30" t="n"/>
      <c r="D379" s="30" t="n"/>
      <c r="E379" s="33">
        <f>IF(B379="","",IFERROR(INDEX(Productos!$B$2:$B$501,MATCH(B379,Productos!$A$2:$A$501,0)),"¿Código?"))</f>
        <v/>
      </c>
      <c r="F379" s="32">
        <f>IF(C379&lt;&gt;"Venta","",D379*IFERROR(INDEX(Productos!$D$2:$D$501,MATCH(B379,Productos!$A$2:$A$501,0)),0))</f>
        <v/>
      </c>
      <c r="G379" s="32">
        <f>IF(C379&lt;&gt;"Venta","",D379*IFERROR(INDEX(Productos!$E$2:$E$501,MATCH(B379,Productos!$A$2:$A$501,0)),0))</f>
        <v/>
      </c>
      <c r="H379" s="33">
        <f>IF(A379="","",MONTH(A379))</f>
        <v/>
      </c>
      <c r="I379" s="33">
        <f>IF(A379="","",YEAR(A379))</f>
        <v/>
      </c>
    </row>
    <row r="380" ht="15" customHeight="1" s="21">
      <c r="A380" s="34" t="n"/>
      <c r="B380" s="30" t="n"/>
      <c r="C380" s="30" t="n"/>
      <c r="D380" s="30" t="n"/>
      <c r="E380" s="33">
        <f>IF(B380="","",IFERROR(INDEX(Productos!$B$2:$B$501,MATCH(B380,Productos!$A$2:$A$501,0)),"¿Código?"))</f>
        <v/>
      </c>
      <c r="F380" s="32">
        <f>IF(C380&lt;&gt;"Venta","",D380*IFERROR(INDEX(Productos!$D$2:$D$501,MATCH(B380,Productos!$A$2:$A$501,0)),0))</f>
        <v/>
      </c>
      <c r="G380" s="32">
        <f>IF(C380&lt;&gt;"Venta","",D380*IFERROR(INDEX(Productos!$E$2:$E$501,MATCH(B380,Productos!$A$2:$A$501,0)),0))</f>
        <v/>
      </c>
      <c r="H380" s="33">
        <f>IF(A380="","",MONTH(A380))</f>
        <v/>
      </c>
      <c r="I380" s="33">
        <f>IF(A380="","",YEAR(A380))</f>
        <v/>
      </c>
    </row>
    <row r="381" ht="15" customHeight="1" s="21">
      <c r="A381" s="34" t="n"/>
      <c r="B381" s="30" t="n"/>
      <c r="C381" s="30" t="n"/>
      <c r="D381" s="30" t="n"/>
      <c r="E381" s="33">
        <f>IF(B381="","",IFERROR(INDEX(Productos!$B$2:$B$501,MATCH(B381,Productos!$A$2:$A$501,0)),"¿Código?"))</f>
        <v/>
      </c>
      <c r="F381" s="32">
        <f>IF(C381&lt;&gt;"Venta","",D381*IFERROR(INDEX(Productos!$D$2:$D$501,MATCH(B381,Productos!$A$2:$A$501,0)),0))</f>
        <v/>
      </c>
      <c r="G381" s="32">
        <f>IF(C381&lt;&gt;"Venta","",D381*IFERROR(INDEX(Productos!$E$2:$E$501,MATCH(B381,Productos!$A$2:$A$501,0)),0))</f>
        <v/>
      </c>
      <c r="H381" s="33">
        <f>IF(A381="","",MONTH(A381))</f>
        <v/>
      </c>
      <c r="I381" s="33">
        <f>IF(A381="","",YEAR(A381))</f>
        <v/>
      </c>
    </row>
    <row r="382" ht="15" customHeight="1" s="21">
      <c r="A382" s="34" t="n"/>
      <c r="B382" s="30" t="n"/>
      <c r="C382" s="30" t="n"/>
      <c r="D382" s="30" t="n"/>
      <c r="E382" s="33">
        <f>IF(B382="","",IFERROR(INDEX(Productos!$B$2:$B$501,MATCH(B382,Productos!$A$2:$A$501,0)),"¿Código?"))</f>
        <v/>
      </c>
      <c r="F382" s="32">
        <f>IF(C382&lt;&gt;"Venta","",D382*IFERROR(INDEX(Productos!$D$2:$D$501,MATCH(B382,Productos!$A$2:$A$501,0)),0))</f>
        <v/>
      </c>
      <c r="G382" s="32">
        <f>IF(C382&lt;&gt;"Venta","",D382*IFERROR(INDEX(Productos!$E$2:$E$501,MATCH(B382,Productos!$A$2:$A$501,0)),0))</f>
        <v/>
      </c>
      <c r="H382" s="33">
        <f>IF(A382="","",MONTH(A382))</f>
        <v/>
      </c>
      <c r="I382" s="33">
        <f>IF(A382="","",YEAR(A382))</f>
        <v/>
      </c>
    </row>
    <row r="383" ht="15" customHeight="1" s="21">
      <c r="A383" s="34" t="n"/>
      <c r="B383" s="30" t="n"/>
      <c r="C383" s="30" t="n"/>
      <c r="D383" s="30" t="n"/>
      <c r="E383" s="33">
        <f>IF(B383="","",IFERROR(INDEX(Productos!$B$2:$B$501,MATCH(B383,Productos!$A$2:$A$501,0)),"¿Código?"))</f>
        <v/>
      </c>
      <c r="F383" s="32">
        <f>IF(C383&lt;&gt;"Venta","",D383*IFERROR(INDEX(Productos!$D$2:$D$501,MATCH(B383,Productos!$A$2:$A$501,0)),0))</f>
        <v/>
      </c>
      <c r="G383" s="32">
        <f>IF(C383&lt;&gt;"Venta","",D383*IFERROR(INDEX(Productos!$E$2:$E$501,MATCH(B383,Productos!$A$2:$A$501,0)),0))</f>
        <v/>
      </c>
      <c r="H383" s="33">
        <f>IF(A383="","",MONTH(A383))</f>
        <v/>
      </c>
      <c r="I383" s="33">
        <f>IF(A383="","",YEAR(A383))</f>
        <v/>
      </c>
    </row>
    <row r="384" ht="15" customHeight="1" s="21">
      <c r="A384" s="34" t="n"/>
      <c r="B384" s="30" t="n"/>
      <c r="C384" s="30" t="n"/>
      <c r="D384" s="30" t="n"/>
      <c r="E384" s="33">
        <f>IF(B384="","",IFERROR(INDEX(Productos!$B$2:$B$501,MATCH(B384,Productos!$A$2:$A$501,0)),"¿Código?"))</f>
        <v/>
      </c>
      <c r="F384" s="32">
        <f>IF(C384&lt;&gt;"Venta","",D384*IFERROR(INDEX(Productos!$D$2:$D$501,MATCH(B384,Productos!$A$2:$A$501,0)),0))</f>
        <v/>
      </c>
      <c r="G384" s="32">
        <f>IF(C384&lt;&gt;"Venta","",D384*IFERROR(INDEX(Productos!$E$2:$E$501,MATCH(B384,Productos!$A$2:$A$501,0)),0))</f>
        <v/>
      </c>
      <c r="H384" s="33">
        <f>IF(A384="","",MONTH(A384))</f>
        <v/>
      </c>
      <c r="I384" s="33">
        <f>IF(A384="","",YEAR(A384))</f>
        <v/>
      </c>
    </row>
    <row r="385" ht="15" customHeight="1" s="21">
      <c r="A385" s="34" t="n"/>
      <c r="B385" s="30" t="n"/>
      <c r="C385" s="30" t="n"/>
      <c r="D385" s="30" t="n"/>
      <c r="E385" s="33">
        <f>IF(B385="","",IFERROR(INDEX(Productos!$B$2:$B$501,MATCH(B385,Productos!$A$2:$A$501,0)),"¿Código?"))</f>
        <v/>
      </c>
      <c r="F385" s="32">
        <f>IF(C385&lt;&gt;"Venta","",D385*IFERROR(INDEX(Productos!$D$2:$D$501,MATCH(B385,Productos!$A$2:$A$501,0)),0))</f>
        <v/>
      </c>
      <c r="G385" s="32">
        <f>IF(C385&lt;&gt;"Venta","",D385*IFERROR(INDEX(Productos!$E$2:$E$501,MATCH(B385,Productos!$A$2:$A$501,0)),0))</f>
        <v/>
      </c>
      <c r="H385" s="33">
        <f>IF(A385="","",MONTH(A385))</f>
        <v/>
      </c>
      <c r="I385" s="33">
        <f>IF(A385="","",YEAR(A385))</f>
        <v/>
      </c>
    </row>
    <row r="386" ht="15" customHeight="1" s="21">
      <c r="A386" s="34" t="n"/>
      <c r="B386" s="30" t="n"/>
      <c r="C386" s="30" t="n"/>
      <c r="D386" s="30" t="n"/>
      <c r="E386" s="33">
        <f>IF(B386="","",IFERROR(INDEX(Productos!$B$2:$B$501,MATCH(B386,Productos!$A$2:$A$501,0)),"¿Código?"))</f>
        <v/>
      </c>
      <c r="F386" s="32">
        <f>IF(C386&lt;&gt;"Venta","",D386*IFERROR(INDEX(Productos!$D$2:$D$501,MATCH(B386,Productos!$A$2:$A$501,0)),0))</f>
        <v/>
      </c>
      <c r="G386" s="32">
        <f>IF(C386&lt;&gt;"Venta","",D386*IFERROR(INDEX(Productos!$E$2:$E$501,MATCH(B386,Productos!$A$2:$A$501,0)),0))</f>
        <v/>
      </c>
      <c r="H386" s="33">
        <f>IF(A386="","",MONTH(A386))</f>
        <v/>
      </c>
      <c r="I386" s="33">
        <f>IF(A386="","",YEAR(A386))</f>
        <v/>
      </c>
    </row>
    <row r="387" ht="15" customHeight="1" s="21">
      <c r="A387" s="34" t="n"/>
      <c r="B387" s="30" t="n"/>
      <c r="C387" s="30" t="n"/>
      <c r="D387" s="30" t="n"/>
      <c r="E387" s="33">
        <f>IF(B387="","",IFERROR(INDEX(Productos!$B$2:$B$501,MATCH(B387,Productos!$A$2:$A$501,0)),"¿Código?"))</f>
        <v/>
      </c>
      <c r="F387" s="32">
        <f>IF(C387&lt;&gt;"Venta","",D387*IFERROR(INDEX(Productos!$D$2:$D$501,MATCH(B387,Productos!$A$2:$A$501,0)),0))</f>
        <v/>
      </c>
      <c r="G387" s="32">
        <f>IF(C387&lt;&gt;"Venta","",D387*IFERROR(INDEX(Productos!$E$2:$E$501,MATCH(B387,Productos!$A$2:$A$501,0)),0))</f>
        <v/>
      </c>
      <c r="H387" s="33">
        <f>IF(A387="","",MONTH(A387))</f>
        <v/>
      </c>
      <c r="I387" s="33">
        <f>IF(A387="","",YEAR(A387))</f>
        <v/>
      </c>
    </row>
    <row r="388" ht="15" customHeight="1" s="21">
      <c r="A388" s="34" t="n"/>
      <c r="B388" s="30" t="n"/>
      <c r="C388" s="30" t="n"/>
      <c r="D388" s="30" t="n"/>
      <c r="E388" s="33">
        <f>IF(B388="","",IFERROR(INDEX(Productos!$B$2:$B$501,MATCH(B388,Productos!$A$2:$A$501,0)),"¿Código?"))</f>
        <v/>
      </c>
      <c r="F388" s="32">
        <f>IF(C388&lt;&gt;"Venta","",D388*IFERROR(INDEX(Productos!$D$2:$D$501,MATCH(B388,Productos!$A$2:$A$501,0)),0))</f>
        <v/>
      </c>
      <c r="G388" s="32">
        <f>IF(C388&lt;&gt;"Venta","",D388*IFERROR(INDEX(Productos!$E$2:$E$501,MATCH(B388,Productos!$A$2:$A$501,0)),0))</f>
        <v/>
      </c>
      <c r="H388" s="33">
        <f>IF(A388="","",MONTH(A388))</f>
        <v/>
      </c>
      <c r="I388" s="33">
        <f>IF(A388="","",YEAR(A388))</f>
        <v/>
      </c>
    </row>
    <row r="389" ht="15" customHeight="1" s="21">
      <c r="A389" s="34" t="n"/>
      <c r="B389" s="30" t="n"/>
      <c r="C389" s="30" t="n"/>
      <c r="D389" s="30" t="n"/>
      <c r="E389" s="33">
        <f>IF(B389="","",IFERROR(INDEX(Productos!$B$2:$B$501,MATCH(B389,Productos!$A$2:$A$501,0)),"¿Código?"))</f>
        <v/>
      </c>
      <c r="F389" s="32">
        <f>IF(C389&lt;&gt;"Venta","",D389*IFERROR(INDEX(Productos!$D$2:$D$501,MATCH(B389,Productos!$A$2:$A$501,0)),0))</f>
        <v/>
      </c>
      <c r="G389" s="32">
        <f>IF(C389&lt;&gt;"Venta","",D389*IFERROR(INDEX(Productos!$E$2:$E$501,MATCH(B389,Productos!$A$2:$A$501,0)),0))</f>
        <v/>
      </c>
      <c r="H389" s="33">
        <f>IF(A389="","",MONTH(A389))</f>
        <v/>
      </c>
      <c r="I389" s="33">
        <f>IF(A389="","",YEAR(A389))</f>
        <v/>
      </c>
    </row>
    <row r="390" ht="15" customHeight="1" s="21">
      <c r="A390" s="34" t="n"/>
      <c r="B390" s="30" t="n"/>
      <c r="C390" s="30" t="n"/>
      <c r="D390" s="30" t="n"/>
      <c r="E390" s="33">
        <f>IF(B390="","",IFERROR(INDEX(Productos!$B$2:$B$501,MATCH(B390,Productos!$A$2:$A$501,0)),"¿Código?"))</f>
        <v/>
      </c>
      <c r="F390" s="32">
        <f>IF(C390&lt;&gt;"Venta","",D390*IFERROR(INDEX(Productos!$D$2:$D$501,MATCH(B390,Productos!$A$2:$A$501,0)),0))</f>
        <v/>
      </c>
      <c r="G390" s="32">
        <f>IF(C390&lt;&gt;"Venta","",D390*IFERROR(INDEX(Productos!$E$2:$E$501,MATCH(B390,Productos!$A$2:$A$501,0)),0))</f>
        <v/>
      </c>
      <c r="H390" s="33">
        <f>IF(A390="","",MONTH(A390))</f>
        <v/>
      </c>
      <c r="I390" s="33">
        <f>IF(A390="","",YEAR(A390))</f>
        <v/>
      </c>
    </row>
    <row r="391" ht="15" customHeight="1" s="21">
      <c r="A391" s="34" t="n"/>
      <c r="B391" s="30" t="n"/>
      <c r="C391" s="30" t="n"/>
      <c r="D391" s="30" t="n"/>
      <c r="E391" s="33">
        <f>IF(B391="","",IFERROR(INDEX(Productos!$B$2:$B$501,MATCH(B391,Productos!$A$2:$A$501,0)),"¿Código?"))</f>
        <v/>
      </c>
      <c r="F391" s="32">
        <f>IF(C391&lt;&gt;"Venta","",D391*IFERROR(INDEX(Productos!$D$2:$D$501,MATCH(B391,Productos!$A$2:$A$501,0)),0))</f>
        <v/>
      </c>
      <c r="G391" s="32">
        <f>IF(C391&lt;&gt;"Venta","",D391*IFERROR(INDEX(Productos!$E$2:$E$501,MATCH(B391,Productos!$A$2:$A$501,0)),0))</f>
        <v/>
      </c>
      <c r="H391" s="33">
        <f>IF(A391="","",MONTH(A391))</f>
        <v/>
      </c>
      <c r="I391" s="33">
        <f>IF(A391="","",YEAR(A391))</f>
        <v/>
      </c>
    </row>
    <row r="392" ht="15" customHeight="1" s="21">
      <c r="A392" s="34" t="n"/>
      <c r="B392" s="30" t="n"/>
      <c r="C392" s="30" t="n"/>
      <c r="D392" s="30" t="n"/>
      <c r="E392" s="33">
        <f>IF(B392="","",IFERROR(INDEX(Productos!$B$2:$B$501,MATCH(B392,Productos!$A$2:$A$501,0)),"¿Código?"))</f>
        <v/>
      </c>
      <c r="F392" s="32">
        <f>IF(C392&lt;&gt;"Venta","",D392*IFERROR(INDEX(Productos!$D$2:$D$501,MATCH(B392,Productos!$A$2:$A$501,0)),0))</f>
        <v/>
      </c>
      <c r="G392" s="32">
        <f>IF(C392&lt;&gt;"Venta","",D392*IFERROR(INDEX(Productos!$E$2:$E$501,MATCH(B392,Productos!$A$2:$A$501,0)),0))</f>
        <v/>
      </c>
      <c r="H392" s="33">
        <f>IF(A392="","",MONTH(A392))</f>
        <v/>
      </c>
      <c r="I392" s="33">
        <f>IF(A392="","",YEAR(A392))</f>
        <v/>
      </c>
    </row>
    <row r="393" ht="15" customHeight="1" s="21">
      <c r="A393" s="34" t="n"/>
      <c r="B393" s="30" t="n"/>
      <c r="C393" s="30" t="n"/>
      <c r="D393" s="30" t="n"/>
      <c r="E393" s="33">
        <f>IF(B393="","",IFERROR(INDEX(Productos!$B$2:$B$501,MATCH(B393,Productos!$A$2:$A$501,0)),"¿Código?"))</f>
        <v/>
      </c>
      <c r="F393" s="32">
        <f>IF(C393&lt;&gt;"Venta","",D393*IFERROR(INDEX(Productos!$D$2:$D$501,MATCH(B393,Productos!$A$2:$A$501,0)),0))</f>
        <v/>
      </c>
      <c r="G393" s="32">
        <f>IF(C393&lt;&gt;"Venta","",D393*IFERROR(INDEX(Productos!$E$2:$E$501,MATCH(B393,Productos!$A$2:$A$501,0)),0))</f>
        <v/>
      </c>
      <c r="H393" s="33">
        <f>IF(A393="","",MONTH(A393))</f>
        <v/>
      </c>
      <c r="I393" s="33">
        <f>IF(A393="","",YEAR(A393))</f>
        <v/>
      </c>
    </row>
    <row r="394" ht="15" customHeight="1" s="21">
      <c r="A394" s="34" t="n"/>
      <c r="B394" s="30" t="n"/>
      <c r="C394" s="30" t="n"/>
      <c r="D394" s="30" t="n"/>
      <c r="E394" s="33">
        <f>IF(B394="","",IFERROR(INDEX(Productos!$B$2:$B$501,MATCH(B394,Productos!$A$2:$A$501,0)),"¿Código?"))</f>
        <v/>
      </c>
      <c r="F394" s="32">
        <f>IF(C394&lt;&gt;"Venta","",D394*IFERROR(INDEX(Productos!$D$2:$D$501,MATCH(B394,Productos!$A$2:$A$501,0)),0))</f>
        <v/>
      </c>
      <c r="G394" s="32">
        <f>IF(C394&lt;&gt;"Venta","",D394*IFERROR(INDEX(Productos!$E$2:$E$501,MATCH(B394,Productos!$A$2:$A$501,0)),0))</f>
        <v/>
      </c>
      <c r="H394" s="33">
        <f>IF(A394="","",MONTH(A394))</f>
        <v/>
      </c>
      <c r="I394" s="33">
        <f>IF(A394="","",YEAR(A394))</f>
        <v/>
      </c>
    </row>
    <row r="395" ht="15" customHeight="1" s="21">
      <c r="A395" s="34" t="n"/>
      <c r="B395" s="30" t="n"/>
      <c r="C395" s="30" t="n"/>
      <c r="D395" s="30" t="n"/>
      <c r="E395" s="33">
        <f>IF(B395="","",IFERROR(INDEX(Productos!$B$2:$B$501,MATCH(B395,Productos!$A$2:$A$501,0)),"¿Código?"))</f>
        <v/>
      </c>
      <c r="F395" s="32">
        <f>IF(C395&lt;&gt;"Venta","",D395*IFERROR(INDEX(Productos!$D$2:$D$501,MATCH(B395,Productos!$A$2:$A$501,0)),0))</f>
        <v/>
      </c>
      <c r="G395" s="32">
        <f>IF(C395&lt;&gt;"Venta","",D395*IFERROR(INDEX(Productos!$E$2:$E$501,MATCH(B395,Productos!$A$2:$A$501,0)),0))</f>
        <v/>
      </c>
      <c r="H395" s="33">
        <f>IF(A395="","",MONTH(A395))</f>
        <v/>
      </c>
      <c r="I395" s="33">
        <f>IF(A395="","",YEAR(A395))</f>
        <v/>
      </c>
    </row>
    <row r="396" ht="15" customHeight="1" s="21">
      <c r="A396" s="34" t="n"/>
      <c r="B396" s="30" t="n"/>
      <c r="C396" s="30" t="n"/>
      <c r="D396" s="30" t="n"/>
      <c r="E396" s="33">
        <f>IF(B396="","",IFERROR(INDEX(Productos!$B$2:$B$501,MATCH(B396,Productos!$A$2:$A$501,0)),"¿Código?"))</f>
        <v/>
      </c>
      <c r="F396" s="32">
        <f>IF(C396&lt;&gt;"Venta","",D396*IFERROR(INDEX(Productos!$D$2:$D$501,MATCH(B396,Productos!$A$2:$A$501,0)),0))</f>
        <v/>
      </c>
      <c r="G396" s="32">
        <f>IF(C396&lt;&gt;"Venta","",D396*IFERROR(INDEX(Productos!$E$2:$E$501,MATCH(B396,Productos!$A$2:$A$501,0)),0))</f>
        <v/>
      </c>
      <c r="H396" s="33">
        <f>IF(A396="","",MONTH(A396))</f>
        <v/>
      </c>
      <c r="I396" s="33">
        <f>IF(A396="","",YEAR(A396))</f>
        <v/>
      </c>
    </row>
    <row r="397" ht="15" customHeight="1" s="21">
      <c r="A397" s="34" t="n"/>
      <c r="B397" s="30" t="n"/>
      <c r="C397" s="30" t="n"/>
      <c r="D397" s="30" t="n"/>
      <c r="E397" s="33">
        <f>IF(B397="","",IFERROR(INDEX(Productos!$B$2:$B$501,MATCH(B397,Productos!$A$2:$A$501,0)),"¿Código?"))</f>
        <v/>
      </c>
      <c r="F397" s="32">
        <f>IF(C397&lt;&gt;"Venta","",D397*IFERROR(INDEX(Productos!$D$2:$D$501,MATCH(B397,Productos!$A$2:$A$501,0)),0))</f>
        <v/>
      </c>
      <c r="G397" s="32">
        <f>IF(C397&lt;&gt;"Venta","",D397*IFERROR(INDEX(Productos!$E$2:$E$501,MATCH(B397,Productos!$A$2:$A$501,0)),0))</f>
        <v/>
      </c>
      <c r="H397" s="33">
        <f>IF(A397="","",MONTH(A397))</f>
        <v/>
      </c>
      <c r="I397" s="33">
        <f>IF(A397="","",YEAR(A397))</f>
        <v/>
      </c>
    </row>
    <row r="398" ht="15" customHeight="1" s="21">
      <c r="A398" s="34" t="n"/>
      <c r="B398" s="30" t="n"/>
      <c r="C398" s="30" t="n"/>
      <c r="D398" s="30" t="n"/>
      <c r="E398" s="33">
        <f>IF(B398="","",IFERROR(INDEX(Productos!$B$2:$B$501,MATCH(B398,Productos!$A$2:$A$501,0)),"¿Código?"))</f>
        <v/>
      </c>
      <c r="F398" s="32">
        <f>IF(C398&lt;&gt;"Venta","",D398*IFERROR(INDEX(Productos!$D$2:$D$501,MATCH(B398,Productos!$A$2:$A$501,0)),0))</f>
        <v/>
      </c>
      <c r="G398" s="32">
        <f>IF(C398&lt;&gt;"Venta","",D398*IFERROR(INDEX(Productos!$E$2:$E$501,MATCH(B398,Productos!$A$2:$A$501,0)),0))</f>
        <v/>
      </c>
      <c r="H398" s="33">
        <f>IF(A398="","",MONTH(A398))</f>
        <v/>
      </c>
      <c r="I398" s="33">
        <f>IF(A398="","",YEAR(A398))</f>
        <v/>
      </c>
    </row>
    <row r="399" ht="15" customHeight="1" s="21">
      <c r="A399" s="34" t="n"/>
      <c r="B399" s="30" t="n"/>
      <c r="C399" s="30" t="n"/>
      <c r="D399" s="30" t="n"/>
      <c r="E399" s="33">
        <f>IF(B399="","",IFERROR(INDEX(Productos!$B$2:$B$501,MATCH(B399,Productos!$A$2:$A$501,0)),"¿Código?"))</f>
        <v/>
      </c>
      <c r="F399" s="32">
        <f>IF(C399&lt;&gt;"Venta","",D399*IFERROR(INDEX(Productos!$D$2:$D$501,MATCH(B399,Productos!$A$2:$A$501,0)),0))</f>
        <v/>
      </c>
      <c r="G399" s="32">
        <f>IF(C399&lt;&gt;"Venta","",D399*IFERROR(INDEX(Productos!$E$2:$E$501,MATCH(B399,Productos!$A$2:$A$501,0)),0))</f>
        <v/>
      </c>
      <c r="H399" s="33">
        <f>IF(A399="","",MONTH(A399))</f>
        <v/>
      </c>
      <c r="I399" s="33">
        <f>IF(A399="","",YEAR(A399))</f>
        <v/>
      </c>
    </row>
    <row r="400" ht="15" customHeight="1" s="21">
      <c r="A400" s="34" t="n"/>
      <c r="B400" s="30" t="n"/>
      <c r="C400" s="30" t="n"/>
      <c r="D400" s="30" t="n"/>
      <c r="E400" s="33">
        <f>IF(B400="","",IFERROR(INDEX(Productos!$B$2:$B$501,MATCH(B400,Productos!$A$2:$A$501,0)),"¿Código?"))</f>
        <v/>
      </c>
      <c r="F400" s="32">
        <f>IF(C400&lt;&gt;"Venta","",D400*IFERROR(INDEX(Productos!$D$2:$D$501,MATCH(B400,Productos!$A$2:$A$501,0)),0))</f>
        <v/>
      </c>
      <c r="G400" s="32">
        <f>IF(C400&lt;&gt;"Venta","",D400*IFERROR(INDEX(Productos!$E$2:$E$501,MATCH(B400,Productos!$A$2:$A$501,0)),0))</f>
        <v/>
      </c>
      <c r="H400" s="33">
        <f>IF(A400="","",MONTH(A400))</f>
        <v/>
      </c>
      <c r="I400" s="33">
        <f>IF(A400="","",YEAR(A400))</f>
        <v/>
      </c>
    </row>
    <row r="401" ht="15" customHeight="1" s="21">
      <c r="A401" s="34" t="n"/>
      <c r="B401" s="30" t="n"/>
      <c r="C401" s="30" t="n"/>
      <c r="D401" s="30" t="n"/>
      <c r="E401" s="33">
        <f>IF(B401="","",IFERROR(INDEX(Productos!$B$2:$B$501,MATCH(B401,Productos!$A$2:$A$501,0)),"¿Código?"))</f>
        <v/>
      </c>
      <c r="F401" s="32">
        <f>IF(C401&lt;&gt;"Venta","",D401*IFERROR(INDEX(Productos!$D$2:$D$501,MATCH(B401,Productos!$A$2:$A$501,0)),0))</f>
        <v/>
      </c>
      <c r="G401" s="32">
        <f>IF(C401&lt;&gt;"Venta","",D401*IFERROR(INDEX(Productos!$E$2:$E$501,MATCH(B401,Productos!$A$2:$A$501,0)),0))</f>
        <v/>
      </c>
      <c r="H401" s="33">
        <f>IF(A401="","",MONTH(A401))</f>
        <v/>
      </c>
      <c r="I401" s="33">
        <f>IF(A401="","",YEAR(A401))</f>
        <v/>
      </c>
    </row>
    <row r="402" ht="15" customHeight="1" s="21">
      <c r="A402" s="34" t="n"/>
      <c r="B402" s="30" t="n"/>
      <c r="C402" s="30" t="n"/>
      <c r="D402" s="30" t="n"/>
      <c r="E402" s="33">
        <f>IF(B402="","",IFERROR(INDEX(Productos!$B$2:$B$501,MATCH(B402,Productos!$A$2:$A$501,0)),"¿Código?"))</f>
        <v/>
      </c>
      <c r="F402" s="32">
        <f>IF(C402&lt;&gt;"Venta","",D402*IFERROR(INDEX(Productos!$D$2:$D$501,MATCH(B402,Productos!$A$2:$A$501,0)),0))</f>
        <v/>
      </c>
      <c r="G402" s="32">
        <f>IF(C402&lt;&gt;"Venta","",D402*IFERROR(INDEX(Productos!$E$2:$E$501,MATCH(B402,Productos!$A$2:$A$501,0)),0))</f>
        <v/>
      </c>
      <c r="H402" s="33">
        <f>IF(A402="","",MONTH(A402))</f>
        <v/>
      </c>
      <c r="I402" s="33">
        <f>IF(A402="","",YEAR(A402))</f>
        <v/>
      </c>
    </row>
    <row r="403" ht="15" customHeight="1" s="21">
      <c r="A403" s="34" t="n"/>
      <c r="B403" s="30" t="n"/>
      <c r="C403" s="30" t="n"/>
      <c r="D403" s="30" t="n"/>
      <c r="E403" s="33">
        <f>IF(B403="","",IFERROR(INDEX(Productos!$B$2:$B$501,MATCH(B403,Productos!$A$2:$A$501,0)),"¿Código?"))</f>
        <v/>
      </c>
      <c r="F403" s="32">
        <f>IF(C403&lt;&gt;"Venta","",D403*IFERROR(INDEX(Productos!$D$2:$D$501,MATCH(B403,Productos!$A$2:$A$501,0)),0))</f>
        <v/>
      </c>
      <c r="G403" s="32">
        <f>IF(C403&lt;&gt;"Venta","",D403*IFERROR(INDEX(Productos!$E$2:$E$501,MATCH(B403,Productos!$A$2:$A$501,0)),0))</f>
        <v/>
      </c>
      <c r="H403" s="33">
        <f>IF(A403="","",MONTH(A403))</f>
        <v/>
      </c>
      <c r="I403" s="33">
        <f>IF(A403="","",YEAR(A403))</f>
        <v/>
      </c>
    </row>
    <row r="404" ht="15" customHeight="1" s="21">
      <c r="A404" s="34" t="n"/>
      <c r="B404" s="30" t="n"/>
      <c r="C404" s="30" t="n"/>
      <c r="D404" s="30" t="n"/>
      <c r="E404" s="33">
        <f>IF(B404="","",IFERROR(INDEX(Productos!$B$2:$B$501,MATCH(B404,Productos!$A$2:$A$501,0)),"¿Código?"))</f>
        <v/>
      </c>
      <c r="F404" s="32">
        <f>IF(C404&lt;&gt;"Venta","",D404*IFERROR(INDEX(Productos!$D$2:$D$501,MATCH(B404,Productos!$A$2:$A$501,0)),0))</f>
        <v/>
      </c>
      <c r="G404" s="32">
        <f>IF(C404&lt;&gt;"Venta","",D404*IFERROR(INDEX(Productos!$E$2:$E$501,MATCH(B404,Productos!$A$2:$A$501,0)),0))</f>
        <v/>
      </c>
      <c r="H404" s="33">
        <f>IF(A404="","",MONTH(A404))</f>
        <v/>
      </c>
      <c r="I404" s="33">
        <f>IF(A404="","",YEAR(A404))</f>
        <v/>
      </c>
    </row>
    <row r="405" ht="15" customHeight="1" s="21">
      <c r="A405" s="34" t="n"/>
      <c r="B405" s="30" t="n"/>
      <c r="C405" s="30" t="n"/>
      <c r="D405" s="30" t="n"/>
      <c r="E405" s="33">
        <f>IF(B405="","",IFERROR(INDEX(Productos!$B$2:$B$501,MATCH(B405,Productos!$A$2:$A$501,0)),"¿Código?"))</f>
        <v/>
      </c>
      <c r="F405" s="32">
        <f>IF(C405&lt;&gt;"Venta","",D405*IFERROR(INDEX(Productos!$D$2:$D$501,MATCH(B405,Productos!$A$2:$A$501,0)),0))</f>
        <v/>
      </c>
      <c r="G405" s="32">
        <f>IF(C405&lt;&gt;"Venta","",D405*IFERROR(INDEX(Productos!$E$2:$E$501,MATCH(B405,Productos!$A$2:$A$501,0)),0))</f>
        <v/>
      </c>
      <c r="H405" s="33">
        <f>IF(A405="","",MONTH(A405))</f>
        <v/>
      </c>
      <c r="I405" s="33">
        <f>IF(A405="","",YEAR(A405))</f>
        <v/>
      </c>
    </row>
    <row r="406" ht="15" customHeight="1" s="21">
      <c r="A406" s="34" t="n"/>
      <c r="B406" s="30" t="n"/>
      <c r="C406" s="30" t="n"/>
      <c r="D406" s="30" t="n"/>
      <c r="E406" s="33">
        <f>IF(B406="","",IFERROR(INDEX(Productos!$B$2:$B$501,MATCH(B406,Productos!$A$2:$A$501,0)),"¿Código?"))</f>
        <v/>
      </c>
      <c r="F406" s="32">
        <f>IF(C406&lt;&gt;"Venta","",D406*IFERROR(INDEX(Productos!$D$2:$D$501,MATCH(B406,Productos!$A$2:$A$501,0)),0))</f>
        <v/>
      </c>
      <c r="G406" s="32">
        <f>IF(C406&lt;&gt;"Venta","",D406*IFERROR(INDEX(Productos!$E$2:$E$501,MATCH(B406,Productos!$A$2:$A$501,0)),0))</f>
        <v/>
      </c>
      <c r="H406" s="33">
        <f>IF(A406="","",MONTH(A406))</f>
        <v/>
      </c>
      <c r="I406" s="33">
        <f>IF(A406="","",YEAR(A406))</f>
        <v/>
      </c>
    </row>
    <row r="407" ht="15" customHeight="1" s="21">
      <c r="A407" s="34" t="n"/>
      <c r="B407" s="30" t="n"/>
      <c r="C407" s="30" t="n"/>
      <c r="D407" s="30" t="n"/>
      <c r="E407" s="33">
        <f>IF(B407="","",IFERROR(INDEX(Productos!$B$2:$B$501,MATCH(B407,Productos!$A$2:$A$501,0)),"¿Código?"))</f>
        <v/>
      </c>
      <c r="F407" s="32">
        <f>IF(C407&lt;&gt;"Venta","",D407*IFERROR(INDEX(Productos!$D$2:$D$501,MATCH(B407,Productos!$A$2:$A$501,0)),0))</f>
        <v/>
      </c>
      <c r="G407" s="32">
        <f>IF(C407&lt;&gt;"Venta","",D407*IFERROR(INDEX(Productos!$E$2:$E$501,MATCH(B407,Productos!$A$2:$A$501,0)),0))</f>
        <v/>
      </c>
      <c r="H407" s="33">
        <f>IF(A407="","",MONTH(A407))</f>
        <v/>
      </c>
      <c r="I407" s="33">
        <f>IF(A407="","",YEAR(A407))</f>
        <v/>
      </c>
    </row>
    <row r="408" ht="15" customHeight="1" s="21">
      <c r="A408" s="34" t="n"/>
      <c r="B408" s="30" t="n"/>
      <c r="C408" s="30" t="n"/>
      <c r="D408" s="30" t="n"/>
      <c r="E408" s="33">
        <f>IF(B408="","",IFERROR(INDEX(Productos!$B$2:$B$501,MATCH(B408,Productos!$A$2:$A$501,0)),"¿Código?"))</f>
        <v/>
      </c>
      <c r="F408" s="32">
        <f>IF(C408&lt;&gt;"Venta","",D408*IFERROR(INDEX(Productos!$D$2:$D$501,MATCH(B408,Productos!$A$2:$A$501,0)),0))</f>
        <v/>
      </c>
      <c r="G408" s="32">
        <f>IF(C408&lt;&gt;"Venta","",D408*IFERROR(INDEX(Productos!$E$2:$E$501,MATCH(B408,Productos!$A$2:$A$501,0)),0))</f>
        <v/>
      </c>
      <c r="H408" s="33">
        <f>IF(A408="","",MONTH(A408))</f>
        <v/>
      </c>
      <c r="I408" s="33">
        <f>IF(A408="","",YEAR(A408))</f>
        <v/>
      </c>
    </row>
    <row r="409" ht="15" customHeight="1" s="21">
      <c r="A409" s="34" t="n"/>
      <c r="B409" s="30" t="n"/>
      <c r="C409" s="30" t="n"/>
      <c r="D409" s="30" t="n"/>
      <c r="E409" s="33">
        <f>IF(B409="","",IFERROR(INDEX(Productos!$B$2:$B$501,MATCH(B409,Productos!$A$2:$A$501,0)),"¿Código?"))</f>
        <v/>
      </c>
      <c r="F409" s="32">
        <f>IF(C409&lt;&gt;"Venta","",D409*IFERROR(INDEX(Productos!$D$2:$D$501,MATCH(B409,Productos!$A$2:$A$501,0)),0))</f>
        <v/>
      </c>
      <c r="G409" s="32">
        <f>IF(C409&lt;&gt;"Venta","",D409*IFERROR(INDEX(Productos!$E$2:$E$501,MATCH(B409,Productos!$A$2:$A$501,0)),0))</f>
        <v/>
      </c>
      <c r="H409" s="33">
        <f>IF(A409="","",MONTH(A409))</f>
        <v/>
      </c>
      <c r="I409" s="33">
        <f>IF(A409="","",YEAR(A409))</f>
        <v/>
      </c>
    </row>
    <row r="410" ht="15" customHeight="1" s="21">
      <c r="A410" s="34" t="n"/>
      <c r="B410" s="30" t="n"/>
      <c r="C410" s="30" t="n"/>
      <c r="D410" s="30" t="n"/>
      <c r="E410" s="33">
        <f>IF(B410="","",IFERROR(INDEX(Productos!$B$2:$B$501,MATCH(B410,Productos!$A$2:$A$501,0)),"¿Código?"))</f>
        <v/>
      </c>
      <c r="F410" s="32">
        <f>IF(C410&lt;&gt;"Venta","",D410*IFERROR(INDEX(Productos!$D$2:$D$501,MATCH(B410,Productos!$A$2:$A$501,0)),0))</f>
        <v/>
      </c>
      <c r="G410" s="32">
        <f>IF(C410&lt;&gt;"Venta","",D410*IFERROR(INDEX(Productos!$E$2:$E$501,MATCH(B410,Productos!$A$2:$A$501,0)),0))</f>
        <v/>
      </c>
      <c r="H410" s="33">
        <f>IF(A410="","",MONTH(A410))</f>
        <v/>
      </c>
      <c r="I410" s="33">
        <f>IF(A410="","",YEAR(A410))</f>
        <v/>
      </c>
    </row>
    <row r="411" ht="15" customHeight="1" s="21">
      <c r="A411" s="34" t="n"/>
      <c r="B411" s="30" t="n"/>
      <c r="C411" s="30" t="n"/>
      <c r="D411" s="30" t="n"/>
      <c r="E411" s="33">
        <f>IF(B411="","",IFERROR(INDEX(Productos!$B$2:$B$501,MATCH(B411,Productos!$A$2:$A$501,0)),"¿Código?"))</f>
        <v/>
      </c>
      <c r="F411" s="32">
        <f>IF(C411&lt;&gt;"Venta","",D411*IFERROR(INDEX(Productos!$D$2:$D$501,MATCH(B411,Productos!$A$2:$A$501,0)),0))</f>
        <v/>
      </c>
      <c r="G411" s="32">
        <f>IF(C411&lt;&gt;"Venta","",D411*IFERROR(INDEX(Productos!$E$2:$E$501,MATCH(B411,Productos!$A$2:$A$501,0)),0))</f>
        <v/>
      </c>
      <c r="H411" s="33">
        <f>IF(A411="","",MONTH(A411))</f>
        <v/>
      </c>
      <c r="I411" s="33">
        <f>IF(A411="","",YEAR(A411))</f>
        <v/>
      </c>
    </row>
    <row r="412" ht="15" customHeight="1" s="21">
      <c r="A412" s="34" t="n"/>
      <c r="B412" s="30" t="n"/>
      <c r="C412" s="30" t="n"/>
      <c r="D412" s="30" t="n"/>
      <c r="E412" s="33">
        <f>IF(B412="","",IFERROR(INDEX(Productos!$B$2:$B$501,MATCH(B412,Productos!$A$2:$A$501,0)),"¿Código?"))</f>
        <v/>
      </c>
      <c r="F412" s="32">
        <f>IF(C412&lt;&gt;"Venta","",D412*IFERROR(INDEX(Productos!$D$2:$D$501,MATCH(B412,Productos!$A$2:$A$501,0)),0))</f>
        <v/>
      </c>
      <c r="G412" s="32">
        <f>IF(C412&lt;&gt;"Venta","",D412*IFERROR(INDEX(Productos!$E$2:$E$501,MATCH(B412,Productos!$A$2:$A$501,0)),0))</f>
        <v/>
      </c>
      <c r="H412" s="33">
        <f>IF(A412="","",MONTH(A412))</f>
        <v/>
      </c>
      <c r="I412" s="33">
        <f>IF(A412="","",YEAR(A412))</f>
        <v/>
      </c>
    </row>
    <row r="413" ht="15" customHeight="1" s="21">
      <c r="A413" s="34" t="n"/>
      <c r="B413" s="30" t="n"/>
      <c r="C413" s="30" t="n"/>
      <c r="D413" s="30" t="n"/>
      <c r="E413" s="33">
        <f>IF(B413="","",IFERROR(INDEX(Productos!$B$2:$B$501,MATCH(B413,Productos!$A$2:$A$501,0)),"¿Código?"))</f>
        <v/>
      </c>
      <c r="F413" s="32">
        <f>IF(C413&lt;&gt;"Venta","",D413*IFERROR(INDEX(Productos!$D$2:$D$501,MATCH(B413,Productos!$A$2:$A$501,0)),0))</f>
        <v/>
      </c>
      <c r="G413" s="32">
        <f>IF(C413&lt;&gt;"Venta","",D413*IFERROR(INDEX(Productos!$E$2:$E$501,MATCH(B413,Productos!$A$2:$A$501,0)),0))</f>
        <v/>
      </c>
      <c r="H413" s="33">
        <f>IF(A413="","",MONTH(A413))</f>
        <v/>
      </c>
      <c r="I413" s="33">
        <f>IF(A413="","",YEAR(A413))</f>
        <v/>
      </c>
    </row>
    <row r="414" ht="15" customHeight="1" s="21">
      <c r="A414" s="34" t="n"/>
      <c r="B414" s="30" t="n"/>
      <c r="C414" s="30" t="n"/>
      <c r="D414" s="30" t="n"/>
      <c r="E414" s="33">
        <f>IF(B414="","",IFERROR(INDEX(Productos!$B$2:$B$501,MATCH(B414,Productos!$A$2:$A$501,0)),"¿Código?"))</f>
        <v/>
      </c>
      <c r="F414" s="32">
        <f>IF(C414&lt;&gt;"Venta","",D414*IFERROR(INDEX(Productos!$D$2:$D$501,MATCH(B414,Productos!$A$2:$A$501,0)),0))</f>
        <v/>
      </c>
      <c r="G414" s="32">
        <f>IF(C414&lt;&gt;"Venta","",D414*IFERROR(INDEX(Productos!$E$2:$E$501,MATCH(B414,Productos!$A$2:$A$501,0)),0))</f>
        <v/>
      </c>
      <c r="H414" s="33">
        <f>IF(A414="","",MONTH(A414))</f>
        <v/>
      </c>
      <c r="I414" s="33">
        <f>IF(A414="","",YEAR(A414))</f>
        <v/>
      </c>
    </row>
    <row r="415" ht="15" customHeight="1" s="21">
      <c r="A415" s="34" t="n"/>
      <c r="B415" s="30" t="n"/>
      <c r="C415" s="30" t="n"/>
      <c r="D415" s="30" t="n"/>
      <c r="E415" s="33">
        <f>IF(B415="","",IFERROR(INDEX(Productos!$B$2:$B$501,MATCH(B415,Productos!$A$2:$A$501,0)),"¿Código?"))</f>
        <v/>
      </c>
      <c r="F415" s="32">
        <f>IF(C415&lt;&gt;"Venta","",D415*IFERROR(INDEX(Productos!$D$2:$D$501,MATCH(B415,Productos!$A$2:$A$501,0)),0))</f>
        <v/>
      </c>
      <c r="G415" s="32">
        <f>IF(C415&lt;&gt;"Venta","",D415*IFERROR(INDEX(Productos!$E$2:$E$501,MATCH(B415,Productos!$A$2:$A$501,0)),0))</f>
        <v/>
      </c>
      <c r="H415" s="33">
        <f>IF(A415="","",MONTH(A415))</f>
        <v/>
      </c>
      <c r="I415" s="33">
        <f>IF(A415="","",YEAR(A415))</f>
        <v/>
      </c>
    </row>
    <row r="416" ht="15" customHeight="1" s="21">
      <c r="A416" s="34" t="n"/>
      <c r="B416" s="30" t="n"/>
      <c r="C416" s="30" t="n"/>
      <c r="D416" s="30" t="n"/>
      <c r="E416" s="33">
        <f>IF(B416="","",IFERROR(INDEX(Productos!$B$2:$B$501,MATCH(B416,Productos!$A$2:$A$501,0)),"¿Código?"))</f>
        <v/>
      </c>
      <c r="F416" s="32">
        <f>IF(C416&lt;&gt;"Venta","",D416*IFERROR(INDEX(Productos!$D$2:$D$501,MATCH(B416,Productos!$A$2:$A$501,0)),0))</f>
        <v/>
      </c>
      <c r="G416" s="32">
        <f>IF(C416&lt;&gt;"Venta","",D416*IFERROR(INDEX(Productos!$E$2:$E$501,MATCH(B416,Productos!$A$2:$A$501,0)),0))</f>
        <v/>
      </c>
      <c r="H416" s="33">
        <f>IF(A416="","",MONTH(A416))</f>
        <v/>
      </c>
      <c r="I416" s="33">
        <f>IF(A416="","",YEAR(A416))</f>
        <v/>
      </c>
    </row>
    <row r="417" ht="15" customHeight="1" s="21">
      <c r="A417" s="34" t="n"/>
      <c r="B417" s="30" t="n"/>
      <c r="C417" s="30" t="n"/>
      <c r="D417" s="30" t="n"/>
      <c r="E417" s="33">
        <f>IF(B417="","",IFERROR(INDEX(Productos!$B$2:$B$501,MATCH(B417,Productos!$A$2:$A$501,0)),"¿Código?"))</f>
        <v/>
      </c>
      <c r="F417" s="32">
        <f>IF(C417&lt;&gt;"Venta","",D417*IFERROR(INDEX(Productos!$D$2:$D$501,MATCH(B417,Productos!$A$2:$A$501,0)),0))</f>
        <v/>
      </c>
      <c r="G417" s="32">
        <f>IF(C417&lt;&gt;"Venta","",D417*IFERROR(INDEX(Productos!$E$2:$E$501,MATCH(B417,Productos!$A$2:$A$501,0)),0))</f>
        <v/>
      </c>
      <c r="H417" s="33">
        <f>IF(A417="","",MONTH(A417))</f>
        <v/>
      </c>
      <c r="I417" s="33">
        <f>IF(A417="","",YEAR(A417))</f>
        <v/>
      </c>
    </row>
    <row r="418" ht="15" customHeight="1" s="21">
      <c r="A418" s="34" t="n"/>
      <c r="B418" s="30" t="n"/>
      <c r="C418" s="30" t="n"/>
      <c r="D418" s="30" t="n"/>
      <c r="E418" s="33">
        <f>IF(B418="","",IFERROR(INDEX(Productos!$B$2:$B$501,MATCH(B418,Productos!$A$2:$A$501,0)),"¿Código?"))</f>
        <v/>
      </c>
      <c r="F418" s="32">
        <f>IF(C418&lt;&gt;"Venta","",D418*IFERROR(INDEX(Productos!$D$2:$D$501,MATCH(B418,Productos!$A$2:$A$501,0)),0))</f>
        <v/>
      </c>
      <c r="G418" s="32">
        <f>IF(C418&lt;&gt;"Venta","",D418*IFERROR(INDEX(Productos!$E$2:$E$501,MATCH(B418,Productos!$A$2:$A$501,0)),0))</f>
        <v/>
      </c>
      <c r="H418" s="33">
        <f>IF(A418="","",MONTH(A418))</f>
        <v/>
      </c>
      <c r="I418" s="33">
        <f>IF(A418="","",YEAR(A418))</f>
        <v/>
      </c>
    </row>
    <row r="419" ht="15" customHeight="1" s="21">
      <c r="A419" s="34" t="n"/>
      <c r="B419" s="30" t="n"/>
      <c r="C419" s="30" t="n"/>
      <c r="D419" s="30" t="n"/>
      <c r="E419" s="33">
        <f>IF(B419="","",IFERROR(INDEX(Productos!$B$2:$B$501,MATCH(B419,Productos!$A$2:$A$501,0)),"¿Código?"))</f>
        <v/>
      </c>
      <c r="F419" s="32">
        <f>IF(C419&lt;&gt;"Venta","",D419*IFERROR(INDEX(Productos!$D$2:$D$501,MATCH(B419,Productos!$A$2:$A$501,0)),0))</f>
        <v/>
      </c>
      <c r="G419" s="32">
        <f>IF(C419&lt;&gt;"Venta","",D419*IFERROR(INDEX(Productos!$E$2:$E$501,MATCH(B419,Productos!$A$2:$A$501,0)),0))</f>
        <v/>
      </c>
      <c r="H419" s="33">
        <f>IF(A419="","",MONTH(A419))</f>
        <v/>
      </c>
      <c r="I419" s="33">
        <f>IF(A419="","",YEAR(A419))</f>
        <v/>
      </c>
    </row>
    <row r="420" ht="15" customHeight="1" s="21">
      <c r="A420" s="34" t="n"/>
      <c r="B420" s="30" t="n"/>
      <c r="C420" s="30" t="n"/>
      <c r="D420" s="30" t="n"/>
      <c r="E420" s="33">
        <f>IF(B420="","",IFERROR(INDEX(Productos!$B$2:$B$501,MATCH(B420,Productos!$A$2:$A$501,0)),"¿Código?"))</f>
        <v/>
      </c>
      <c r="F420" s="32">
        <f>IF(C420&lt;&gt;"Venta","",D420*IFERROR(INDEX(Productos!$D$2:$D$501,MATCH(B420,Productos!$A$2:$A$501,0)),0))</f>
        <v/>
      </c>
      <c r="G420" s="32">
        <f>IF(C420&lt;&gt;"Venta","",D420*IFERROR(INDEX(Productos!$E$2:$E$501,MATCH(B420,Productos!$A$2:$A$501,0)),0))</f>
        <v/>
      </c>
      <c r="H420" s="33">
        <f>IF(A420="","",MONTH(A420))</f>
        <v/>
      </c>
      <c r="I420" s="33">
        <f>IF(A420="","",YEAR(A420))</f>
        <v/>
      </c>
    </row>
    <row r="421" ht="15" customHeight="1" s="21">
      <c r="A421" s="34" t="n"/>
      <c r="B421" s="30" t="n"/>
      <c r="C421" s="30" t="n"/>
      <c r="D421" s="30" t="n"/>
      <c r="E421" s="33">
        <f>IF(B421="","",IFERROR(INDEX(Productos!$B$2:$B$501,MATCH(B421,Productos!$A$2:$A$501,0)),"¿Código?"))</f>
        <v/>
      </c>
      <c r="F421" s="32">
        <f>IF(C421&lt;&gt;"Venta","",D421*IFERROR(INDEX(Productos!$D$2:$D$501,MATCH(B421,Productos!$A$2:$A$501,0)),0))</f>
        <v/>
      </c>
      <c r="G421" s="32">
        <f>IF(C421&lt;&gt;"Venta","",D421*IFERROR(INDEX(Productos!$E$2:$E$501,MATCH(B421,Productos!$A$2:$A$501,0)),0))</f>
        <v/>
      </c>
      <c r="H421" s="33">
        <f>IF(A421="","",MONTH(A421))</f>
        <v/>
      </c>
      <c r="I421" s="33">
        <f>IF(A421="","",YEAR(A421))</f>
        <v/>
      </c>
    </row>
    <row r="422" ht="15" customHeight="1" s="21">
      <c r="A422" s="34" t="n"/>
      <c r="B422" s="30" t="n"/>
      <c r="C422" s="30" t="n"/>
      <c r="D422" s="30" t="n"/>
      <c r="E422" s="33">
        <f>IF(B422="","",IFERROR(INDEX(Productos!$B$2:$B$501,MATCH(B422,Productos!$A$2:$A$501,0)),"¿Código?"))</f>
        <v/>
      </c>
      <c r="F422" s="32">
        <f>IF(C422&lt;&gt;"Venta","",D422*IFERROR(INDEX(Productos!$D$2:$D$501,MATCH(B422,Productos!$A$2:$A$501,0)),0))</f>
        <v/>
      </c>
      <c r="G422" s="32">
        <f>IF(C422&lt;&gt;"Venta","",D422*IFERROR(INDEX(Productos!$E$2:$E$501,MATCH(B422,Productos!$A$2:$A$501,0)),0))</f>
        <v/>
      </c>
      <c r="H422" s="33">
        <f>IF(A422="","",MONTH(A422))</f>
        <v/>
      </c>
      <c r="I422" s="33">
        <f>IF(A422="","",YEAR(A422))</f>
        <v/>
      </c>
    </row>
    <row r="423" ht="15" customHeight="1" s="21">
      <c r="A423" s="34" t="n"/>
      <c r="B423" s="30" t="n"/>
      <c r="C423" s="30" t="n"/>
      <c r="D423" s="30" t="n"/>
      <c r="E423" s="33">
        <f>IF(B423="","",IFERROR(INDEX(Productos!$B$2:$B$501,MATCH(B423,Productos!$A$2:$A$501,0)),"¿Código?"))</f>
        <v/>
      </c>
      <c r="F423" s="32">
        <f>IF(C423&lt;&gt;"Venta","",D423*IFERROR(INDEX(Productos!$D$2:$D$501,MATCH(B423,Productos!$A$2:$A$501,0)),0))</f>
        <v/>
      </c>
      <c r="G423" s="32">
        <f>IF(C423&lt;&gt;"Venta","",D423*IFERROR(INDEX(Productos!$E$2:$E$501,MATCH(B423,Productos!$A$2:$A$501,0)),0))</f>
        <v/>
      </c>
      <c r="H423" s="33">
        <f>IF(A423="","",MONTH(A423))</f>
        <v/>
      </c>
      <c r="I423" s="33">
        <f>IF(A423="","",YEAR(A423))</f>
        <v/>
      </c>
    </row>
    <row r="424" ht="15" customHeight="1" s="21">
      <c r="A424" s="34" t="n"/>
      <c r="B424" s="30" t="n"/>
      <c r="C424" s="30" t="n"/>
      <c r="D424" s="30" t="n"/>
      <c r="E424" s="33">
        <f>IF(B424="","",IFERROR(INDEX(Productos!$B$2:$B$501,MATCH(B424,Productos!$A$2:$A$501,0)),"¿Código?"))</f>
        <v/>
      </c>
      <c r="F424" s="32">
        <f>IF(C424&lt;&gt;"Venta","",D424*IFERROR(INDEX(Productos!$D$2:$D$501,MATCH(B424,Productos!$A$2:$A$501,0)),0))</f>
        <v/>
      </c>
      <c r="G424" s="32">
        <f>IF(C424&lt;&gt;"Venta","",D424*IFERROR(INDEX(Productos!$E$2:$E$501,MATCH(B424,Productos!$A$2:$A$501,0)),0))</f>
        <v/>
      </c>
      <c r="H424" s="33">
        <f>IF(A424="","",MONTH(A424))</f>
        <v/>
      </c>
      <c r="I424" s="33">
        <f>IF(A424="","",YEAR(A424))</f>
        <v/>
      </c>
    </row>
    <row r="425" ht="15" customHeight="1" s="21">
      <c r="A425" s="34" t="n"/>
      <c r="B425" s="30" t="n"/>
      <c r="C425" s="30" t="n"/>
      <c r="D425" s="30" t="n"/>
      <c r="E425" s="33">
        <f>IF(B425="","",IFERROR(INDEX(Productos!$B$2:$B$501,MATCH(B425,Productos!$A$2:$A$501,0)),"¿Código?"))</f>
        <v/>
      </c>
      <c r="F425" s="32">
        <f>IF(C425&lt;&gt;"Venta","",D425*IFERROR(INDEX(Productos!$D$2:$D$501,MATCH(B425,Productos!$A$2:$A$501,0)),0))</f>
        <v/>
      </c>
      <c r="G425" s="32">
        <f>IF(C425&lt;&gt;"Venta","",D425*IFERROR(INDEX(Productos!$E$2:$E$501,MATCH(B425,Productos!$A$2:$A$501,0)),0))</f>
        <v/>
      </c>
      <c r="H425" s="33">
        <f>IF(A425="","",MONTH(A425))</f>
        <v/>
      </c>
      <c r="I425" s="33">
        <f>IF(A425="","",YEAR(A425))</f>
        <v/>
      </c>
    </row>
    <row r="426" ht="15" customHeight="1" s="21">
      <c r="A426" s="34" t="n"/>
      <c r="B426" s="30" t="n"/>
      <c r="C426" s="30" t="n"/>
      <c r="D426" s="30" t="n"/>
      <c r="E426" s="33">
        <f>IF(B426="","",IFERROR(INDEX(Productos!$B$2:$B$501,MATCH(B426,Productos!$A$2:$A$501,0)),"¿Código?"))</f>
        <v/>
      </c>
      <c r="F426" s="32">
        <f>IF(C426&lt;&gt;"Venta","",D426*IFERROR(INDEX(Productos!$D$2:$D$501,MATCH(B426,Productos!$A$2:$A$501,0)),0))</f>
        <v/>
      </c>
      <c r="G426" s="32">
        <f>IF(C426&lt;&gt;"Venta","",D426*IFERROR(INDEX(Productos!$E$2:$E$501,MATCH(B426,Productos!$A$2:$A$501,0)),0))</f>
        <v/>
      </c>
      <c r="H426" s="33">
        <f>IF(A426="","",MONTH(A426))</f>
        <v/>
      </c>
      <c r="I426" s="33">
        <f>IF(A426="","",YEAR(A426))</f>
        <v/>
      </c>
    </row>
    <row r="427" ht="15" customHeight="1" s="21">
      <c r="A427" s="34" t="n"/>
      <c r="B427" s="30" t="n"/>
      <c r="C427" s="30" t="n"/>
      <c r="D427" s="30" t="n"/>
      <c r="E427" s="33">
        <f>IF(B427="","",IFERROR(INDEX(Productos!$B$2:$B$501,MATCH(B427,Productos!$A$2:$A$501,0)),"¿Código?"))</f>
        <v/>
      </c>
      <c r="F427" s="32">
        <f>IF(C427&lt;&gt;"Venta","",D427*IFERROR(INDEX(Productos!$D$2:$D$501,MATCH(B427,Productos!$A$2:$A$501,0)),0))</f>
        <v/>
      </c>
      <c r="G427" s="32">
        <f>IF(C427&lt;&gt;"Venta","",D427*IFERROR(INDEX(Productos!$E$2:$E$501,MATCH(B427,Productos!$A$2:$A$501,0)),0))</f>
        <v/>
      </c>
      <c r="H427" s="33">
        <f>IF(A427="","",MONTH(A427))</f>
        <v/>
      </c>
      <c r="I427" s="33">
        <f>IF(A427="","",YEAR(A427))</f>
        <v/>
      </c>
    </row>
    <row r="428" ht="15" customHeight="1" s="21">
      <c r="A428" s="34" t="n"/>
      <c r="B428" s="30" t="n"/>
      <c r="C428" s="30" t="n"/>
      <c r="D428" s="30" t="n"/>
      <c r="E428" s="33">
        <f>IF(B428="","",IFERROR(INDEX(Productos!$B$2:$B$501,MATCH(B428,Productos!$A$2:$A$501,0)),"¿Código?"))</f>
        <v/>
      </c>
      <c r="F428" s="32">
        <f>IF(C428&lt;&gt;"Venta","",D428*IFERROR(INDEX(Productos!$D$2:$D$501,MATCH(B428,Productos!$A$2:$A$501,0)),0))</f>
        <v/>
      </c>
      <c r="G428" s="32">
        <f>IF(C428&lt;&gt;"Venta","",D428*IFERROR(INDEX(Productos!$E$2:$E$501,MATCH(B428,Productos!$A$2:$A$501,0)),0))</f>
        <v/>
      </c>
      <c r="H428" s="33">
        <f>IF(A428="","",MONTH(A428))</f>
        <v/>
      </c>
      <c r="I428" s="33">
        <f>IF(A428="","",YEAR(A428))</f>
        <v/>
      </c>
    </row>
    <row r="429" ht="15" customHeight="1" s="21">
      <c r="A429" s="34" t="n"/>
      <c r="B429" s="30" t="n"/>
      <c r="C429" s="30" t="n"/>
      <c r="D429" s="30" t="n"/>
      <c r="E429" s="33">
        <f>IF(B429="","",IFERROR(INDEX(Productos!$B$2:$B$501,MATCH(B429,Productos!$A$2:$A$501,0)),"¿Código?"))</f>
        <v/>
      </c>
      <c r="F429" s="32">
        <f>IF(C429&lt;&gt;"Venta","",D429*IFERROR(INDEX(Productos!$D$2:$D$501,MATCH(B429,Productos!$A$2:$A$501,0)),0))</f>
        <v/>
      </c>
      <c r="G429" s="32">
        <f>IF(C429&lt;&gt;"Venta","",D429*IFERROR(INDEX(Productos!$E$2:$E$501,MATCH(B429,Productos!$A$2:$A$501,0)),0))</f>
        <v/>
      </c>
      <c r="H429" s="33">
        <f>IF(A429="","",MONTH(A429))</f>
        <v/>
      </c>
      <c r="I429" s="33">
        <f>IF(A429="","",YEAR(A429))</f>
        <v/>
      </c>
    </row>
    <row r="430" ht="15" customHeight="1" s="21">
      <c r="A430" s="34" t="n"/>
      <c r="B430" s="30" t="n"/>
      <c r="C430" s="30" t="n"/>
      <c r="D430" s="30" t="n"/>
      <c r="E430" s="33">
        <f>IF(B430="","",IFERROR(INDEX(Productos!$B$2:$B$501,MATCH(B430,Productos!$A$2:$A$501,0)),"¿Código?"))</f>
        <v/>
      </c>
      <c r="F430" s="32">
        <f>IF(C430&lt;&gt;"Venta","",D430*IFERROR(INDEX(Productos!$D$2:$D$501,MATCH(B430,Productos!$A$2:$A$501,0)),0))</f>
        <v/>
      </c>
      <c r="G430" s="32">
        <f>IF(C430&lt;&gt;"Venta","",D430*IFERROR(INDEX(Productos!$E$2:$E$501,MATCH(B430,Productos!$A$2:$A$501,0)),0))</f>
        <v/>
      </c>
      <c r="H430" s="33">
        <f>IF(A430="","",MONTH(A430))</f>
        <v/>
      </c>
      <c r="I430" s="33">
        <f>IF(A430="","",YEAR(A430))</f>
        <v/>
      </c>
    </row>
    <row r="431" ht="15" customHeight="1" s="21">
      <c r="A431" s="34" t="n"/>
      <c r="B431" s="30" t="n"/>
      <c r="C431" s="30" t="n"/>
      <c r="D431" s="30" t="n"/>
      <c r="E431" s="33">
        <f>IF(B431="","",IFERROR(INDEX(Productos!$B$2:$B$501,MATCH(B431,Productos!$A$2:$A$501,0)),"¿Código?"))</f>
        <v/>
      </c>
      <c r="F431" s="32">
        <f>IF(C431&lt;&gt;"Venta","",D431*IFERROR(INDEX(Productos!$D$2:$D$501,MATCH(B431,Productos!$A$2:$A$501,0)),0))</f>
        <v/>
      </c>
      <c r="G431" s="32">
        <f>IF(C431&lt;&gt;"Venta","",D431*IFERROR(INDEX(Productos!$E$2:$E$501,MATCH(B431,Productos!$A$2:$A$501,0)),0))</f>
        <v/>
      </c>
      <c r="H431" s="33">
        <f>IF(A431="","",MONTH(A431))</f>
        <v/>
      </c>
      <c r="I431" s="33">
        <f>IF(A431="","",YEAR(A431))</f>
        <v/>
      </c>
    </row>
    <row r="432" ht="15" customHeight="1" s="21">
      <c r="A432" s="34" t="n"/>
      <c r="B432" s="30" t="n"/>
      <c r="C432" s="30" t="n"/>
      <c r="D432" s="30" t="n"/>
      <c r="E432" s="33">
        <f>IF(B432="","",IFERROR(INDEX(Productos!$B$2:$B$501,MATCH(B432,Productos!$A$2:$A$501,0)),"¿Código?"))</f>
        <v/>
      </c>
      <c r="F432" s="32">
        <f>IF(C432&lt;&gt;"Venta","",D432*IFERROR(INDEX(Productos!$D$2:$D$501,MATCH(B432,Productos!$A$2:$A$501,0)),0))</f>
        <v/>
      </c>
      <c r="G432" s="32">
        <f>IF(C432&lt;&gt;"Venta","",D432*IFERROR(INDEX(Productos!$E$2:$E$501,MATCH(B432,Productos!$A$2:$A$501,0)),0))</f>
        <v/>
      </c>
      <c r="H432" s="33">
        <f>IF(A432="","",MONTH(A432))</f>
        <v/>
      </c>
      <c r="I432" s="33">
        <f>IF(A432="","",YEAR(A432))</f>
        <v/>
      </c>
    </row>
    <row r="433" ht="15" customHeight="1" s="21">
      <c r="A433" s="34" t="n"/>
      <c r="B433" s="30" t="n"/>
      <c r="C433" s="30" t="n"/>
      <c r="D433" s="30" t="n"/>
      <c r="E433" s="33">
        <f>IF(B433="","",IFERROR(INDEX(Productos!$B$2:$B$501,MATCH(B433,Productos!$A$2:$A$501,0)),"¿Código?"))</f>
        <v/>
      </c>
      <c r="F433" s="32">
        <f>IF(C433&lt;&gt;"Venta","",D433*IFERROR(INDEX(Productos!$D$2:$D$501,MATCH(B433,Productos!$A$2:$A$501,0)),0))</f>
        <v/>
      </c>
      <c r="G433" s="32">
        <f>IF(C433&lt;&gt;"Venta","",D433*IFERROR(INDEX(Productos!$E$2:$E$501,MATCH(B433,Productos!$A$2:$A$501,0)),0))</f>
        <v/>
      </c>
      <c r="H433" s="33">
        <f>IF(A433="","",MONTH(A433))</f>
        <v/>
      </c>
      <c r="I433" s="33">
        <f>IF(A433="","",YEAR(A433))</f>
        <v/>
      </c>
    </row>
    <row r="434" ht="15" customHeight="1" s="21">
      <c r="A434" s="34" t="n"/>
      <c r="B434" s="30" t="n"/>
      <c r="C434" s="30" t="n"/>
      <c r="D434" s="30" t="n"/>
      <c r="E434" s="33">
        <f>IF(B434="","",IFERROR(INDEX(Productos!$B$2:$B$501,MATCH(B434,Productos!$A$2:$A$501,0)),"¿Código?"))</f>
        <v/>
      </c>
      <c r="F434" s="32">
        <f>IF(C434&lt;&gt;"Venta","",D434*IFERROR(INDEX(Productos!$D$2:$D$501,MATCH(B434,Productos!$A$2:$A$501,0)),0))</f>
        <v/>
      </c>
      <c r="G434" s="32">
        <f>IF(C434&lt;&gt;"Venta","",D434*IFERROR(INDEX(Productos!$E$2:$E$501,MATCH(B434,Productos!$A$2:$A$501,0)),0))</f>
        <v/>
      </c>
      <c r="H434" s="33">
        <f>IF(A434="","",MONTH(A434))</f>
        <v/>
      </c>
      <c r="I434" s="33">
        <f>IF(A434="","",YEAR(A434))</f>
        <v/>
      </c>
    </row>
    <row r="435" ht="15" customHeight="1" s="21">
      <c r="A435" s="34" t="n"/>
      <c r="B435" s="30" t="n"/>
      <c r="C435" s="30" t="n"/>
      <c r="D435" s="30" t="n"/>
      <c r="E435" s="33">
        <f>IF(B435="","",IFERROR(INDEX(Productos!$B$2:$B$501,MATCH(B435,Productos!$A$2:$A$501,0)),"¿Código?"))</f>
        <v/>
      </c>
      <c r="F435" s="32">
        <f>IF(C435&lt;&gt;"Venta","",D435*IFERROR(INDEX(Productos!$D$2:$D$501,MATCH(B435,Productos!$A$2:$A$501,0)),0))</f>
        <v/>
      </c>
      <c r="G435" s="32">
        <f>IF(C435&lt;&gt;"Venta","",D435*IFERROR(INDEX(Productos!$E$2:$E$501,MATCH(B435,Productos!$A$2:$A$501,0)),0))</f>
        <v/>
      </c>
      <c r="H435" s="33">
        <f>IF(A435="","",MONTH(A435))</f>
        <v/>
      </c>
      <c r="I435" s="33">
        <f>IF(A435="","",YEAR(A435))</f>
        <v/>
      </c>
    </row>
    <row r="436" ht="15" customHeight="1" s="21">
      <c r="A436" s="34" t="n"/>
      <c r="B436" s="30" t="n"/>
      <c r="C436" s="30" t="n"/>
      <c r="D436" s="30" t="n"/>
      <c r="E436" s="33">
        <f>IF(B436="","",IFERROR(INDEX(Productos!$B$2:$B$501,MATCH(B436,Productos!$A$2:$A$501,0)),"¿Código?"))</f>
        <v/>
      </c>
      <c r="F436" s="32">
        <f>IF(C436&lt;&gt;"Venta","",D436*IFERROR(INDEX(Productos!$D$2:$D$501,MATCH(B436,Productos!$A$2:$A$501,0)),0))</f>
        <v/>
      </c>
      <c r="G436" s="32">
        <f>IF(C436&lt;&gt;"Venta","",D436*IFERROR(INDEX(Productos!$E$2:$E$501,MATCH(B436,Productos!$A$2:$A$501,0)),0))</f>
        <v/>
      </c>
      <c r="H436" s="33">
        <f>IF(A436="","",MONTH(A436))</f>
        <v/>
      </c>
      <c r="I436" s="33">
        <f>IF(A436="","",YEAR(A436))</f>
        <v/>
      </c>
    </row>
    <row r="437" ht="15" customHeight="1" s="21">
      <c r="A437" s="34" t="n"/>
      <c r="B437" s="30" t="n"/>
      <c r="C437" s="30" t="n"/>
      <c r="D437" s="30" t="n"/>
      <c r="E437" s="33">
        <f>IF(B437="","",IFERROR(INDEX(Productos!$B$2:$B$501,MATCH(B437,Productos!$A$2:$A$501,0)),"¿Código?"))</f>
        <v/>
      </c>
      <c r="F437" s="32">
        <f>IF(C437&lt;&gt;"Venta","",D437*IFERROR(INDEX(Productos!$D$2:$D$501,MATCH(B437,Productos!$A$2:$A$501,0)),0))</f>
        <v/>
      </c>
      <c r="G437" s="32">
        <f>IF(C437&lt;&gt;"Venta","",D437*IFERROR(INDEX(Productos!$E$2:$E$501,MATCH(B437,Productos!$A$2:$A$501,0)),0))</f>
        <v/>
      </c>
      <c r="H437" s="33">
        <f>IF(A437="","",MONTH(A437))</f>
        <v/>
      </c>
      <c r="I437" s="33">
        <f>IF(A437="","",YEAR(A437))</f>
        <v/>
      </c>
    </row>
    <row r="438" ht="15" customHeight="1" s="21">
      <c r="A438" s="34" t="n"/>
      <c r="B438" s="30" t="n"/>
      <c r="C438" s="30" t="n"/>
      <c r="D438" s="30" t="n"/>
      <c r="E438" s="33">
        <f>IF(B438="","",IFERROR(INDEX(Productos!$B$2:$B$501,MATCH(B438,Productos!$A$2:$A$501,0)),"¿Código?"))</f>
        <v/>
      </c>
      <c r="F438" s="32">
        <f>IF(C438&lt;&gt;"Venta","",D438*IFERROR(INDEX(Productos!$D$2:$D$501,MATCH(B438,Productos!$A$2:$A$501,0)),0))</f>
        <v/>
      </c>
      <c r="G438" s="32">
        <f>IF(C438&lt;&gt;"Venta","",D438*IFERROR(INDEX(Productos!$E$2:$E$501,MATCH(B438,Productos!$A$2:$A$501,0)),0))</f>
        <v/>
      </c>
      <c r="H438" s="33">
        <f>IF(A438="","",MONTH(A438))</f>
        <v/>
      </c>
      <c r="I438" s="33">
        <f>IF(A438="","",YEAR(A438))</f>
        <v/>
      </c>
    </row>
    <row r="439" ht="15" customHeight="1" s="21">
      <c r="A439" s="34" t="n"/>
      <c r="B439" s="30" t="n"/>
      <c r="C439" s="30" t="n"/>
      <c r="D439" s="30" t="n"/>
      <c r="E439" s="33">
        <f>IF(B439="","",IFERROR(INDEX(Productos!$B$2:$B$501,MATCH(B439,Productos!$A$2:$A$501,0)),"¿Código?"))</f>
        <v/>
      </c>
      <c r="F439" s="32">
        <f>IF(C439&lt;&gt;"Venta","",D439*IFERROR(INDEX(Productos!$D$2:$D$501,MATCH(B439,Productos!$A$2:$A$501,0)),0))</f>
        <v/>
      </c>
      <c r="G439" s="32">
        <f>IF(C439&lt;&gt;"Venta","",D439*IFERROR(INDEX(Productos!$E$2:$E$501,MATCH(B439,Productos!$A$2:$A$501,0)),0))</f>
        <v/>
      </c>
      <c r="H439" s="33">
        <f>IF(A439="","",MONTH(A439))</f>
        <v/>
      </c>
      <c r="I439" s="33">
        <f>IF(A439="","",YEAR(A439))</f>
        <v/>
      </c>
    </row>
    <row r="440" ht="15" customHeight="1" s="21">
      <c r="A440" s="34" t="n"/>
      <c r="B440" s="30" t="n"/>
      <c r="C440" s="30" t="n"/>
      <c r="D440" s="30" t="n"/>
      <c r="E440" s="33">
        <f>IF(B440="","",IFERROR(INDEX(Productos!$B$2:$B$501,MATCH(B440,Productos!$A$2:$A$501,0)),"¿Código?"))</f>
        <v/>
      </c>
      <c r="F440" s="32">
        <f>IF(C440&lt;&gt;"Venta","",D440*IFERROR(INDEX(Productos!$D$2:$D$501,MATCH(B440,Productos!$A$2:$A$501,0)),0))</f>
        <v/>
      </c>
      <c r="G440" s="32">
        <f>IF(C440&lt;&gt;"Venta","",D440*IFERROR(INDEX(Productos!$E$2:$E$501,MATCH(B440,Productos!$A$2:$A$501,0)),0))</f>
        <v/>
      </c>
      <c r="H440" s="33">
        <f>IF(A440="","",MONTH(A440))</f>
        <v/>
      </c>
      <c r="I440" s="33">
        <f>IF(A440="","",YEAR(A440))</f>
        <v/>
      </c>
    </row>
    <row r="441" ht="15" customHeight="1" s="21">
      <c r="A441" s="34" t="n"/>
      <c r="B441" s="30" t="n"/>
      <c r="C441" s="30" t="n"/>
      <c r="D441" s="30" t="n"/>
      <c r="E441" s="33">
        <f>IF(B441="","",IFERROR(INDEX(Productos!$B$2:$B$501,MATCH(B441,Productos!$A$2:$A$501,0)),"¿Código?"))</f>
        <v/>
      </c>
      <c r="F441" s="32">
        <f>IF(C441&lt;&gt;"Venta","",D441*IFERROR(INDEX(Productos!$D$2:$D$501,MATCH(B441,Productos!$A$2:$A$501,0)),0))</f>
        <v/>
      </c>
      <c r="G441" s="32">
        <f>IF(C441&lt;&gt;"Venta","",D441*IFERROR(INDEX(Productos!$E$2:$E$501,MATCH(B441,Productos!$A$2:$A$501,0)),0))</f>
        <v/>
      </c>
      <c r="H441" s="33">
        <f>IF(A441="","",MONTH(A441))</f>
        <v/>
      </c>
      <c r="I441" s="33">
        <f>IF(A441="","",YEAR(A441))</f>
        <v/>
      </c>
    </row>
    <row r="442" ht="15" customHeight="1" s="21">
      <c r="A442" s="34" t="n"/>
      <c r="B442" s="30" t="n"/>
      <c r="C442" s="30" t="n"/>
      <c r="D442" s="30" t="n"/>
      <c r="E442" s="33">
        <f>IF(B442="","",IFERROR(INDEX(Productos!$B$2:$B$501,MATCH(B442,Productos!$A$2:$A$501,0)),"¿Código?"))</f>
        <v/>
      </c>
      <c r="F442" s="32">
        <f>IF(C442&lt;&gt;"Venta","",D442*IFERROR(INDEX(Productos!$D$2:$D$501,MATCH(B442,Productos!$A$2:$A$501,0)),0))</f>
        <v/>
      </c>
      <c r="G442" s="32">
        <f>IF(C442&lt;&gt;"Venta","",D442*IFERROR(INDEX(Productos!$E$2:$E$501,MATCH(B442,Productos!$A$2:$A$501,0)),0))</f>
        <v/>
      </c>
      <c r="H442" s="33">
        <f>IF(A442="","",MONTH(A442))</f>
        <v/>
      </c>
      <c r="I442" s="33">
        <f>IF(A442="","",YEAR(A442))</f>
        <v/>
      </c>
    </row>
    <row r="443" ht="15" customHeight="1" s="21">
      <c r="A443" s="34" t="n"/>
      <c r="B443" s="30" t="n"/>
      <c r="C443" s="30" t="n"/>
      <c r="D443" s="30" t="n"/>
      <c r="E443" s="33">
        <f>IF(B443="","",IFERROR(INDEX(Productos!$B$2:$B$501,MATCH(B443,Productos!$A$2:$A$501,0)),"¿Código?"))</f>
        <v/>
      </c>
      <c r="F443" s="32">
        <f>IF(C443&lt;&gt;"Venta","",D443*IFERROR(INDEX(Productos!$D$2:$D$501,MATCH(B443,Productos!$A$2:$A$501,0)),0))</f>
        <v/>
      </c>
      <c r="G443" s="32">
        <f>IF(C443&lt;&gt;"Venta","",D443*IFERROR(INDEX(Productos!$E$2:$E$501,MATCH(B443,Productos!$A$2:$A$501,0)),0))</f>
        <v/>
      </c>
      <c r="H443" s="33">
        <f>IF(A443="","",MONTH(A443))</f>
        <v/>
      </c>
      <c r="I443" s="33">
        <f>IF(A443="","",YEAR(A443))</f>
        <v/>
      </c>
    </row>
    <row r="444" ht="15" customHeight="1" s="21">
      <c r="A444" s="34" t="n"/>
      <c r="B444" s="30" t="n"/>
      <c r="C444" s="30" t="n"/>
      <c r="D444" s="30" t="n"/>
      <c r="E444" s="33">
        <f>IF(B444="","",IFERROR(INDEX(Productos!$B$2:$B$501,MATCH(B444,Productos!$A$2:$A$501,0)),"¿Código?"))</f>
        <v/>
      </c>
      <c r="F444" s="32">
        <f>IF(C444&lt;&gt;"Venta","",D444*IFERROR(INDEX(Productos!$D$2:$D$501,MATCH(B444,Productos!$A$2:$A$501,0)),0))</f>
        <v/>
      </c>
      <c r="G444" s="32">
        <f>IF(C444&lt;&gt;"Venta","",D444*IFERROR(INDEX(Productos!$E$2:$E$501,MATCH(B444,Productos!$A$2:$A$501,0)),0))</f>
        <v/>
      </c>
      <c r="H444" s="33">
        <f>IF(A444="","",MONTH(A444))</f>
        <v/>
      </c>
      <c r="I444" s="33">
        <f>IF(A444="","",YEAR(A444))</f>
        <v/>
      </c>
    </row>
    <row r="445" ht="15" customHeight="1" s="21">
      <c r="A445" s="34" t="n"/>
      <c r="B445" s="30" t="n"/>
      <c r="C445" s="30" t="n"/>
      <c r="D445" s="30" t="n"/>
      <c r="E445" s="33">
        <f>IF(B445="","",IFERROR(INDEX(Productos!$B$2:$B$501,MATCH(B445,Productos!$A$2:$A$501,0)),"¿Código?"))</f>
        <v/>
      </c>
      <c r="F445" s="32">
        <f>IF(C445&lt;&gt;"Venta","",D445*IFERROR(INDEX(Productos!$D$2:$D$501,MATCH(B445,Productos!$A$2:$A$501,0)),0))</f>
        <v/>
      </c>
      <c r="G445" s="32">
        <f>IF(C445&lt;&gt;"Venta","",D445*IFERROR(INDEX(Productos!$E$2:$E$501,MATCH(B445,Productos!$A$2:$A$501,0)),0))</f>
        <v/>
      </c>
      <c r="H445" s="33">
        <f>IF(A445="","",MONTH(A445))</f>
        <v/>
      </c>
      <c r="I445" s="33">
        <f>IF(A445="","",YEAR(A445))</f>
        <v/>
      </c>
    </row>
    <row r="446" ht="15" customHeight="1" s="21">
      <c r="A446" s="34" t="n"/>
      <c r="B446" s="30" t="n"/>
      <c r="C446" s="30" t="n"/>
      <c r="D446" s="30" t="n"/>
      <c r="E446" s="33">
        <f>IF(B446="","",IFERROR(INDEX(Productos!$B$2:$B$501,MATCH(B446,Productos!$A$2:$A$501,0)),"¿Código?"))</f>
        <v/>
      </c>
      <c r="F446" s="32">
        <f>IF(C446&lt;&gt;"Venta","",D446*IFERROR(INDEX(Productos!$D$2:$D$501,MATCH(B446,Productos!$A$2:$A$501,0)),0))</f>
        <v/>
      </c>
      <c r="G446" s="32">
        <f>IF(C446&lt;&gt;"Venta","",D446*IFERROR(INDEX(Productos!$E$2:$E$501,MATCH(B446,Productos!$A$2:$A$501,0)),0))</f>
        <v/>
      </c>
      <c r="H446" s="33">
        <f>IF(A446="","",MONTH(A446))</f>
        <v/>
      </c>
      <c r="I446" s="33">
        <f>IF(A446="","",YEAR(A446))</f>
        <v/>
      </c>
    </row>
    <row r="447" ht="15" customHeight="1" s="21">
      <c r="A447" s="34" t="n"/>
      <c r="B447" s="30" t="n"/>
      <c r="C447" s="30" t="n"/>
      <c r="D447" s="30" t="n"/>
      <c r="E447" s="33">
        <f>IF(B447="","",IFERROR(INDEX(Productos!$B$2:$B$501,MATCH(B447,Productos!$A$2:$A$501,0)),"¿Código?"))</f>
        <v/>
      </c>
      <c r="F447" s="32">
        <f>IF(C447&lt;&gt;"Venta","",D447*IFERROR(INDEX(Productos!$D$2:$D$501,MATCH(B447,Productos!$A$2:$A$501,0)),0))</f>
        <v/>
      </c>
      <c r="G447" s="32">
        <f>IF(C447&lt;&gt;"Venta","",D447*IFERROR(INDEX(Productos!$E$2:$E$501,MATCH(B447,Productos!$A$2:$A$501,0)),0))</f>
        <v/>
      </c>
      <c r="H447" s="33">
        <f>IF(A447="","",MONTH(A447))</f>
        <v/>
      </c>
      <c r="I447" s="33">
        <f>IF(A447="","",YEAR(A447))</f>
        <v/>
      </c>
    </row>
    <row r="448" ht="15" customHeight="1" s="21">
      <c r="A448" s="34" t="n"/>
      <c r="B448" s="30" t="n"/>
      <c r="C448" s="30" t="n"/>
      <c r="D448" s="30" t="n"/>
      <c r="E448" s="33">
        <f>IF(B448="","",IFERROR(INDEX(Productos!$B$2:$B$501,MATCH(B448,Productos!$A$2:$A$501,0)),"¿Código?"))</f>
        <v/>
      </c>
      <c r="F448" s="32">
        <f>IF(C448&lt;&gt;"Venta","",D448*IFERROR(INDEX(Productos!$D$2:$D$501,MATCH(B448,Productos!$A$2:$A$501,0)),0))</f>
        <v/>
      </c>
      <c r="G448" s="32">
        <f>IF(C448&lt;&gt;"Venta","",D448*IFERROR(INDEX(Productos!$E$2:$E$501,MATCH(B448,Productos!$A$2:$A$501,0)),0))</f>
        <v/>
      </c>
      <c r="H448" s="33">
        <f>IF(A448="","",MONTH(A448))</f>
        <v/>
      </c>
      <c r="I448" s="33">
        <f>IF(A448="","",YEAR(A448))</f>
        <v/>
      </c>
    </row>
    <row r="449" ht="15" customHeight="1" s="21">
      <c r="A449" s="34" t="n"/>
      <c r="B449" s="30" t="n"/>
      <c r="C449" s="30" t="n"/>
      <c r="D449" s="30" t="n"/>
      <c r="E449" s="33">
        <f>IF(B449="","",IFERROR(INDEX(Productos!$B$2:$B$501,MATCH(B449,Productos!$A$2:$A$501,0)),"¿Código?"))</f>
        <v/>
      </c>
      <c r="F449" s="32">
        <f>IF(C449&lt;&gt;"Venta","",D449*IFERROR(INDEX(Productos!$D$2:$D$501,MATCH(B449,Productos!$A$2:$A$501,0)),0))</f>
        <v/>
      </c>
      <c r="G449" s="32">
        <f>IF(C449&lt;&gt;"Venta","",D449*IFERROR(INDEX(Productos!$E$2:$E$501,MATCH(B449,Productos!$A$2:$A$501,0)),0))</f>
        <v/>
      </c>
      <c r="H449" s="33">
        <f>IF(A449="","",MONTH(A449))</f>
        <v/>
      </c>
      <c r="I449" s="33">
        <f>IF(A449="","",YEAR(A449))</f>
        <v/>
      </c>
    </row>
    <row r="450" ht="15" customHeight="1" s="21">
      <c r="A450" s="34" t="n"/>
      <c r="B450" s="30" t="n"/>
      <c r="C450" s="30" t="n"/>
      <c r="D450" s="30" t="n"/>
      <c r="E450" s="33">
        <f>IF(B450="","",IFERROR(INDEX(Productos!$B$2:$B$501,MATCH(B450,Productos!$A$2:$A$501,0)),"¿Código?"))</f>
        <v/>
      </c>
      <c r="F450" s="32">
        <f>IF(C450&lt;&gt;"Venta","",D450*IFERROR(INDEX(Productos!$D$2:$D$501,MATCH(B450,Productos!$A$2:$A$501,0)),0))</f>
        <v/>
      </c>
      <c r="G450" s="32">
        <f>IF(C450&lt;&gt;"Venta","",D450*IFERROR(INDEX(Productos!$E$2:$E$501,MATCH(B450,Productos!$A$2:$A$501,0)),0))</f>
        <v/>
      </c>
      <c r="H450" s="33">
        <f>IF(A450="","",MONTH(A450))</f>
        <v/>
      </c>
      <c r="I450" s="33">
        <f>IF(A450="","",YEAR(A450))</f>
        <v/>
      </c>
    </row>
    <row r="451" ht="15" customHeight="1" s="21">
      <c r="A451" s="34" t="n"/>
      <c r="B451" s="30" t="n"/>
      <c r="C451" s="30" t="n"/>
      <c r="D451" s="30" t="n"/>
      <c r="E451" s="33">
        <f>IF(B451="","",IFERROR(INDEX(Productos!$B$2:$B$501,MATCH(B451,Productos!$A$2:$A$501,0)),"¿Código?"))</f>
        <v/>
      </c>
      <c r="F451" s="32">
        <f>IF(C451&lt;&gt;"Venta","",D451*IFERROR(INDEX(Productos!$D$2:$D$501,MATCH(B451,Productos!$A$2:$A$501,0)),0))</f>
        <v/>
      </c>
      <c r="G451" s="32">
        <f>IF(C451&lt;&gt;"Venta","",D451*IFERROR(INDEX(Productos!$E$2:$E$501,MATCH(B451,Productos!$A$2:$A$501,0)),0))</f>
        <v/>
      </c>
      <c r="H451" s="33">
        <f>IF(A451="","",MONTH(A451))</f>
        <v/>
      </c>
      <c r="I451" s="33">
        <f>IF(A451="","",YEAR(A451))</f>
        <v/>
      </c>
    </row>
    <row r="452" ht="15" customHeight="1" s="21">
      <c r="A452" s="34" t="n"/>
      <c r="B452" s="30" t="n"/>
      <c r="C452" s="30" t="n"/>
      <c r="D452" s="30" t="n"/>
      <c r="E452" s="33">
        <f>IF(B452="","",IFERROR(INDEX(Productos!$B$2:$B$501,MATCH(B452,Productos!$A$2:$A$501,0)),"¿Código?"))</f>
        <v/>
      </c>
      <c r="F452" s="32">
        <f>IF(C452&lt;&gt;"Venta","",D452*IFERROR(INDEX(Productos!$D$2:$D$501,MATCH(B452,Productos!$A$2:$A$501,0)),0))</f>
        <v/>
      </c>
      <c r="G452" s="32">
        <f>IF(C452&lt;&gt;"Venta","",D452*IFERROR(INDEX(Productos!$E$2:$E$501,MATCH(B452,Productos!$A$2:$A$501,0)),0))</f>
        <v/>
      </c>
      <c r="H452" s="33">
        <f>IF(A452="","",MONTH(A452))</f>
        <v/>
      </c>
      <c r="I452" s="33">
        <f>IF(A452="","",YEAR(A452))</f>
        <v/>
      </c>
    </row>
    <row r="453" ht="15" customHeight="1" s="21">
      <c r="A453" s="34" t="n"/>
      <c r="B453" s="30" t="n"/>
      <c r="C453" s="30" t="n"/>
      <c r="D453" s="30" t="n"/>
      <c r="E453" s="33">
        <f>IF(B453="","",IFERROR(INDEX(Productos!$B$2:$B$501,MATCH(B453,Productos!$A$2:$A$501,0)),"¿Código?"))</f>
        <v/>
      </c>
      <c r="F453" s="32">
        <f>IF(C453&lt;&gt;"Venta","",D453*IFERROR(INDEX(Productos!$D$2:$D$501,MATCH(B453,Productos!$A$2:$A$501,0)),0))</f>
        <v/>
      </c>
      <c r="G453" s="32">
        <f>IF(C453&lt;&gt;"Venta","",D453*IFERROR(INDEX(Productos!$E$2:$E$501,MATCH(B453,Productos!$A$2:$A$501,0)),0))</f>
        <v/>
      </c>
      <c r="H453" s="33">
        <f>IF(A453="","",MONTH(A453))</f>
        <v/>
      </c>
      <c r="I453" s="33">
        <f>IF(A453="","",YEAR(A453))</f>
        <v/>
      </c>
    </row>
    <row r="454" ht="15" customHeight="1" s="21">
      <c r="A454" s="34" t="n"/>
      <c r="B454" s="30" t="n"/>
      <c r="C454" s="30" t="n"/>
      <c r="D454" s="30" t="n"/>
      <c r="E454" s="33">
        <f>IF(B454="","",IFERROR(INDEX(Productos!$B$2:$B$501,MATCH(B454,Productos!$A$2:$A$501,0)),"¿Código?"))</f>
        <v/>
      </c>
      <c r="F454" s="32">
        <f>IF(C454&lt;&gt;"Venta","",D454*IFERROR(INDEX(Productos!$D$2:$D$501,MATCH(B454,Productos!$A$2:$A$501,0)),0))</f>
        <v/>
      </c>
      <c r="G454" s="32">
        <f>IF(C454&lt;&gt;"Venta","",D454*IFERROR(INDEX(Productos!$E$2:$E$501,MATCH(B454,Productos!$A$2:$A$501,0)),0))</f>
        <v/>
      </c>
      <c r="H454" s="33">
        <f>IF(A454="","",MONTH(A454))</f>
        <v/>
      </c>
      <c r="I454" s="33">
        <f>IF(A454="","",YEAR(A454))</f>
        <v/>
      </c>
    </row>
    <row r="455" ht="15" customHeight="1" s="21">
      <c r="A455" s="34" t="n"/>
      <c r="B455" s="30" t="n"/>
      <c r="C455" s="30" t="n"/>
      <c r="D455" s="30" t="n"/>
      <c r="E455" s="33">
        <f>IF(B455="","",IFERROR(INDEX(Productos!$B$2:$B$501,MATCH(B455,Productos!$A$2:$A$501,0)),"¿Código?"))</f>
        <v/>
      </c>
      <c r="F455" s="32">
        <f>IF(C455&lt;&gt;"Venta","",D455*IFERROR(INDEX(Productos!$D$2:$D$501,MATCH(B455,Productos!$A$2:$A$501,0)),0))</f>
        <v/>
      </c>
      <c r="G455" s="32">
        <f>IF(C455&lt;&gt;"Venta","",D455*IFERROR(INDEX(Productos!$E$2:$E$501,MATCH(B455,Productos!$A$2:$A$501,0)),0))</f>
        <v/>
      </c>
      <c r="H455" s="33">
        <f>IF(A455="","",MONTH(A455))</f>
        <v/>
      </c>
      <c r="I455" s="33">
        <f>IF(A455="","",YEAR(A455))</f>
        <v/>
      </c>
    </row>
    <row r="456" ht="15" customHeight="1" s="21">
      <c r="A456" s="34" t="n"/>
      <c r="B456" s="30" t="n"/>
      <c r="C456" s="30" t="n"/>
      <c r="D456" s="30" t="n"/>
      <c r="E456" s="33">
        <f>IF(B456="","",IFERROR(INDEX(Productos!$B$2:$B$501,MATCH(B456,Productos!$A$2:$A$501,0)),"¿Código?"))</f>
        <v/>
      </c>
      <c r="F456" s="32">
        <f>IF(C456&lt;&gt;"Venta","",D456*IFERROR(INDEX(Productos!$D$2:$D$501,MATCH(B456,Productos!$A$2:$A$501,0)),0))</f>
        <v/>
      </c>
      <c r="G456" s="32">
        <f>IF(C456&lt;&gt;"Venta","",D456*IFERROR(INDEX(Productos!$E$2:$E$501,MATCH(B456,Productos!$A$2:$A$501,0)),0))</f>
        <v/>
      </c>
      <c r="H456" s="33">
        <f>IF(A456="","",MONTH(A456))</f>
        <v/>
      </c>
      <c r="I456" s="33">
        <f>IF(A456="","",YEAR(A456))</f>
        <v/>
      </c>
    </row>
    <row r="457" ht="15" customHeight="1" s="21">
      <c r="A457" s="34" t="n"/>
      <c r="B457" s="30" t="n"/>
      <c r="C457" s="30" t="n"/>
      <c r="D457" s="30" t="n"/>
      <c r="E457" s="33">
        <f>IF(B457="","",IFERROR(INDEX(Productos!$B$2:$B$501,MATCH(B457,Productos!$A$2:$A$501,0)),"¿Código?"))</f>
        <v/>
      </c>
      <c r="F457" s="32">
        <f>IF(C457&lt;&gt;"Venta","",D457*IFERROR(INDEX(Productos!$D$2:$D$501,MATCH(B457,Productos!$A$2:$A$501,0)),0))</f>
        <v/>
      </c>
      <c r="G457" s="32">
        <f>IF(C457&lt;&gt;"Venta","",D457*IFERROR(INDEX(Productos!$E$2:$E$501,MATCH(B457,Productos!$A$2:$A$501,0)),0))</f>
        <v/>
      </c>
      <c r="H457" s="33">
        <f>IF(A457="","",MONTH(A457))</f>
        <v/>
      </c>
      <c r="I457" s="33">
        <f>IF(A457="","",YEAR(A457))</f>
        <v/>
      </c>
    </row>
    <row r="458" ht="15" customHeight="1" s="21">
      <c r="A458" s="34" t="n"/>
      <c r="B458" s="30" t="n"/>
      <c r="C458" s="30" t="n"/>
      <c r="D458" s="30" t="n"/>
      <c r="E458" s="33">
        <f>IF(B458="","",IFERROR(INDEX(Productos!$B$2:$B$501,MATCH(B458,Productos!$A$2:$A$501,0)),"¿Código?"))</f>
        <v/>
      </c>
      <c r="F458" s="32">
        <f>IF(C458&lt;&gt;"Venta","",D458*IFERROR(INDEX(Productos!$D$2:$D$501,MATCH(B458,Productos!$A$2:$A$501,0)),0))</f>
        <v/>
      </c>
      <c r="G458" s="32">
        <f>IF(C458&lt;&gt;"Venta","",D458*IFERROR(INDEX(Productos!$E$2:$E$501,MATCH(B458,Productos!$A$2:$A$501,0)),0))</f>
        <v/>
      </c>
      <c r="H458" s="33">
        <f>IF(A458="","",MONTH(A458))</f>
        <v/>
      </c>
      <c r="I458" s="33">
        <f>IF(A458="","",YEAR(A458))</f>
        <v/>
      </c>
    </row>
    <row r="459" ht="15" customHeight="1" s="21">
      <c r="A459" s="34" t="n"/>
      <c r="B459" s="30" t="n"/>
      <c r="C459" s="30" t="n"/>
      <c r="D459" s="30" t="n"/>
      <c r="E459" s="33">
        <f>IF(B459="","",IFERROR(INDEX(Productos!$B$2:$B$501,MATCH(B459,Productos!$A$2:$A$501,0)),"¿Código?"))</f>
        <v/>
      </c>
      <c r="F459" s="32">
        <f>IF(C459&lt;&gt;"Venta","",D459*IFERROR(INDEX(Productos!$D$2:$D$501,MATCH(B459,Productos!$A$2:$A$501,0)),0))</f>
        <v/>
      </c>
      <c r="G459" s="32">
        <f>IF(C459&lt;&gt;"Venta","",D459*IFERROR(INDEX(Productos!$E$2:$E$501,MATCH(B459,Productos!$A$2:$A$501,0)),0))</f>
        <v/>
      </c>
      <c r="H459" s="33">
        <f>IF(A459="","",MONTH(A459))</f>
        <v/>
      </c>
      <c r="I459" s="33">
        <f>IF(A459="","",YEAR(A459))</f>
        <v/>
      </c>
    </row>
    <row r="460" ht="15" customHeight="1" s="21">
      <c r="A460" s="34" t="n"/>
      <c r="B460" s="30" t="n"/>
      <c r="C460" s="30" t="n"/>
      <c r="D460" s="30" t="n"/>
      <c r="E460" s="33">
        <f>IF(B460="","",IFERROR(INDEX(Productos!$B$2:$B$501,MATCH(B460,Productos!$A$2:$A$501,0)),"¿Código?"))</f>
        <v/>
      </c>
      <c r="F460" s="32">
        <f>IF(C460&lt;&gt;"Venta","",D460*IFERROR(INDEX(Productos!$D$2:$D$501,MATCH(B460,Productos!$A$2:$A$501,0)),0))</f>
        <v/>
      </c>
      <c r="G460" s="32">
        <f>IF(C460&lt;&gt;"Venta","",D460*IFERROR(INDEX(Productos!$E$2:$E$501,MATCH(B460,Productos!$A$2:$A$501,0)),0))</f>
        <v/>
      </c>
      <c r="H460" s="33">
        <f>IF(A460="","",MONTH(A460))</f>
        <v/>
      </c>
      <c r="I460" s="33">
        <f>IF(A460="","",YEAR(A460))</f>
        <v/>
      </c>
    </row>
    <row r="461" ht="15" customHeight="1" s="21">
      <c r="A461" s="34" t="n"/>
      <c r="B461" s="30" t="n"/>
      <c r="C461" s="30" t="n"/>
      <c r="D461" s="30" t="n"/>
      <c r="E461" s="33">
        <f>IF(B461="","",IFERROR(INDEX(Productos!$B$2:$B$501,MATCH(B461,Productos!$A$2:$A$501,0)),"¿Código?"))</f>
        <v/>
      </c>
      <c r="F461" s="32">
        <f>IF(C461&lt;&gt;"Venta","",D461*IFERROR(INDEX(Productos!$D$2:$D$501,MATCH(B461,Productos!$A$2:$A$501,0)),0))</f>
        <v/>
      </c>
      <c r="G461" s="32">
        <f>IF(C461&lt;&gt;"Venta","",D461*IFERROR(INDEX(Productos!$E$2:$E$501,MATCH(B461,Productos!$A$2:$A$501,0)),0))</f>
        <v/>
      </c>
      <c r="H461" s="33">
        <f>IF(A461="","",MONTH(A461))</f>
        <v/>
      </c>
      <c r="I461" s="33">
        <f>IF(A461="","",YEAR(A461))</f>
        <v/>
      </c>
    </row>
    <row r="462" ht="15" customHeight="1" s="21">
      <c r="A462" s="34" t="n"/>
      <c r="B462" s="30" t="n"/>
      <c r="C462" s="30" t="n"/>
      <c r="D462" s="30" t="n"/>
      <c r="E462" s="33">
        <f>IF(B462="","",IFERROR(INDEX(Productos!$B$2:$B$501,MATCH(B462,Productos!$A$2:$A$501,0)),"¿Código?"))</f>
        <v/>
      </c>
      <c r="F462" s="32">
        <f>IF(C462&lt;&gt;"Venta","",D462*IFERROR(INDEX(Productos!$D$2:$D$501,MATCH(B462,Productos!$A$2:$A$501,0)),0))</f>
        <v/>
      </c>
      <c r="G462" s="32">
        <f>IF(C462&lt;&gt;"Venta","",D462*IFERROR(INDEX(Productos!$E$2:$E$501,MATCH(B462,Productos!$A$2:$A$501,0)),0))</f>
        <v/>
      </c>
      <c r="H462" s="33">
        <f>IF(A462="","",MONTH(A462))</f>
        <v/>
      </c>
      <c r="I462" s="33">
        <f>IF(A462="","",YEAR(A462))</f>
        <v/>
      </c>
    </row>
    <row r="463" ht="15" customHeight="1" s="21">
      <c r="A463" s="34" t="n"/>
      <c r="B463" s="30" t="n"/>
      <c r="C463" s="30" t="n"/>
      <c r="D463" s="30" t="n"/>
      <c r="E463" s="33">
        <f>IF(B463="","",IFERROR(INDEX(Productos!$B$2:$B$501,MATCH(B463,Productos!$A$2:$A$501,0)),"¿Código?"))</f>
        <v/>
      </c>
      <c r="F463" s="32">
        <f>IF(C463&lt;&gt;"Venta","",D463*IFERROR(INDEX(Productos!$D$2:$D$501,MATCH(B463,Productos!$A$2:$A$501,0)),0))</f>
        <v/>
      </c>
      <c r="G463" s="32">
        <f>IF(C463&lt;&gt;"Venta","",D463*IFERROR(INDEX(Productos!$E$2:$E$501,MATCH(B463,Productos!$A$2:$A$501,0)),0))</f>
        <v/>
      </c>
      <c r="H463" s="33">
        <f>IF(A463="","",MONTH(A463))</f>
        <v/>
      </c>
      <c r="I463" s="33">
        <f>IF(A463="","",YEAR(A463))</f>
        <v/>
      </c>
    </row>
    <row r="464" ht="15" customHeight="1" s="21">
      <c r="A464" s="34" t="n"/>
      <c r="B464" s="30" t="n"/>
      <c r="C464" s="30" t="n"/>
      <c r="D464" s="30" t="n"/>
      <c r="E464" s="33">
        <f>IF(B464="","",IFERROR(INDEX(Productos!$B$2:$B$501,MATCH(B464,Productos!$A$2:$A$501,0)),"¿Código?"))</f>
        <v/>
      </c>
      <c r="F464" s="32">
        <f>IF(C464&lt;&gt;"Venta","",D464*IFERROR(INDEX(Productos!$D$2:$D$501,MATCH(B464,Productos!$A$2:$A$501,0)),0))</f>
        <v/>
      </c>
      <c r="G464" s="32">
        <f>IF(C464&lt;&gt;"Venta","",D464*IFERROR(INDEX(Productos!$E$2:$E$501,MATCH(B464,Productos!$A$2:$A$501,0)),0))</f>
        <v/>
      </c>
      <c r="H464" s="33">
        <f>IF(A464="","",MONTH(A464))</f>
        <v/>
      </c>
      <c r="I464" s="33">
        <f>IF(A464="","",YEAR(A464))</f>
        <v/>
      </c>
    </row>
    <row r="465" ht="15" customHeight="1" s="21">
      <c r="A465" s="34" t="n"/>
      <c r="B465" s="30" t="n"/>
      <c r="C465" s="30" t="n"/>
      <c r="D465" s="30" t="n"/>
      <c r="E465" s="33">
        <f>IF(B465="","",IFERROR(INDEX(Productos!$B$2:$B$501,MATCH(B465,Productos!$A$2:$A$501,0)),"¿Código?"))</f>
        <v/>
      </c>
      <c r="F465" s="32">
        <f>IF(C465&lt;&gt;"Venta","",D465*IFERROR(INDEX(Productos!$D$2:$D$501,MATCH(B465,Productos!$A$2:$A$501,0)),0))</f>
        <v/>
      </c>
      <c r="G465" s="32">
        <f>IF(C465&lt;&gt;"Venta","",D465*IFERROR(INDEX(Productos!$E$2:$E$501,MATCH(B465,Productos!$A$2:$A$501,0)),0))</f>
        <v/>
      </c>
      <c r="H465" s="33">
        <f>IF(A465="","",MONTH(A465))</f>
        <v/>
      </c>
      <c r="I465" s="33">
        <f>IF(A465="","",YEAR(A465))</f>
        <v/>
      </c>
    </row>
    <row r="466" ht="15" customHeight="1" s="21">
      <c r="A466" s="34" t="n"/>
      <c r="B466" s="30" t="n"/>
      <c r="C466" s="30" t="n"/>
      <c r="D466" s="30" t="n"/>
      <c r="E466" s="33">
        <f>IF(B466="","",IFERROR(INDEX(Productos!$B$2:$B$501,MATCH(B466,Productos!$A$2:$A$501,0)),"¿Código?"))</f>
        <v/>
      </c>
      <c r="F466" s="32">
        <f>IF(C466&lt;&gt;"Venta","",D466*IFERROR(INDEX(Productos!$D$2:$D$501,MATCH(B466,Productos!$A$2:$A$501,0)),0))</f>
        <v/>
      </c>
      <c r="G466" s="32">
        <f>IF(C466&lt;&gt;"Venta","",D466*IFERROR(INDEX(Productos!$E$2:$E$501,MATCH(B466,Productos!$A$2:$A$501,0)),0))</f>
        <v/>
      </c>
      <c r="H466" s="33">
        <f>IF(A466="","",MONTH(A466))</f>
        <v/>
      </c>
      <c r="I466" s="33">
        <f>IF(A466="","",YEAR(A466))</f>
        <v/>
      </c>
    </row>
    <row r="467" ht="15" customHeight="1" s="21">
      <c r="A467" s="34" t="n"/>
      <c r="B467" s="30" t="n"/>
      <c r="C467" s="30" t="n"/>
      <c r="D467" s="30" t="n"/>
      <c r="E467" s="33">
        <f>IF(B467="","",IFERROR(INDEX(Productos!$B$2:$B$501,MATCH(B467,Productos!$A$2:$A$501,0)),"¿Código?"))</f>
        <v/>
      </c>
      <c r="F467" s="32">
        <f>IF(C467&lt;&gt;"Venta","",D467*IFERROR(INDEX(Productos!$D$2:$D$501,MATCH(B467,Productos!$A$2:$A$501,0)),0))</f>
        <v/>
      </c>
      <c r="G467" s="32">
        <f>IF(C467&lt;&gt;"Venta","",D467*IFERROR(INDEX(Productos!$E$2:$E$501,MATCH(B467,Productos!$A$2:$A$501,0)),0))</f>
        <v/>
      </c>
      <c r="H467" s="33">
        <f>IF(A467="","",MONTH(A467))</f>
        <v/>
      </c>
      <c r="I467" s="33">
        <f>IF(A467="","",YEAR(A467))</f>
        <v/>
      </c>
    </row>
    <row r="468" ht="15" customHeight="1" s="21">
      <c r="A468" s="34" t="n"/>
      <c r="B468" s="30" t="n"/>
      <c r="C468" s="30" t="n"/>
      <c r="D468" s="30" t="n"/>
      <c r="E468" s="33">
        <f>IF(B468="","",IFERROR(INDEX(Productos!$B$2:$B$501,MATCH(B468,Productos!$A$2:$A$501,0)),"¿Código?"))</f>
        <v/>
      </c>
      <c r="F468" s="32">
        <f>IF(C468&lt;&gt;"Venta","",D468*IFERROR(INDEX(Productos!$D$2:$D$501,MATCH(B468,Productos!$A$2:$A$501,0)),0))</f>
        <v/>
      </c>
      <c r="G468" s="32">
        <f>IF(C468&lt;&gt;"Venta","",D468*IFERROR(INDEX(Productos!$E$2:$E$501,MATCH(B468,Productos!$A$2:$A$501,0)),0))</f>
        <v/>
      </c>
      <c r="H468" s="33">
        <f>IF(A468="","",MONTH(A468))</f>
        <v/>
      </c>
      <c r="I468" s="33">
        <f>IF(A468="","",YEAR(A468))</f>
        <v/>
      </c>
    </row>
    <row r="469" ht="15" customHeight="1" s="21">
      <c r="A469" s="34" t="n"/>
      <c r="B469" s="30" t="n"/>
      <c r="C469" s="30" t="n"/>
      <c r="D469" s="30" t="n"/>
      <c r="E469" s="33">
        <f>IF(B469="","",IFERROR(INDEX(Productos!$B$2:$B$501,MATCH(B469,Productos!$A$2:$A$501,0)),"¿Código?"))</f>
        <v/>
      </c>
      <c r="F469" s="32">
        <f>IF(C469&lt;&gt;"Venta","",D469*IFERROR(INDEX(Productos!$D$2:$D$501,MATCH(B469,Productos!$A$2:$A$501,0)),0))</f>
        <v/>
      </c>
      <c r="G469" s="32">
        <f>IF(C469&lt;&gt;"Venta","",D469*IFERROR(INDEX(Productos!$E$2:$E$501,MATCH(B469,Productos!$A$2:$A$501,0)),0))</f>
        <v/>
      </c>
      <c r="H469" s="33">
        <f>IF(A469="","",MONTH(A469))</f>
        <v/>
      </c>
      <c r="I469" s="33">
        <f>IF(A469="","",YEAR(A469))</f>
        <v/>
      </c>
    </row>
    <row r="470" ht="15" customHeight="1" s="21">
      <c r="A470" s="34" t="n"/>
      <c r="B470" s="30" t="n"/>
      <c r="C470" s="30" t="n"/>
      <c r="D470" s="30" t="n"/>
      <c r="E470" s="33">
        <f>IF(B470="","",IFERROR(INDEX(Productos!$B$2:$B$501,MATCH(B470,Productos!$A$2:$A$501,0)),"¿Código?"))</f>
        <v/>
      </c>
      <c r="F470" s="32">
        <f>IF(C470&lt;&gt;"Venta","",D470*IFERROR(INDEX(Productos!$D$2:$D$501,MATCH(B470,Productos!$A$2:$A$501,0)),0))</f>
        <v/>
      </c>
      <c r="G470" s="32">
        <f>IF(C470&lt;&gt;"Venta","",D470*IFERROR(INDEX(Productos!$E$2:$E$501,MATCH(B470,Productos!$A$2:$A$501,0)),0))</f>
        <v/>
      </c>
      <c r="H470" s="33">
        <f>IF(A470="","",MONTH(A470))</f>
        <v/>
      </c>
      <c r="I470" s="33">
        <f>IF(A470="","",YEAR(A470))</f>
        <v/>
      </c>
    </row>
    <row r="471" ht="15" customHeight="1" s="21">
      <c r="A471" s="34" t="n"/>
      <c r="B471" s="30" t="n"/>
      <c r="C471" s="30" t="n"/>
      <c r="D471" s="30" t="n"/>
      <c r="E471" s="33">
        <f>IF(B471="","",IFERROR(INDEX(Productos!$B$2:$B$501,MATCH(B471,Productos!$A$2:$A$501,0)),"¿Código?"))</f>
        <v/>
      </c>
      <c r="F471" s="32">
        <f>IF(C471&lt;&gt;"Venta","",D471*IFERROR(INDEX(Productos!$D$2:$D$501,MATCH(B471,Productos!$A$2:$A$501,0)),0))</f>
        <v/>
      </c>
      <c r="G471" s="32">
        <f>IF(C471&lt;&gt;"Venta","",D471*IFERROR(INDEX(Productos!$E$2:$E$501,MATCH(B471,Productos!$A$2:$A$501,0)),0))</f>
        <v/>
      </c>
      <c r="H471" s="33">
        <f>IF(A471="","",MONTH(A471))</f>
        <v/>
      </c>
      <c r="I471" s="33">
        <f>IF(A471="","",YEAR(A471))</f>
        <v/>
      </c>
    </row>
    <row r="472" ht="15" customHeight="1" s="21">
      <c r="A472" s="34" t="n"/>
      <c r="B472" s="30" t="n"/>
      <c r="C472" s="30" t="n"/>
      <c r="D472" s="30" t="n"/>
      <c r="E472" s="33">
        <f>IF(B472="","",IFERROR(INDEX(Productos!$B$2:$B$501,MATCH(B472,Productos!$A$2:$A$501,0)),"¿Código?"))</f>
        <v/>
      </c>
      <c r="F472" s="32">
        <f>IF(C472&lt;&gt;"Venta","",D472*IFERROR(INDEX(Productos!$D$2:$D$501,MATCH(B472,Productos!$A$2:$A$501,0)),0))</f>
        <v/>
      </c>
      <c r="G472" s="32">
        <f>IF(C472&lt;&gt;"Venta","",D472*IFERROR(INDEX(Productos!$E$2:$E$501,MATCH(B472,Productos!$A$2:$A$501,0)),0))</f>
        <v/>
      </c>
      <c r="H472" s="33">
        <f>IF(A472="","",MONTH(A472))</f>
        <v/>
      </c>
      <c r="I472" s="33">
        <f>IF(A472="","",YEAR(A472))</f>
        <v/>
      </c>
    </row>
    <row r="473" ht="15" customHeight="1" s="21">
      <c r="A473" s="34" t="n"/>
      <c r="B473" s="30" t="n"/>
      <c r="C473" s="30" t="n"/>
      <c r="D473" s="30" t="n"/>
      <c r="E473" s="33">
        <f>IF(B473="","",IFERROR(INDEX(Productos!$B$2:$B$501,MATCH(B473,Productos!$A$2:$A$501,0)),"¿Código?"))</f>
        <v/>
      </c>
      <c r="F473" s="32">
        <f>IF(C473&lt;&gt;"Venta","",D473*IFERROR(INDEX(Productos!$D$2:$D$501,MATCH(B473,Productos!$A$2:$A$501,0)),0))</f>
        <v/>
      </c>
      <c r="G473" s="32">
        <f>IF(C473&lt;&gt;"Venta","",D473*IFERROR(INDEX(Productos!$E$2:$E$501,MATCH(B473,Productos!$A$2:$A$501,0)),0))</f>
        <v/>
      </c>
      <c r="H473" s="33">
        <f>IF(A473="","",MONTH(A473))</f>
        <v/>
      </c>
      <c r="I473" s="33">
        <f>IF(A473="","",YEAR(A473))</f>
        <v/>
      </c>
    </row>
    <row r="474" ht="15" customHeight="1" s="21">
      <c r="A474" s="34" t="n"/>
      <c r="B474" s="30" t="n"/>
      <c r="C474" s="30" t="n"/>
      <c r="D474" s="30" t="n"/>
      <c r="E474" s="33">
        <f>IF(B474="","",IFERROR(INDEX(Productos!$B$2:$B$501,MATCH(B474,Productos!$A$2:$A$501,0)),"¿Código?"))</f>
        <v/>
      </c>
      <c r="F474" s="32">
        <f>IF(C474&lt;&gt;"Venta","",D474*IFERROR(INDEX(Productos!$D$2:$D$501,MATCH(B474,Productos!$A$2:$A$501,0)),0))</f>
        <v/>
      </c>
      <c r="G474" s="32">
        <f>IF(C474&lt;&gt;"Venta","",D474*IFERROR(INDEX(Productos!$E$2:$E$501,MATCH(B474,Productos!$A$2:$A$501,0)),0))</f>
        <v/>
      </c>
      <c r="H474" s="33">
        <f>IF(A474="","",MONTH(A474))</f>
        <v/>
      </c>
      <c r="I474" s="33">
        <f>IF(A474="","",YEAR(A474))</f>
        <v/>
      </c>
    </row>
    <row r="475" ht="15" customHeight="1" s="21">
      <c r="A475" s="34" t="n"/>
      <c r="B475" s="30" t="n"/>
      <c r="C475" s="30" t="n"/>
      <c r="D475" s="30" t="n"/>
      <c r="E475" s="33">
        <f>IF(B475="","",IFERROR(INDEX(Productos!$B$2:$B$501,MATCH(B475,Productos!$A$2:$A$501,0)),"¿Código?"))</f>
        <v/>
      </c>
      <c r="F475" s="32">
        <f>IF(C475&lt;&gt;"Venta","",D475*IFERROR(INDEX(Productos!$D$2:$D$501,MATCH(B475,Productos!$A$2:$A$501,0)),0))</f>
        <v/>
      </c>
      <c r="G475" s="32">
        <f>IF(C475&lt;&gt;"Venta","",D475*IFERROR(INDEX(Productos!$E$2:$E$501,MATCH(B475,Productos!$A$2:$A$501,0)),0))</f>
        <v/>
      </c>
      <c r="H475" s="33">
        <f>IF(A475="","",MONTH(A475))</f>
        <v/>
      </c>
      <c r="I475" s="33">
        <f>IF(A475="","",YEAR(A475))</f>
        <v/>
      </c>
    </row>
    <row r="476" ht="15" customHeight="1" s="21">
      <c r="A476" s="34" t="n"/>
      <c r="B476" s="30" t="n"/>
      <c r="C476" s="30" t="n"/>
      <c r="D476" s="30" t="n"/>
      <c r="E476" s="33">
        <f>IF(B476="","",IFERROR(INDEX(Productos!$B$2:$B$501,MATCH(B476,Productos!$A$2:$A$501,0)),"¿Código?"))</f>
        <v/>
      </c>
      <c r="F476" s="32">
        <f>IF(C476&lt;&gt;"Venta","",D476*IFERROR(INDEX(Productos!$D$2:$D$501,MATCH(B476,Productos!$A$2:$A$501,0)),0))</f>
        <v/>
      </c>
      <c r="G476" s="32">
        <f>IF(C476&lt;&gt;"Venta","",D476*IFERROR(INDEX(Productos!$E$2:$E$501,MATCH(B476,Productos!$A$2:$A$501,0)),0))</f>
        <v/>
      </c>
      <c r="H476" s="33">
        <f>IF(A476="","",MONTH(A476))</f>
        <v/>
      </c>
      <c r="I476" s="33">
        <f>IF(A476="","",YEAR(A476))</f>
        <v/>
      </c>
    </row>
    <row r="477" ht="15" customHeight="1" s="21">
      <c r="A477" s="34" t="n"/>
      <c r="B477" s="30" t="n"/>
      <c r="C477" s="30" t="n"/>
      <c r="D477" s="30" t="n"/>
      <c r="E477" s="33">
        <f>IF(B477="","",IFERROR(INDEX(Productos!$B$2:$B$501,MATCH(B477,Productos!$A$2:$A$501,0)),"¿Código?"))</f>
        <v/>
      </c>
      <c r="F477" s="32">
        <f>IF(C477&lt;&gt;"Venta","",D477*IFERROR(INDEX(Productos!$D$2:$D$501,MATCH(B477,Productos!$A$2:$A$501,0)),0))</f>
        <v/>
      </c>
      <c r="G477" s="32">
        <f>IF(C477&lt;&gt;"Venta","",D477*IFERROR(INDEX(Productos!$E$2:$E$501,MATCH(B477,Productos!$A$2:$A$501,0)),0))</f>
        <v/>
      </c>
      <c r="H477" s="33">
        <f>IF(A477="","",MONTH(A477))</f>
        <v/>
      </c>
      <c r="I477" s="33">
        <f>IF(A477="","",YEAR(A477))</f>
        <v/>
      </c>
    </row>
    <row r="478" ht="15" customHeight="1" s="21">
      <c r="A478" s="34" t="n"/>
      <c r="B478" s="30" t="n"/>
      <c r="C478" s="30" t="n"/>
      <c r="D478" s="30" t="n"/>
      <c r="E478" s="33">
        <f>IF(B478="","",IFERROR(INDEX(Productos!$B$2:$B$501,MATCH(B478,Productos!$A$2:$A$501,0)),"¿Código?"))</f>
        <v/>
      </c>
      <c r="F478" s="32">
        <f>IF(C478&lt;&gt;"Venta","",D478*IFERROR(INDEX(Productos!$D$2:$D$501,MATCH(B478,Productos!$A$2:$A$501,0)),0))</f>
        <v/>
      </c>
      <c r="G478" s="32">
        <f>IF(C478&lt;&gt;"Venta","",D478*IFERROR(INDEX(Productos!$E$2:$E$501,MATCH(B478,Productos!$A$2:$A$501,0)),0))</f>
        <v/>
      </c>
      <c r="H478" s="33">
        <f>IF(A478="","",MONTH(A478))</f>
        <v/>
      </c>
      <c r="I478" s="33">
        <f>IF(A478="","",YEAR(A478))</f>
        <v/>
      </c>
    </row>
    <row r="479" ht="15" customHeight="1" s="21">
      <c r="A479" s="34" t="n"/>
      <c r="B479" s="30" t="n"/>
      <c r="C479" s="30" t="n"/>
      <c r="D479" s="30" t="n"/>
      <c r="E479" s="33">
        <f>IF(B479="","",IFERROR(INDEX(Productos!$B$2:$B$501,MATCH(B479,Productos!$A$2:$A$501,0)),"¿Código?"))</f>
        <v/>
      </c>
      <c r="F479" s="32">
        <f>IF(C479&lt;&gt;"Venta","",D479*IFERROR(INDEX(Productos!$D$2:$D$501,MATCH(B479,Productos!$A$2:$A$501,0)),0))</f>
        <v/>
      </c>
      <c r="G479" s="32">
        <f>IF(C479&lt;&gt;"Venta","",D479*IFERROR(INDEX(Productos!$E$2:$E$501,MATCH(B479,Productos!$A$2:$A$501,0)),0))</f>
        <v/>
      </c>
      <c r="H479" s="33">
        <f>IF(A479="","",MONTH(A479))</f>
        <v/>
      </c>
      <c r="I479" s="33">
        <f>IF(A479="","",YEAR(A479))</f>
        <v/>
      </c>
    </row>
    <row r="480" ht="15" customHeight="1" s="21">
      <c r="A480" s="34" t="n"/>
      <c r="B480" s="30" t="n"/>
      <c r="C480" s="30" t="n"/>
      <c r="D480" s="30" t="n"/>
      <c r="E480" s="33">
        <f>IF(B480="","",IFERROR(INDEX(Productos!$B$2:$B$501,MATCH(B480,Productos!$A$2:$A$501,0)),"¿Código?"))</f>
        <v/>
      </c>
      <c r="F480" s="32">
        <f>IF(C480&lt;&gt;"Venta","",D480*IFERROR(INDEX(Productos!$D$2:$D$501,MATCH(B480,Productos!$A$2:$A$501,0)),0))</f>
        <v/>
      </c>
      <c r="G480" s="32">
        <f>IF(C480&lt;&gt;"Venta","",D480*IFERROR(INDEX(Productos!$E$2:$E$501,MATCH(B480,Productos!$A$2:$A$501,0)),0))</f>
        <v/>
      </c>
      <c r="H480" s="33">
        <f>IF(A480="","",MONTH(A480))</f>
        <v/>
      </c>
      <c r="I480" s="33">
        <f>IF(A480="","",YEAR(A480))</f>
        <v/>
      </c>
    </row>
    <row r="481" ht="15" customHeight="1" s="21">
      <c r="A481" s="34" t="n"/>
      <c r="B481" s="30" t="n"/>
      <c r="C481" s="30" t="n"/>
      <c r="D481" s="30" t="n"/>
      <c r="E481" s="33">
        <f>IF(B481="","",IFERROR(INDEX(Productos!$B$2:$B$501,MATCH(B481,Productos!$A$2:$A$501,0)),"¿Código?"))</f>
        <v/>
      </c>
      <c r="F481" s="32">
        <f>IF(C481&lt;&gt;"Venta","",D481*IFERROR(INDEX(Productos!$D$2:$D$501,MATCH(B481,Productos!$A$2:$A$501,0)),0))</f>
        <v/>
      </c>
      <c r="G481" s="32">
        <f>IF(C481&lt;&gt;"Venta","",D481*IFERROR(INDEX(Productos!$E$2:$E$501,MATCH(B481,Productos!$A$2:$A$501,0)),0))</f>
        <v/>
      </c>
      <c r="H481" s="33">
        <f>IF(A481="","",MONTH(A481))</f>
        <v/>
      </c>
      <c r="I481" s="33">
        <f>IF(A481="","",YEAR(A481))</f>
        <v/>
      </c>
    </row>
    <row r="482" ht="15" customHeight="1" s="21">
      <c r="A482" s="34" t="n"/>
      <c r="B482" s="30" t="n"/>
      <c r="C482" s="30" t="n"/>
      <c r="D482" s="30" t="n"/>
      <c r="E482" s="33">
        <f>IF(B482="","",IFERROR(INDEX(Productos!$B$2:$B$501,MATCH(B482,Productos!$A$2:$A$501,0)),"¿Código?"))</f>
        <v/>
      </c>
      <c r="F482" s="32">
        <f>IF(C482&lt;&gt;"Venta","",D482*IFERROR(INDEX(Productos!$D$2:$D$501,MATCH(B482,Productos!$A$2:$A$501,0)),0))</f>
        <v/>
      </c>
      <c r="G482" s="32">
        <f>IF(C482&lt;&gt;"Venta","",D482*IFERROR(INDEX(Productos!$E$2:$E$501,MATCH(B482,Productos!$A$2:$A$501,0)),0))</f>
        <v/>
      </c>
      <c r="H482" s="33">
        <f>IF(A482="","",MONTH(A482))</f>
        <v/>
      </c>
      <c r="I482" s="33">
        <f>IF(A482="","",YEAR(A482))</f>
        <v/>
      </c>
    </row>
    <row r="483" ht="15" customHeight="1" s="21">
      <c r="A483" s="34" t="n"/>
      <c r="B483" s="30" t="n"/>
      <c r="C483" s="30" t="n"/>
      <c r="D483" s="30" t="n"/>
      <c r="E483" s="33">
        <f>IF(B483="","",IFERROR(INDEX(Productos!$B$2:$B$501,MATCH(B483,Productos!$A$2:$A$501,0)),"¿Código?"))</f>
        <v/>
      </c>
      <c r="F483" s="32">
        <f>IF(C483&lt;&gt;"Venta","",D483*IFERROR(INDEX(Productos!$D$2:$D$501,MATCH(B483,Productos!$A$2:$A$501,0)),0))</f>
        <v/>
      </c>
      <c r="G483" s="32">
        <f>IF(C483&lt;&gt;"Venta","",D483*IFERROR(INDEX(Productos!$E$2:$E$501,MATCH(B483,Productos!$A$2:$A$501,0)),0))</f>
        <v/>
      </c>
      <c r="H483" s="33">
        <f>IF(A483="","",MONTH(A483))</f>
        <v/>
      </c>
      <c r="I483" s="33">
        <f>IF(A483="","",YEAR(A483))</f>
        <v/>
      </c>
    </row>
    <row r="484" ht="15" customHeight="1" s="21">
      <c r="A484" s="34" t="n"/>
      <c r="B484" s="30" t="n"/>
      <c r="C484" s="30" t="n"/>
      <c r="D484" s="30" t="n"/>
      <c r="E484" s="33">
        <f>IF(B484="","",IFERROR(INDEX(Productos!$B$2:$B$501,MATCH(B484,Productos!$A$2:$A$501,0)),"¿Código?"))</f>
        <v/>
      </c>
      <c r="F484" s="32">
        <f>IF(C484&lt;&gt;"Venta","",D484*IFERROR(INDEX(Productos!$D$2:$D$501,MATCH(B484,Productos!$A$2:$A$501,0)),0))</f>
        <v/>
      </c>
      <c r="G484" s="32">
        <f>IF(C484&lt;&gt;"Venta","",D484*IFERROR(INDEX(Productos!$E$2:$E$501,MATCH(B484,Productos!$A$2:$A$501,0)),0))</f>
        <v/>
      </c>
      <c r="H484" s="33">
        <f>IF(A484="","",MONTH(A484))</f>
        <v/>
      </c>
      <c r="I484" s="33">
        <f>IF(A484="","",YEAR(A484))</f>
        <v/>
      </c>
    </row>
    <row r="485" ht="15" customHeight="1" s="21">
      <c r="A485" s="34" t="n"/>
      <c r="B485" s="30" t="n"/>
      <c r="C485" s="30" t="n"/>
      <c r="D485" s="30" t="n"/>
      <c r="E485" s="33">
        <f>IF(B485="","",IFERROR(INDEX(Productos!$B$2:$B$501,MATCH(B485,Productos!$A$2:$A$501,0)),"¿Código?"))</f>
        <v/>
      </c>
      <c r="F485" s="32">
        <f>IF(C485&lt;&gt;"Venta","",D485*IFERROR(INDEX(Productos!$D$2:$D$501,MATCH(B485,Productos!$A$2:$A$501,0)),0))</f>
        <v/>
      </c>
      <c r="G485" s="32">
        <f>IF(C485&lt;&gt;"Venta","",D485*IFERROR(INDEX(Productos!$E$2:$E$501,MATCH(B485,Productos!$A$2:$A$501,0)),0))</f>
        <v/>
      </c>
      <c r="H485" s="33">
        <f>IF(A485="","",MONTH(A485))</f>
        <v/>
      </c>
      <c r="I485" s="33">
        <f>IF(A485="","",YEAR(A485))</f>
        <v/>
      </c>
    </row>
    <row r="486" ht="15" customHeight="1" s="21">
      <c r="A486" s="34" t="n"/>
      <c r="B486" s="30" t="n"/>
      <c r="C486" s="30" t="n"/>
      <c r="D486" s="30" t="n"/>
      <c r="E486" s="33">
        <f>IF(B486="","",IFERROR(INDEX(Productos!$B$2:$B$501,MATCH(B486,Productos!$A$2:$A$501,0)),"¿Código?"))</f>
        <v/>
      </c>
      <c r="F486" s="32">
        <f>IF(C486&lt;&gt;"Venta","",D486*IFERROR(INDEX(Productos!$D$2:$D$501,MATCH(B486,Productos!$A$2:$A$501,0)),0))</f>
        <v/>
      </c>
      <c r="G486" s="32">
        <f>IF(C486&lt;&gt;"Venta","",D486*IFERROR(INDEX(Productos!$E$2:$E$501,MATCH(B486,Productos!$A$2:$A$501,0)),0))</f>
        <v/>
      </c>
      <c r="H486" s="33">
        <f>IF(A486="","",MONTH(A486))</f>
        <v/>
      </c>
      <c r="I486" s="33">
        <f>IF(A486="","",YEAR(A486))</f>
        <v/>
      </c>
    </row>
    <row r="487" ht="15" customHeight="1" s="21">
      <c r="A487" s="34" t="n"/>
      <c r="B487" s="30" t="n"/>
      <c r="C487" s="30" t="n"/>
      <c r="D487" s="30" t="n"/>
      <c r="E487" s="33">
        <f>IF(B487="","",IFERROR(INDEX(Productos!$B$2:$B$501,MATCH(B487,Productos!$A$2:$A$501,0)),"¿Código?"))</f>
        <v/>
      </c>
      <c r="F487" s="32">
        <f>IF(C487&lt;&gt;"Venta","",D487*IFERROR(INDEX(Productos!$D$2:$D$501,MATCH(B487,Productos!$A$2:$A$501,0)),0))</f>
        <v/>
      </c>
      <c r="G487" s="32">
        <f>IF(C487&lt;&gt;"Venta","",D487*IFERROR(INDEX(Productos!$E$2:$E$501,MATCH(B487,Productos!$A$2:$A$501,0)),0))</f>
        <v/>
      </c>
      <c r="H487" s="33">
        <f>IF(A487="","",MONTH(A487))</f>
        <v/>
      </c>
      <c r="I487" s="33">
        <f>IF(A487="","",YEAR(A487))</f>
        <v/>
      </c>
    </row>
    <row r="488" ht="15" customHeight="1" s="21">
      <c r="A488" s="34" t="n"/>
      <c r="B488" s="30" t="n"/>
      <c r="C488" s="30" t="n"/>
      <c r="D488" s="30" t="n"/>
      <c r="E488" s="33">
        <f>IF(B488="","",IFERROR(INDEX(Productos!$B$2:$B$501,MATCH(B488,Productos!$A$2:$A$501,0)),"¿Código?"))</f>
        <v/>
      </c>
      <c r="F488" s="32">
        <f>IF(C488&lt;&gt;"Venta","",D488*IFERROR(INDEX(Productos!$D$2:$D$501,MATCH(B488,Productos!$A$2:$A$501,0)),0))</f>
        <v/>
      </c>
      <c r="G488" s="32">
        <f>IF(C488&lt;&gt;"Venta","",D488*IFERROR(INDEX(Productos!$E$2:$E$501,MATCH(B488,Productos!$A$2:$A$501,0)),0))</f>
        <v/>
      </c>
      <c r="H488" s="33">
        <f>IF(A488="","",MONTH(A488))</f>
        <v/>
      </c>
      <c r="I488" s="33">
        <f>IF(A488="","",YEAR(A488))</f>
        <v/>
      </c>
    </row>
    <row r="489" ht="15" customHeight="1" s="21">
      <c r="A489" s="34" t="n"/>
      <c r="B489" s="30" t="n"/>
      <c r="C489" s="30" t="n"/>
      <c r="D489" s="30" t="n"/>
      <c r="E489" s="33">
        <f>IF(B489="","",IFERROR(INDEX(Productos!$B$2:$B$501,MATCH(B489,Productos!$A$2:$A$501,0)),"¿Código?"))</f>
        <v/>
      </c>
      <c r="F489" s="32">
        <f>IF(C489&lt;&gt;"Venta","",D489*IFERROR(INDEX(Productos!$D$2:$D$501,MATCH(B489,Productos!$A$2:$A$501,0)),0))</f>
        <v/>
      </c>
      <c r="G489" s="32">
        <f>IF(C489&lt;&gt;"Venta","",D489*IFERROR(INDEX(Productos!$E$2:$E$501,MATCH(B489,Productos!$A$2:$A$501,0)),0))</f>
        <v/>
      </c>
      <c r="H489" s="33">
        <f>IF(A489="","",MONTH(A489))</f>
        <v/>
      </c>
      <c r="I489" s="33">
        <f>IF(A489="","",YEAR(A489))</f>
        <v/>
      </c>
    </row>
    <row r="490" ht="15" customHeight="1" s="21">
      <c r="A490" s="34" t="n"/>
      <c r="B490" s="30" t="n"/>
      <c r="C490" s="30" t="n"/>
      <c r="D490" s="30" t="n"/>
      <c r="E490" s="33">
        <f>IF(B490="","",IFERROR(INDEX(Productos!$B$2:$B$501,MATCH(B490,Productos!$A$2:$A$501,0)),"¿Código?"))</f>
        <v/>
      </c>
      <c r="F490" s="32">
        <f>IF(C490&lt;&gt;"Venta","",D490*IFERROR(INDEX(Productos!$D$2:$D$501,MATCH(B490,Productos!$A$2:$A$501,0)),0))</f>
        <v/>
      </c>
      <c r="G490" s="32">
        <f>IF(C490&lt;&gt;"Venta","",D490*IFERROR(INDEX(Productos!$E$2:$E$501,MATCH(B490,Productos!$A$2:$A$501,0)),0))</f>
        <v/>
      </c>
      <c r="H490" s="33">
        <f>IF(A490="","",MONTH(A490))</f>
        <v/>
      </c>
      <c r="I490" s="33">
        <f>IF(A490="","",YEAR(A490))</f>
        <v/>
      </c>
    </row>
    <row r="491" ht="15" customHeight="1" s="21">
      <c r="A491" s="34" t="n"/>
      <c r="B491" s="30" t="n"/>
      <c r="C491" s="30" t="n"/>
      <c r="D491" s="30" t="n"/>
      <c r="E491" s="33">
        <f>IF(B491="","",IFERROR(INDEX(Productos!$B$2:$B$501,MATCH(B491,Productos!$A$2:$A$501,0)),"¿Código?"))</f>
        <v/>
      </c>
      <c r="F491" s="32">
        <f>IF(C491&lt;&gt;"Venta","",D491*IFERROR(INDEX(Productos!$D$2:$D$501,MATCH(B491,Productos!$A$2:$A$501,0)),0))</f>
        <v/>
      </c>
      <c r="G491" s="32">
        <f>IF(C491&lt;&gt;"Venta","",D491*IFERROR(INDEX(Productos!$E$2:$E$501,MATCH(B491,Productos!$A$2:$A$501,0)),0))</f>
        <v/>
      </c>
      <c r="H491" s="33">
        <f>IF(A491="","",MONTH(A491))</f>
        <v/>
      </c>
      <c r="I491" s="33">
        <f>IF(A491="","",YEAR(A491))</f>
        <v/>
      </c>
    </row>
    <row r="492" ht="15" customHeight="1" s="21">
      <c r="A492" s="34" t="n"/>
      <c r="B492" s="30" t="n"/>
      <c r="C492" s="30" t="n"/>
      <c r="D492" s="30" t="n"/>
      <c r="E492" s="33">
        <f>IF(B492="","",IFERROR(INDEX(Productos!$B$2:$B$501,MATCH(B492,Productos!$A$2:$A$501,0)),"¿Código?"))</f>
        <v/>
      </c>
      <c r="F492" s="32">
        <f>IF(C492&lt;&gt;"Venta","",D492*IFERROR(INDEX(Productos!$D$2:$D$501,MATCH(B492,Productos!$A$2:$A$501,0)),0))</f>
        <v/>
      </c>
      <c r="G492" s="32">
        <f>IF(C492&lt;&gt;"Venta","",D492*IFERROR(INDEX(Productos!$E$2:$E$501,MATCH(B492,Productos!$A$2:$A$501,0)),0))</f>
        <v/>
      </c>
      <c r="H492" s="33">
        <f>IF(A492="","",MONTH(A492))</f>
        <v/>
      </c>
      <c r="I492" s="33">
        <f>IF(A492="","",YEAR(A492))</f>
        <v/>
      </c>
    </row>
    <row r="493" ht="15" customHeight="1" s="21">
      <c r="A493" s="34" t="n"/>
      <c r="B493" s="30" t="n"/>
      <c r="C493" s="30" t="n"/>
      <c r="D493" s="30" t="n"/>
      <c r="E493" s="33">
        <f>IF(B493="","",IFERROR(INDEX(Productos!$B$2:$B$501,MATCH(B493,Productos!$A$2:$A$501,0)),"¿Código?"))</f>
        <v/>
      </c>
      <c r="F493" s="32">
        <f>IF(C493&lt;&gt;"Venta","",D493*IFERROR(INDEX(Productos!$D$2:$D$501,MATCH(B493,Productos!$A$2:$A$501,0)),0))</f>
        <v/>
      </c>
      <c r="G493" s="32">
        <f>IF(C493&lt;&gt;"Venta","",D493*IFERROR(INDEX(Productos!$E$2:$E$501,MATCH(B493,Productos!$A$2:$A$501,0)),0))</f>
        <v/>
      </c>
      <c r="H493" s="33">
        <f>IF(A493="","",MONTH(A493))</f>
        <v/>
      </c>
      <c r="I493" s="33">
        <f>IF(A493="","",YEAR(A493))</f>
        <v/>
      </c>
    </row>
    <row r="494" ht="15" customHeight="1" s="21">
      <c r="A494" s="34" t="n"/>
      <c r="B494" s="30" t="n"/>
      <c r="C494" s="30" t="n"/>
      <c r="D494" s="30" t="n"/>
      <c r="E494" s="33">
        <f>IF(B494="","",IFERROR(INDEX(Productos!$B$2:$B$501,MATCH(B494,Productos!$A$2:$A$501,0)),"¿Código?"))</f>
        <v/>
      </c>
      <c r="F494" s="32">
        <f>IF(C494&lt;&gt;"Venta","",D494*IFERROR(INDEX(Productos!$D$2:$D$501,MATCH(B494,Productos!$A$2:$A$501,0)),0))</f>
        <v/>
      </c>
      <c r="G494" s="32">
        <f>IF(C494&lt;&gt;"Venta","",D494*IFERROR(INDEX(Productos!$E$2:$E$501,MATCH(B494,Productos!$A$2:$A$501,0)),0))</f>
        <v/>
      </c>
      <c r="H494" s="33">
        <f>IF(A494="","",MONTH(A494))</f>
        <v/>
      </c>
      <c r="I494" s="33">
        <f>IF(A494="","",YEAR(A494))</f>
        <v/>
      </c>
    </row>
    <row r="495" ht="15" customHeight="1" s="21">
      <c r="A495" s="34" t="n"/>
      <c r="B495" s="30" t="n"/>
      <c r="C495" s="30" t="n"/>
      <c r="D495" s="30" t="n"/>
      <c r="E495" s="33">
        <f>IF(B495="","",IFERROR(INDEX(Productos!$B$2:$B$501,MATCH(B495,Productos!$A$2:$A$501,0)),"¿Código?"))</f>
        <v/>
      </c>
      <c r="F495" s="32">
        <f>IF(C495&lt;&gt;"Venta","",D495*IFERROR(INDEX(Productos!$D$2:$D$501,MATCH(B495,Productos!$A$2:$A$501,0)),0))</f>
        <v/>
      </c>
      <c r="G495" s="32">
        <f>IF(C495&lt;&gt;"Venta","",D495*IFERROR(INDEX(Productos!$E$2:$E$501,MATCH(B495,Productos!$A$2:$A$501,0)),0))</f>
        <v/>
      </c>
      <c r="H495" s="33">
        <f>IF(A495="","",MONTH(A495))</f>
        <v/>
      </c>
      <c r="I495" s="33">
        <f>IF(A495="","",YEAR(A495))</f>
        <v/>
      </c>
    </row>
    <row r="496" ht="15" customHeight="1" s="21">
      <c r="A496" s="34" t="n"/>
      <c r="B496" s="30" t="n"/>
      <c r="C496" s="30" t="n"/>
      <c r="D496" s="30" t="n"/>
      <c r="E496" s="33">
        <f>IF(B496="","",IFERROR(INDEX(Productos!$B$2:$B$501,MATCH(B496,Productos!$A$2:$A$501,0)),"¿Código?"))</f>
        <v/>
      </c>
      <c r="F496" s="32">
        <f>IF(C496&lt;&gt;"Venta","",D496*IFERROR(INDEX(Productos!$D$2:$D$501,MATCH(B496,Productos!$A$2:$A$501,0)),0))</f>
        <v/>
      </c>
      <c r="G496" s="32">
        <f>IF(C496&lt;&gt;"Venta","",D496*IFERROR(INDEX(Productos!$E$2:$E$501,MATCH(B496,Productos!$A$2:$A$501,0)),0))</f>
        <v/>
      </c>
      <c r="H496" s="33">
        <f>IF(A496="","",MONTH(A496))</f>
        <v/>
      </c>
      <c r="I496" s="33">
        <f>IF(A496="","",YEAR(A496))</f>
        <v/>
      </c>
    </row>
    <row r="497" ht="15" customHeight="1" s="21">
      <c r="A497" s="34" t="n"/>
      <c r="B497" s="30" t="n"/>
      <c r="C497" s="30" t="n"/>
      <c r="D497" s="30" t="n"/>
      <c r="E497" s="33">
        <f>IF(B497="","",IFERROR(INDEX(Productos!$B$2:$B$501,MATCH(B497,Productos!$A$2:$A$501,0)),"¿Código?"))</f>
        <v/>
      </c>
      <c r="F497" s="32">
        <f>IF(C497&lt;&gt;"Venta","",D497*IFERROR(INDEX(Productos!$D$2:$D$501,MATCH(B497,Productos!$A$2:$A$501,0)),0))</f>
        <v/>
      </c>
      <c r="G497" s="32">
        <f>IF(C497&lt;&gt;"Venta","",D497*IFERROR(INDEX(Productos!$E$2:$E$501,MATCH(B497,Productos!$A$2:$A$501,0)),0))</f>
        <v/>
      </c>
      <c r="H497" s="33">
        <f>IF(A497="","",MONTH(A497))</f>
        <v/>
      </c>
      <c r="I497" s="33">
        <f>IF(A497="","",YEAR(A497))</f>
        <v/>
      </c>
    </row>
    <row r="498" ht="15" customHeight="1" s="21">
      <c r="A498" s="34" t="n"/>
      <c r="B498" s="30" t="n"/>
      <c r="C498" s="30" t="n"/>
      <c r="D498" s="30" t="n"/>
      <c r="E498" s="33">
        <f>IF(B498="","",IFERROR(INDEX(Productos!$B$2:$B$501,MATCH(B498,Productos!$A$2:$A$501,0)),"¿Código?"))</f>
        <v/>
      </c>
      <c r="F498" s="32">
        <f>IF(C498&lt;&gt;"Venta","",D498*IFERROR(INDEX(Productos!$D$2:$D$501,MATCH(B498,Productos!$A$2:$A$501,0)),0))</f>
        <v/>
      </c>
      <c r="G498" s="32">
        <f>IF(C498&lt;&gt;"Venta","",D498*IFERROR(INDEX(Productos!$E$2:$E$501,MATCH(B498,Productos!$A$2:$A$501,0)),0))</f>
        <v/>
      </c>
      <c r="H498" s="33">
        <f>IF(A498="","",MONTH(A498))</f>
        <v/>
      </c>
      <c r="I498" s="33">
        <f>IF(A498="","",YEAR(A498))</f>
        <v/>
      </c>
    </row>
    <row r="499" ht="15" customHeight="1" s="21">
      <c r="A499" s="34" t="n"/>
      <c r="B499" s="30" t="n"/>
      <c r="C499" s="30" t="n"/>
      <c r="D499" s="30" t="n"/>
      <c r="E499" s="33">
        <f>IF(B499="","",IFERROR(INDEX(Productos!$B$2:$B$501,MATCH(B499,Productos!$A$2:$A$501,0)),"¿Código?"))</f>
        <v/>
      </c>
      <c r="F499" s="32">
        <f>IF(C499&lt;&gt;"Venta","",D499*IFERROR(INDEX(Productos!$D$2:$D$501,MATCH(B499,Productos!$A$2:$A$501,0)),0))</f>
        <v/>
      </c>
      <c r="G499" s="32">
        <f>IF(C499&lt;&gt;"Venta","",D499*IFERROR(INDEX(Productos!$E$2:$E$501,MATCH(B499,Productos!$A$2:$A$501,0)),0))</f>
        <v/>
      </c>
      <c r="H499" s="33">
        <f>IF(A499="","",MONTH(A499))</f>
        <v/>
      </c>
      <c r="I499" s="33">
        <f>IF(A499="","",YEAR(A499))</f>
        <v/>
      </c>
    </row>
    <row r="500" ht="15" customHeight="1" s="21">
      <c r="A500" s="34" t="n"/>
      <c r="B500" s="30" t="n"/>
      <c r="C500" s="30" t="n"/>
      <c r="D500" s="30" t="n"/>
      <c r="E500" s="33">
        <f>IF(B500="","",IFERROR(INDEX(Productos!$B$2:$B$501,MATCH(B500,Productos!$A$2:$A$501,0)),"¿Código?"))</f>
        <v/>
      </c>
      <c r="F500" s="32">
        <f>IF(C500&lt;&gt;"Venta","",D500*IFERROR(INDEX(Productos!$D$2:$D$501,MATCH(B500,Productos!$A$2:$A$501,0)),0))</f>
        <v/>
      </c>
      <c r="G500" s="32">
        <f>IF(C500&lt;&gt;"Venta","",D500*IFERROR(INDEX(Productos!$E$2:$E$501,MATCH(B500,Productos!$A$2:$A$501,0)),0))</f>
        <v/>
      </c>
      <c r="H500" s="33">
        <f>IF(A500="","",MONTH(A500))</f>
        <v/>
      </c>
      <c r="I500" s="33">
        <f>IF(A500="","",YEAR(A500))</f>
        <v/>
      </c>
    </row>
    <row r="501" ht="15" customHeight="1" s="21">
      <c r="A501" s="34" t="n"/>
      <c r="B501" s="30" t="n"/>
      <c r="C501" s="30" t="n"/>
      <c r="D501" s="30" t="n"/>
      <c r="E501" s="33">
        <f>IF(B501="","",IFERROR(INDEX(Productos!$B$2:$B$501,MATCH(B501,Productos!$A$2:$A$501,0)),"¿Código?"))</f>
        <v/>
      </c>
      <c r="F501" s="32">
        <f>IF(C501&lt;&gt;"Venta","",D501*IFERROR(INDEX(Productos!$D$2:$D$501,MATCH(B501,Productos!$A$2:$A$501,0)),0))</f>
        <v/>
      </c>
      <c r="G501" s="32">
        <f>IF(C501&lt;&gt;"Venta","",D501*IFERROR(INDEX(Productos!$E$2:$E$501,MATCH(B501,Productos!$A$2:$A$501,0)),0))</f>
        <v/>
      </c>
      <c r="H501" s="33">
        <f>IF(A501="","",MONTH(A501))</f>
        <v/>
      </c>
      <c r="I501" s="33">
        <f>IF(A501="","",YEAR(A501))</f>
        <v/>
      </c>
    </row>
    <row r="502" ht="15" customHeight="1" s="21">
      <c r="A502" s="34" t="n"/>
      <c r="B502" s="30" t="n"/>
      <c r="C502" s="30" t="n"/>
      <c r="D502" s="30" t="n"/>
      <c r="E502" s="33">
        <f>IF(B502="","",IFERROR(INDEX(Productos!$B$2:$B$501,MATCH(B502,Productos!$A$2:$A$501,0)),"¿Código?"))</f>
        <v/>
      </c>
      <c r="F502" s="32">
        <f>IF(C502&lt;&gt;"Venta","",D502*IFERROR(INDEX(Productos!$D$2:$D$501,MATCH(B502,Productos!$A$2:$A$501,0)),0))</f>
        <v/>
      </c>
      <c r="G502" s="32">
        <f>IF(C502&lt;&gt;"Venta","",D502*IFERROR(INDEX(Productos!$E$2:$E$501,MATCH(B502,Productos!$A$2:$A$501,0)),0))</f>
        <v/>
      </c>
      <c r="H502" s="33">
        <f>IF(A502="","",MONTH(A502))</f>
        <v/>
      </c>
      <c r="I502" s="33">
        <f>IF(A502="","",YEAR(A502))</f>
        <v/>
      </c>
    </row>
    <row r="503" ht="15" customHeight="1" s="21">
      <c r="A503" s="34" t="n"/>
      <c r="B503" s="30" t="n"/>
      <c r="C503" s="30" t="n"/>
      <c r="D503" s="30" t="n"/>
      <c r="E503" s="33">
        <f>IF(B503="","",IFERROR(INDEX(Productos!$B$2:$B$501,MATCH(B503,Productos!$A$2:$A$501,0)),"¿Código?"))</f>
        <v/>
      </c>
      <c r="F503" s="32">
        <f>IF(C503&lt;&gt;"Venta","",D503*IFERROR(INDEX(Productos!$D$2:$D$501,MATCH(B503,Productos!$A$2:$A$501,0)),0))</f>
        <v/>
      </c>
      <c r="G503" s="32">
        <f>IF(C503&lt;&gt;"Venta","",D503*IFERROR(INDEX(Productos!$E$2:$E$501,MATCH(B503,Productos!$A$2:$A$501,0)),0))</f>
        <v/>
      </c>
      <c r="H503" s="33">
        <f>IF(A503="","",MONTH(A503))</f>
        <v/>
      </c>
      <c r="I503" s="33">
        <f>IF(A503="","",YEAR(A503))</f>
        <v/>
      </c>
    </row>
    <row r="504" ht="15" customHeight="1" s="21">
      <c r="A504" s="34" t="n"/>
      <c r="B504" s="30" t="n"/>
      <c r="C504" s="30" t="n"/>
      <c r="D504" s="30" t="n"/>
      <c r="E504" s="33">
        <f>IF(B504="","",IFERROR(INDEX(Productos!$B$2:$B$501,MATCH(B504,Productos!$A$2:$A$501,0)),"¿Código?"))</f>
        <v/>
      </c>
      <c r="F504" s="32">
        <f>IF(C504&lt;&gt;"Venta","",D504*IFERROR(INDEX(Productos!$D$2:$D$501,MATCH(B504,Productos!$A$2:$A$501,0)),0))</f>
        <v/>
      </c>
      <c r="G504" s="32">
        <f>IF(C504&lt;&gt;"Venta","",D504*IFERROR(INDEX(Productos!$E$2:$E$501,MATCH(B504,Productos!$A$2:$A$501,0)),0))</f>
        <v/>
      </c>
      <c r="H504" s="33">
        <f>IF(A504="","",MONTH(A504))</f>
        <v/>
      </c>
      <c r="I504" s="33">
        <f>IF(A504="","",YEAR(A504))</f>
        <v/>
      </c>
    </row>
    <row r="505" ht="15" customHeight="1" s="21">
      <c r="A505" s="34" t="n"/>
      <c r="B505" s="30" t="n"/>
      <c r="C505" s="30" t="n"/>
      <c r="D505" s="30" t="n"/>
      <c r="E505" s="33">
        <f>IF(B505="","",IFERROR(INDEX(Productos!$B$2:$B$501,MATCH(B505,Productos!$A$2:$A$501,0)),"¿Código?"))</f>
        <v/>
      </c>
      <c r="F505" s="32">
        <f>IF(C505&lt;&gt;"Venta","",D505*IFERROR(INDEX(Productos!$D$2:$D$501,MATCH(B505,Productos!$A$2:$A$501,0)),0))</f>
        <v/>
      </c>
      <c r="G505" s="32">
        <f>IF(C505&lt;&gt;"Venta","",D505*IFERROR(INDEX(Productos!$E$2:$E$501,MATCH(B505,Productos!$A$2:$A$501,0)),0))</f>
        <v/>
      </c>
      <c r="H505" s="33">
        <f>IF(A505="","",MONTH(A505))</f>
        <v/>
      </c>
      <c r="I505" s="33">
        <f>IF(A505="","",YEAR(A505))</f>
        <v/>
      </c>
    </row>
    <row r="506" ht="15" customHeight="1" s="21">
      <c r="A506" s="34" t="n"/>
      <c r="B506" s="30" t="n"/>
      <c r="C506" s="30" t="n"/>
      <c r="D506" s="30" t="n"/>
      <c r="E506" s="33">
        <f>IF(B506="","",IFERROR(INDEX(Productos!$B$2:$B$501,MATCH(B506,Productos!$A$2:$A$501,0)),"¿Código?"))</f>
        <v/>
      </c>
      <c r="F506" s="32">
        <f>IF(C506&lt;&gt;"Venta","",D506*IFERROR(INDEX(Productos!$D$2:$D$501,MATCH(B506,Productos!$A$2:$A$501,0)),0))</f>
        <v/>
      </c>
      <c r="G506" s="32">
        <f>IF(C506&lt;&gt;"Venta","",D506*IFERROR(INDEX(Productos!$E$2:$E$501,MATCH(B506,Productos!$A$2:$A$501,0)),0))</f>
        <v/>
      </c>
      <c r="H506" s="33">
        <f>IF(A506="","",MONTH(A506))</f>
        <v/>
      </c>
      <c r="I506" s="33">
        <f>IF(A506="","",YEAR(A506))</f>
        <v/>
      </c>
    </row>
    <row r="507" ht="15" customHeight="1" s="21">
      <c r="A507" s="34" t="n"/>
      <c r="B507" s="30" t="n"/>
      <c r="C507" s="30" t="n"/>
      <c r="D507" s="30" t="n"/>
      <c r="E507" s="33">
        <f>IF(B507="","",IFERROR(INDEX(Productos!$B$2:$B$501,MATCH(B507,Productos!$A$2:$A$501,0)),"¿Código?"))</f>
        <v/>
      </c>
      <c r="F507" s="32">
        <f>IF(C507&lt;&gt;"Venta","",D507*IFERROR(INDEX(Productos!$D$2:$D$501,MATCH(B507,Productos!$A$2:$A$501,0)),0))</f>
        <v/>
      </c>
      <c r="G507" s="32">
        <f>IF(C507&lt;&gt;"Venta","",D507*IFERROR(INDEX(Productos!$E$2:$E$501,MATCH(B507,Productos!$A$2:$A$501,0)),0))</f>
        <v/>
      </c>
      <c r="H507" s="33">
        <f>IF(A507="","",MONTH(A507))</f>
        <v/>
      </c>
      <c r="I507" s="33">
        <f>IF(A507="","",YEAR(A507))</f>
        <v/>
      </c>
    </row>
    <row r="508" ht="15" customHeight="1" s="21">
      <c r="A508" s="34" t="n"/>
      <c r="B508" s="30" t="n"/>
      <c r="C508" s="30" t="n"/>
      <c r="D508" s="30" t="n"/>
      <c r="E508" s="33">
        <f>IF(B508="","",IFERROR(INDEX(Productos!$B$2:$B$501,MATCH(B508,Productos!$A$2:$A$501,0)),"¿Código?"))</f>
        <v/>
      </c>
      <c r="F508" s="32">
        <f>IF(C508&lt;&gt;"Venta","",D508*IFERROR(INDEX(Productos!$D$2:$D$501,MATCH(B508,Productos!$A$2:$A$501,0)),0))</f>
        <v/>
      </c>
      <c r="G508" s="32">
        <f>IF(C508&lt;&gt;"Venta","",D508*IFERROR(INDEX(Productos!$E$2:$E$501,MATCH(B508,Productos!$A$2:$A$501,0)),0))</f>
        <v/>
      </c>
      <c r="H508" s="33">
        <f>IF(A508="","",MONTH(A508))</f>
        <v/>
      </c>
      <c r="I508" s="33">
        <f>IF(A508="","",YEAR(A508))</f>
        <v/>
      </c>
    </row>
    <row r="509" ht="15" customHeight="1" s="21">
      <c r="A509" s="34" t="n"/>
      <c r="B509" s="30" t="n"/>
      <c r="C509" s="30" t="n"/>
      <c r="D509" s="30" t="n"/>
      <c r="E509" s="33">
        <f>IF(B509="","",IFERROR(INDEX(Productos!$B$2:$B$501,MATCH(B509,Productos!$A$2:$A$501,0)),"¿Código?"))</f>
        <v/>
      </c>
      <c r="F509" s="32">
        <f>IF(C509&lt;&gt;"Venta","",D509*IFERROR(INDEX(Productos!$D$2:$D$501,MATCH(B509,Productos!$A$2:$A$501,0)),0))</f>
        <v/>
      </c>
      <c r="G509" s="32">
        <f>IF(C509&lt;&gt;"Venta","",D509*IFERROR(INDEX(Productos!$E$2:$E$501,MATCH(B509,Productos!$A$2:$A$501,0)),0))</f>
        <v/>
      </c>
      <c r="H509" s="33">
        <f>IF(A509="","",MONTH(A509))</f>
        <v/>
      </c>
      <c r="I509" s="33">
        <f>IF(A509="","",YEAR(A509))</f>
        <v/>
      </c>
    </row>
    <row r="510" ht="15" customHeight="1" s="21">
      <c r="A510" s="34" t="n"/>
      <c r="B510" s="30" t="n"/>
      <c r="C510" s="30" t="n"/>
      <c r="D510" s="30" t="n"/>
      <c r="E510" s="33">
        <f>IF(B510="","",IFERROR(INDEX(Productos!$B$2:$B$501,MATCH(B510,Productos!$A$2:$A$501,0)),"¿Código?"))</f>
        <v/>
      </c>
      <c r="F510" s="32">
        <f>IF(C510&lt;&gt;"Venta","",D510*IFERROR(INDEX(Productos!$D$2:$D$501,MATCH(B510,Productos!$A$2:$A$501,0)),0))</f>
        <v/>
      </c>
      <c r="G510" s="32">
        <f>IF(C510&lt;&gt;"Venta","",D510*IFERROR(INDEX(Productos!$E$2:$E$501,MATCH(B510,Productos!$A$2:$A$501,0)),0))</f>
        <v/>
      </c>
      <c r="H510" s="33">
        <f>IF(A510="","",MONTH(A510))</f>
        <v/>
      </c>
      <c r="I510" s="33">
        <f>IF(A510="","",YEAR(A510))</f>
        <v/>
      </c>
    </row>
    <row r="511" ht="15" customHeight="1" s="21">
      <c r="A511" s="34" t="n"/>
      <c r="B511" s="30" t="n"/>
      <c r="C511" s="30" t="n"/>
      <c r="D511" s="30" t="n"/>
      <c r="E511" s="33">
        <f>IF(B511="","",IFERROR(INDEX(Productos!$B$2:$B$501,MATCH(B511,Productos!$A$2:$A$501,0)),"¿Código?"))</f>
        <v/>
      </c>
      <c r="F511" s="32">
        <f>IF(C511&lt;&gt;"Venta","",D511*IFERROR(INDEX(Productos!$D$2:$D$501,MATCH(B511,Productos!$A$2:$A$501,0)),0))</f>
        <v/>
      </c>
      <c r="G511" s="32">
        <f>IF(C511&lt;&gt;"Venta","",D511*IFERROR(INDEX(Productos!$E$2:$E$501,MATCH(B511,Productos!$A$2:$A$501,0)),0))</f>
        <v/>
      </c>
      <c r="H511" s="33">
        <f>IF(A511="","",MONTH(A511))</f>
        <v/>
      </c>
      <c r="I511" s="33">
        <f>IF(A511="","",YEAR(A511))</f>
        <v/>
      </c>
    </row>
    <row r="512" ht="15" customHeight="1" s="21">
      <c r="A512" s="34" t="n"/>
      <c r="B512" s="30" t="n"/>
      <c r="C512" s="30" t="n"/>
      <c r="D512" s="30" t="n"/>
      <c r="E512" s="33">
        <f>IF(B512="","",IFERROR(INDEX(Productos!$B$2:$B$501,MATCH(B512,Productos!$A$2:$A$501,0)),"¿Código?"))</f>
        <v/>
      </c>
      <c r="F512" s="32">
        <f>IF(C512&lt;&gt;"Venta","",D512*IFERROR(INDEX(Productos!$D$2:$D$501,MATCH(B512,Productos!$A$2:$A$501,0)),0))</f>
        <v/>
      </c>
      <c r="G512" s="32">
        <f>IF(C512&lt;&gt;"Venta","",D512*IFERROR(INDEX(Productos!$E$2:$E$501,MATCH(B512,Productos!$A$2:$A$501,0)),0))</f>
        <v/>
      </c>
      <c r="H512" s="33">
        <f>IF(A512="","",MONTH(A512))</f>
        <v/>
      </c>
      <c r="I512" s="33">
        <f>IF(A512="","",YEAR(A512))</f>
        <v/>
      </c>
    </row>
    <row r="513" ht="15" customHeight="1" s="21">
      <c r="A513" s="34" t="n"/>
      <c r="B513" s="30" t="n"/>
      <c r="C513" s="30" t="n"/>
      <c r="D513" s="30" t="n"/>
      <c r="E513" s="33">
        <f>IF(B513="","",IFERROR(INDEX(Productos!$B$2:$B$501,MATCH(B513,Productos!$A$2:$A$501,0)),"¿Código?"))</f>
        <v/>
      </c>
      <c r="F513" s="32">
        <f>IF(C513&lt;&gt;"Venta","",D513*IFERROR(INDEX(Productos!$D$2:$D$501,MATCH(B513,Productos!$A$2:$A$501,0)),0))</f>
        <v/>
      </c>
      <c r="G513" s="32">
        <f>IF(C513&lt;&gt;"Venta","",D513*IFERROR(INDEX(Productos!$E$2:$E$501,MATCH(B513,Productos!$A$2:$A$501,0)),0))</f>
        <v/>
      </c>
      <c r="H513" s="33">
        <f>IF(A513="","",MONTH(A513))</f>
        <v/>
      </c>
      <c r="I513" s="33">
        <f>IF(A513="","",YEAR(A513))</f>
        <v/>
      </c>
    </row>
    <row r="514" ht="15" customHeight="1" s="21">
      <c r="A514" s="34" t="n"/>
      <c r="B514" s="30" t="n"/>
      <c r="C514" s="30" t="n"/>
      <c r="D514" s="30" t="n"/>
      <c r="E514" s="33">
        <f>IF(B514="","",IFERROR(INDEX(Productos!$B$2:$B$501,MATCH(B514,Productos!$A$2:$A$501,0)),"¿Código?"))</f>
        <v/>
      </c>
      <c r="F514" s="32">
        <f>IF(C514&lt;&gt;"Venta","",D514*IFERROR(INDEX(Productos!$D$2:$D$501,MATCH(B514,Productos!$A$2:$A$501,0)),0))</f>
        <v/>
      </c>
      <c r="G514" s="32">
        <f>IF(C514&lt;&gt;"Venta","",D514*IFERROR(INDEX(Productos!$E$2:$E$501,MATCH(B514,Productos!$A$2:$A$501,0)),0))</f>
        <v/>
      </c>
      <c r="H514" s="33">
        <f>IF(A514="","",MONTH(A514))</f>
        <v/>
      </c>
      <c r="I514" s="33">
        <f>IF(A514="","",YEAR(A514))</f>
        <v/>
      </c>
    </row>
    <row r="515" ht="15" customHeight="1" s="21">
      <c r="A515" s="34" t="n"/>
      <c r="B515" s="30" t="n"/>
      <c r="C515" s="30" t="n"/>
      <c r="D515" s="30" t="n"/>
      <c r="E515" s="33">
        <f>IF(B515="","",IFERROR(INDEX(Productos!$B$2:$B$501,MATCH(B515,Productos!$A$2:$A$501,0)),"¿Código?"))</f>
        <v/>
      </c>
      <c r="F515" s="32">
        <f>IF(C515&lt;&gt;"Venta","",D515*IFERROR(INDEX(Productos!$D$2:$D$501,MATCH(B515,Productos!$A$2:$A$501,0)),0))</f>
        <v/>
      </c>
      <c r="G515" s="32">
        <f>IF(C515&lt;&gt;"Venta","",D515*IFERROR(INDEX(Productos!$E$2:$E$501,MATCH(B515,Productos!$A$2:$A$501,0)),0))</f>
        <v/>
      </c>
      <c r="H515" s="33">
        <f>IF(A515="","",MONTH(A515))</f>
        <v/>
      </c>
      <c r="I515" s="33">
        <f>IF(A515="","",YEAR(A515))</f>
        <v/>
      </c>
    </row>
    <row r="516" ht="15" customHeight="1" s="21">
      <c r="A516" s="34" t="n"/>
      <c r="B516" s="30" t="n"/>
      <c r="C516" s="30" t="n"/>
      <c r="D516" s="30" t="n"/>
      <c r="E516" s="33">
        <f>IF(B516="","",IFERROR(INDEX(Productos!$B$2:$B$501,MATCH(B516,Productos!$A$2:$A$501,0)),"¿Código?"))</f>
        <v/>
      </c>
      <c r="F516" s="32">
        <f>IF(C516&lt;&gt;"Venta","",D516*IFERROR(INDEX(Productos!$D$2:$D$501,MATCH(B516,Productos!$A$2:$A$501,0)),0))</f>
        <v/>
      </c>
      <c r="G516" s="32">
        <f>IF(C516&lt;&gt;"Venta","",D516*IFERROR(INDEX(Productos!$E$2:$E$501,MATCH(B516,Productos!$A$2:$A$501,0)),0))</f>
        <v/>
      </c>
      <c r="H516" s="33">
        <f>IF(A516="","",MONTH(A516))</f>
        <v/>
      </c>
      <c r="I516" s="33">
        <f>IF(A516="","",YEAR(A516))</f>
        <v/>
      </c>
    </row>
    <row r="517" ht="15" customHeight="1" s="21">
      <c r="A517" s="34" t="n"/>
      <c r="B517" s="30" t="n"/>
      <c r="C517" s="30" t="n"/>
      <c r="D517" s="30" t="n"/>
      <c r="E517" s="33">
        <f>IF(B517="","",IFERROR(INDEX(Productos!$B$2:$B$501,MATCH(B517,Productos!$A$2:$A$501,0)),"¿Código?"))</f>
        <v/>
      </c>
      <c r="F517" s="32">
        <f>IF(C517&lt;&gt;"Venta","",D517*IFERROR(INDEX(Productos!$D$2:$D$501,MATCH(B517,Productos!$A$2:$A$501,0)),0))</f>
        <v/>
      </c>
      <c r="G517" s="32">
        <f>IF(C517&lt;&gt;"Venta","",D517*IFERROR(INDEX(Productos!$E$2:$E$501,MATCH(B517,Productos!$A$2:$A$501,0)),0))</f>
        <v/>
      </c>
      <c r="H517" s="33">
        <f>IF(A517="","",MONTH(A517))</f>
        <v/>
      </c>
      <c r="I517" s="33">
        <f>IF(A517="","",YEAR(A517))</f>
        <v/>
      </c>
    </row>
    <row r="518" ht="15" customHeight="1" s="21">
      <c r="A518" s="34" t="n"/>
      <c r="B518" s="30" t="n"/>
      <c r="C518" s="30" t="n"/>
      <c r="D518" s="30" t="n"/>
      <c r="E518" s="33">
        <f>IF(B518="","",IFERROR(INDEX(Productos!$B$2:$B$501,MATCH(B518,Productos!$A$2:$A$501,0)),"¿Código?"))</f>
        <v/>
      </c>
      <c r="F518" s="32">
        <f>IF(C518&lt;&gt;"Venta","",D518*IFERROR(INDEX(Productos!$D$2:$D$501,MATCH(B518,Productos!$A$2:$A$501,0)),0))</f>
        <v/>
      </c>
      <c r="G518" s="32">
        <f>IF(C518&lt;&gt;"Venta","",D518*IFERROR(INDEX(Productos!$E$2:$E$501,MATCH(B518,Productos!$A$2:$A$501,0)),0))</f>
        <v/>
      </c>
      <c r="H518" s="33">
        <f>IF(A518="","",MONTH(A518))</f>
        <v/>
      </c>
      <c r="I518" s="33">
        <f>IF(A518="","",YEAR(A518))</f>
        <v/>
      </c>
    </row>
    <row r="519" ht="15" customHeight="1" s="21">
      <c r="A519" s="34" t="n"/>
      <c r="B519" s="30" t="n"/>
      <c r="C519" s="30" t="n"/>
      <c r="D519" s="30" t="n"/>
      <c r="E519" s="33">
        <f>IF(B519="","",IFERROR(INDEX(Productos!$B$2:$B$501,MATCH(B519,Productos!$A$2:$A$501,0)),"¿Código?"))</f>
        <v/>
      </c>
      <c r="F519" s="32">
        <f>IF(C519&lt;&gt;"Venta","",D519*IFERROR(INDEX(Productos!$D$2:$D$501,MATCH(B519,Productos!$A$2:$A$501,0)),0))</f>
        <v/>
      </c>
      <c r="G519" s="32">
        <f>IF(C519&lt;&gt;"Venta","",D519*IFERROR(INDEX(Productos!$E$2:$E$501,MATCH(B519,Productos!$A$2:$A$501,0)),0))</f>
        <v/>
      </c>
      <c r="H519" s="33">
        <f>IF(A519="","",MONTH(A519))</f>
        <v/>
      </c>
      <c r="I519" s="33">
        <f>IF(A519="","",YEAR(A519))</f>
        <v/>
      </c>
    </row>
    <row r="520" ht="15" customHeight="1" s="21">
      <c r="A520" s="34" t="n"/>
      <c r="B520" s="30" t="n"/>
      <c r="C520" s="30" t="n"/>
      <c r="D520" s="30" t="n"/>
      <c r="E520" s="33">
        <f>IF(B520="","",IFERROR(INDEX(Productos!$B$2:$B$501,MATCH(B520,Productos!$A$2:$A$501,0)),"¿Código?"))</f>
        <v/>
      </c>
      <c r="F520" s="32">
        <f>IF(C520&lt;&gt;"Venta","",D520*IFERROR(INDEX(Productos!$D$2:$D$501,MATCH(B520,Productos!$A$2:$A$501,0)),0))</f>
        <v/>
      </c>
      <c r="G520" s="32">
        <f>IF(C520&lt;&gt;"Venta","",D520*IFERROR(INDEX(Productos!$E$2:$E$501,MATCH(B520,Productos!$A$2:$A$501,0)),0))</f>
        <v/>
      </c>
      <c r="H520" s="33">
        <f>IF(A520="","",MONTH(A520))</f>
        <v/>
      </c>
      <c r="I520" s="33">
        <f>IF(A520="","",YEAR(A520))</f>
        <v/>
      </c>
    </row>
    <row r="521" ht="15" customHeight="1" s="21">
      <c r="A521" s="34" t="n"/>
      <c r="B521" s="30" t="n"/>
      <c r="C521" s="30" t="n"/>
      <c r="D521" s="30" t="n"/>
      <c r="E521" s="33">
        <f>IF(B521="","",IFERROR(INDEX(Productos!$B$2:$B$501,MATCH(B521,Productos!$A$2:$A$501,0)),"¿Código?"))</f>
        <v/>
      </c>
      <c r="F521" s="32">
        <f>IF(C521&lt;&gt;"Venta","",D521*IFERROR(INDEX(Productos!$D$2:$D$501,MATCH(B521,Productos!$A$2:$A$501,0)),0))</f>
        <v/>
      </c>
      <c r="G521" s="32">
        <f>IF(C521&lt;&gt;"Venta","",D521*IFERROR(INDEX(Productos!$E$2:$E$501,MATCH(B521,Productos!$A$2:$A$501,0)),0))</f>
        <v/>
      </c>
      <c r="H521" s="33">
        <f>IF(A521="","",MONTH(A521))</f>
        <v/>
      </c>
      <c r="I521" s="33">
        <f>IF(A521="","",YEAR(A521))</f>
        <v/>
      </c>
    </row>
    <row r="522" ht="15" customHeight="1" s="21">
      <c r="A522" s="34" t="n"/>
      <c r="B522" s="30" t="n"/>
      <c r="C522" s="30" t="n"/>
      <c r="D522" s="30" t="n"/>
      <c r="E522" s="33">
        <f>IF(B522="","",IFERROR(INDEX(Productos!$B$2:$B$501,MATCH(B522,Productos!$A$2:$A$501,0)),"¿Código?"))</f>
        <v/>
      </c>
      <c r="F522" s="32">
        <f>IF(C522&lt;&gt;"Venta","",D522*IFERROR(INDEX(Productos!$D$2:$D$501,MATCH(B522,Productos!$A$2:$A$501,0)),0))</f>
        <v/>
      </c>
      <c r="G522" s="32">
        <f>IF(C522&lt;&gt;"Venta","",D522*IFERROR(INDEX(Productos!$E$2:$E$501,MATCH(B522,Productos!$A$2:$A$501,0)),0))</f>
        <v/>
      </c>
      <c r="H522" s="33">
        <f>IF(A522="","",MONTH(A522))</f>
        <v/>
      </c>
      <c r="I522" s="33">
        <f>IF(A522="","",YEAR(A522))</f>
        <v/>
      </c>
    </row>
    <row r="523" ht="15" customHeight="1" s="21">
      <c r="A523" s="34" t="n"/>
      <c r="B523" s="30" t="n"/>
      <c r="C523" s="30" t="n"/>
      <c r="D523" s="30" t="n"/>
      <c r="E523" s="33">
        <f>IF(B523="","",IFERROR(INDEX(Productos!$B$2:$B$501,MATCH(B523,Productos!$A$2:$A$501,0)),"¿Código?"))</f>
        <v/>
      </c>
      <c r="F523" s="32">
        <f>IF(C523&lt;&gt;"Venta","",D523*IFERROR(INDEX(Productos!$D$2:$D$501,MATCH(B523,Productos!$A$2:$A$501,0)),0))</f>
        <v/>
      </c>
      <c r="G523" s="32">
        <f>IF(C523&lt;&gt;"Venta","",D523*IFERROR(INDEX(Productos!$E$2:$E$501,MATCH(B523,Productos!$A$2:$A$501,0)),0))</f>
        <v/>
      </c>
      <c r="H523" s="33">
        <f>IF(A523="","",MONTH(A523))</f>
        <v/>
      </c>
      <c r="I523" s="33">
        <f>IF(A523="","",YEAR(A523))</f>
        <v/>
      </c>
    </row>
    <row r="524" ht="15" customHeight="1" s="21">
      <c r="A524" s="34" t="n"/>
      <c r="B524" s="30" t="n"/>
      <c r="C524" s="30" t="n"/>
      <c r="D524" s="30" t="n"/>
      <c r="E524" s="33">
        <f>IF(B524="","",IFERROR(INDEX(Productos!$B$2:$B$501,MATCH(B524,Productos!$A$2:$A$501,0)),"¿Código?"))</f>
        <v/>
      </c>
      <c r="F524" s="32">
        <f>IF(C524&lt;&gt;"Venta","",D524*IFERROR(INDEX(Productos!$D$2:$D$501,MATCH(B524,Productos!$A$2:$A$501,0)),0))</f>
        <v/>
      </c>
      <c r="G524" s="32">
        <f>IF(C524&lt;&gt;"Venta","",D524*IFERROR(INDEX(Productos!$E$2:$E$501,MATCH(B524,Productos!$A$2:$A$501,0)),0))</f>
        <v/>
      </c>
      <c r="H524" s="33">
        <f>IF(A524="","",MONTH(A524))</f>
        <v/>
      </c>
      <c r="I524" s="33">
        <f>IF(A524="","",YEAR(A524))</f>
        <v/>
      </c>
    </row>
    <row r="525" ht="15" customHeight="1" s="21">
      <c r="A525" s="34" t="n"/>
      <c r="B525" s="30" t="n"/>
      <c r="C525" s="30" t="n"/>
      <c r="D525" s="30" t="n"/>
      <c r="E525" s="33">
        <f>IF(B525="","",IFERROR(INDEX(Productos!$B$2:$B$501,MATCH(B525,Productos!$A$2:$A$501,0)),"¿Código?"))</f>
        <v/>
      </c>
      <c r="F525" s="32">
        <f>IF(C525&lt;&gt;"Venta","",D525*IFERROR(INDEX(Productos!$D$2:$D$501,MATCH(B525,Productos!$A$2:$A$501,0)),0))</f>
        <v/>
      </c>
      <c r="G525" s="32">
        <f>IF(C525&lt;&gt;"Venta","",D525*IFERROR(INDEX(Productos!$E$2:$E$501,MATCH(B525,Productos!$A$2:$A$501,0)),0))</f>
        <v/>
      </c>
      <c r="H525" s="33">
        <f>IF(A525="","",MONTH(A525))</f>
        <v/>
      </c>
      <c r="I525" s="33">
        <f>IF(A525="","",YEAR(A525))</f>
        <v/>
      </c>
    </row>
    <row r="526" ht="15" customHeight="1" s="21">
      <c r="A526" s="34" t="n"/>
      <c r="B526" s="30" t="n"/>
      <c r="C526" s="30" t="n"/>
      <c r="D526" s="30" t="n"/>
      <c r="E526" s="33">
        <f>IF(B526="","",IFERROR(INDEX(Productos!$B$2:$B$501,MATCH(B526,Productos!$A$2:$A$501,0)),"¿Código?"))</f>
        <v/>
      </c>
      <c r="F526" s="32">
        <f>IF(C526&lt;&gt;"Venta","",D526*IFERROR(INDEX(Productos!$D$2:$D$501,MATCH(B526,Productos!$A$2:$A$501,0)),0))</f>
        <v/>
      </c>
      <c r="G526" s="32">
        <f>IF(C526&lt;&gt;"Venta","",D526*IFERROR(INDEX(Productos!$E$2:$E$501,MATCH(B526,Productos!$A$2:$A$501,0)),0))</f>
        <v/>
      </c>
      <c r="H526" s="33">
        <f>IF(A526="","",MONTH(A526))</f>
        <v/>
      </c>
      <c r="I526" s="33">
        <f>IF(A526="","",YEAR(A526))</f>
        <v/>
      </c>
    </row>
    <row r="527" ht="15" customHeight="1" s="21">
      <c r="A527" s="34" t="n"/>
      <c r="B527" s="30" t="n"/>
      <c r="C527" s="30" t="n"/>
      <c r="D527" s="30" t="n"/>
      <c r="E527" s="33">
        <f>IF(B527="","",IFERROR(INDEX(Productos!$B$2:$B$501,MATCH(B527,Productos!$A$2:$A$501,0)),"¿Código?"))</f>
        <v/>
      </c>
      <c r="F527" s="32">
        <f>IF(C527&lt;&gt;"Venta","",D527*IFERROR(INDEX(Productos!$D$2:$D$501,MATCH(B527,Productos!$A$2:$A$501,0)),0))</f>
        <v/>
      </c>
      <c r="G527" s="32">
        <f>IF(C527&lt;&gt;"Venta","",D527*IFERROR(INDEX(Productos!$E$2:$E$501,MATCH(B527,Productos!$A$2:$A$501,0)),0))</f>
        <v/>
      </c>
      <c r="H527" s="33">
        <f>IF(A527="","",MONTH(A527))</f>
        <v/>
      </c>
      <c r="I527" s="33">
        <f>IF(A527="","",YEAR(A527))</f>
        <v/>
      </c>
    </row>
    <row r="528" ht="15" customHeight="1" s="21">
      <c r="A528" s="34" t="n"/>
      <c r="B528" s="30" t="n"/>
      <c r="C528" s="30" t="n"/>
      <c r="D528" s="30" t="n"/>
      <c r="E528" s="33">
        <f>IF(B528="","",IFERROR(INDEX(Productos!$B$2:$B$501,MATCH(B528,Productos!$A$2:$A$501,0)),"¿Código?"))</f>
        <v/>
      </c>
      <c r="F528" s="32">
        <f>IF(C528&lt;&gt;"Venta","",D528*IFERROR(INDEX(Productos!$D$2:$D$501,MATCH(B528,Productos!$A$2:$A$501,0)),0))</f>
        <v/>
      </c>
      <c r="G528" s="32">
        <f>IF(C528&lt;&gt;"Venta","",D528*IFERROR(INDEX(Productos!$E$2:$E$501,MATCH(B528,Productos!$A$2:$A$501,0)),0))</f>
        <v/>
      </c>
      <c r="H528" s="33">
        <f>IF(A528="","",MONTH(A528))</f>
        <v/>
      </c>
      <c r="I528" s="33">
        <f>IF(A528="","",YEAR(A528))</f>
        <v/>
      </c>
    </row>
    <row r="529" ht="15" customHeight="1" s="21">
      <c r="A529" s="34" t="n"/>
      <c r="B529" s="30" t="n"/>
      <c r="C529" s="30" t="n"/>
      <c r="D529" s="30" t="n"/>
      <c r="E529" s="33">
        <f>IF(B529="","",IFERROR(INDEX(Productos!$B$2:$B$501,MATCH(B529,Productos!$A$2:$A$501,0)),"¿Código?"))</f>
        <v/>
      </c>
      <c r="F529" s="32">
        <f>IF(C529&lt;&gt;"Venta","",D529*IFERROR(INDEX(Productos!$D$2:$D$501,MATCH(B529,Productos!$A$2:$A$501,0)),0))</f>
        <v/>
      </c>
      <c r="G529" s="32">
        <f>IF(C529&lt;&gt;"Venta","",D529*IFERROR(INDEX(Productos!$E$2:$E$501,MATCH(B529,Productos!$A$2:$A$501,0)),0))</f>
        <v/>
      </c>
      <c r="H529" s="33">
        <f>IF(A529="","",MONTH(A529))</f>
        <v/>
      </c>
      <c r="I529" s="33">
        <f>IF(A529="","",YEAR(A529))</f>
        <v/>
      </c>
    </row>
    <row r="530" ht="15" customHeight="1" s="21">
      <c r="A530" s="34" t="n"/>
      <c r="B530" s="30" t="n"/>
      <c r="C530" s="30" t="n"/>
      <c r="D530" s="30" t="n"/>
      <c r="E530" s="33">
        <f>IF(B530="","",IFERROR(INDEX(Productos!$B$2:$B$501,MATCH(B530,Productos!$A$2:$A$501,0)),"¿Código?"))</f>
        <v/>
      </c>
      <c r="F530" s="32">
        <f>IF(C530&lt;&gt;"Venta","",D530*IFERROR(INDEX(Productos!$D$2:$D$501,MATCH(B530,Productos!$A$2:$A$501,0)),0))</f>
        <v/>
      </c>
      <c r="G530" s="32">
        <f>IF(C530&lt;&gt;"Venta","",D530*IFERROR(INDEX(Productos!$E$2:$E$501,MATCH(B530,Productos!$A$2:$A$501,0)),0))</f>
        <v/>
      </c>
      <c r="H530" s="33">
        <f>IF(A530="","",MONTH(A530))</f>
        <v/>
      </c>
      <c r="I530" s="33">
        <f>IF(A530="","",YEAR(A530))</f>
        <v/>
      </c>
    </row>
    <row r="531" ht="15" customHeight="1" s="21">
      <c r="A531" s="34" t="n"/>
      <c r="B531" s="30" t="n"/>
      <c r="C531" s="30" t="n"/>
      <c r="D531" s="30" t="n"/>
      <c r="E531" s="33">
        <f>IF(B531="","",IFERROR(INDEX(Productos!$B$2:$B$501,MATCH(B531,Productos!$A$2:$A$501,0)),"¿Código?"))</f>
        <v/>
      </c>
      <c r="F531" s="32">
        <f>IF(C531&lt;&gt;"Venta","",D531*IFERROR(INDEX(Productos!$D$2:$D$501,MATCH(B531,Productos!$A$2:$A$501,0)),0))</f>
        <v/>
      </c>
      <c r="G531" s="32">
        <f>IF(C531&lt;&gt;"Venta","",D531*IFERROR(INDEX(Productos!$E$2:$E$501,MATCH(B531,Productos!$A$2:$A$501,0)),0))</f>
        <v/>
      </c>
      <c r="H531" s="33">
        <f>IF(A531="","",MONTH(A531))</f>
        <v/>
      </c>
      <c r="I531" s="33">
        <f>IF(A531="","",YEAR(A531))</f>
        <v/>
      </c>
    </row>
    <row r="532" ht="15" customHeight="1" s="21">
      <c r="A532" s="34" t="n"/>
      <c r="B532" s="30" t="n"/>
      <c r="C532" s="30" t="n"/>
      <c r="D532" s="30" t="n"/>
      <c r="E532" s="33">
        <f>IF(B532="","",IFERROR(INDEX(Productos!$B$2:$B$501,MATCH(B532,Productos!$A$2:$A$501,0)),"¿Código?"))</f>
        <v/>
      </c>
      <c r="F532" s="32">
        <f>IF(C532&lt;&gt;"Venta","",D532*IFERROR(INDEX(Productos!$D$2:$D$501,MATCH(B532,Productos!$A$2:$A$501,0)),0))</f>
        <v/>
      </c>
      <c r="G532" s="32">
        <f>IF(C532&lt;&gt;"Venta","",D532*IFERROR(INDEX(Productos!$E$2:$E$501,MATCH(B532,Productos!$A$2:$A$501,0)),0))</f>
        <v/>
      </c>
      <c r="H532" s="33">
        <f>IF(A532="","",MONTH(A532))</f>
        <v/>
      </c>
      <c r="I532" s="33">
        <f>IF(A532="","",YEAR(A532))</f>
        <v/>
      </c>
    </row>
    <row r="533" ht="15" customHeight="1" s="21">
      <c r="A533" s="34" t="n"/>
      <c r="B533" s="30" t="n"/>
      <c r="C533" s="30" t="n"/>
      <c r="D533" s="30" t="n"/>
      <c r="E533" s="33">
        <f>IF(B533="","",IFERROR(INDEX(Productos!$B$2:$B$501,MATCH(B533,Productos!$A$2:$A$501,0)),"¿Código?"))</f>
        <v/>
      </c>
      <c r="F533" s="32">
        <f>IF(C533&lt;&gt;"Venta","",D533*IFERROR(INDEX(Productos!$D$2:$D$501,MATCH(B533,Productos!$A$2:$A$501,0)),0))</f>
        <v/>
      </c>
      <c r="G533" s="32">
        <f>IF(C533&lt;&gt;"Venta","",D533*IFERROR(INDEX(Productos!$E$2:$E$501,MATCH(B533,Productos!$A$2:$A$501,0)),0))</f>
        <v/>
      </c>
      <c r="H533" s="33">
        <f>IF(A533="","",MONTH(A533))</f>
        <v/>
      </c>
      <c r="I533" s="33">
        <f>IF(A533="","",YEAR(A533))</f>
        <v/>
      </c>
    </row>
    <row r="534" ht="15" customHeight="1" s="21">
      <c r="A534" s="34" t="n"/>
      <c r="B534" s="30" t="n"/>
      <c r="C534" s="30" t="n"/>
      <c r="D534" s="30" t="n"/>
      <c r="E534" s="33">
        <f>IF(B534="","",IFERROR(INDEX(Productos!$B$2:$B$501,MATCH(B534,Productos!$A$2:$A$501,0)),"¿Código?"))</f>
        <v/>
      </c>
      <c r="F534" s="32">
        <f>IF(C534&lt;&gt;"Venta","",D534*IFERROR(INDEX(Productos!$D$2:$D$501,MATCH(B534,Productos!$A$2:$A$501,0)),0))</f>
        <v/>
      </c>
      <c r="G534" s="32">
        <f>IF(C534&lt;&gt;"Venta","",D534*IFERROR(INDEX(Productos!$E$2:$E$501,MATCH(B534,Productos!$A$2:$A$501,0)),0))</f>
        <v/>
      </c>
      <c r="H534" s="33">
        <f>IF(A534="","",MONTH(A534))</f>
        <v/>
      </c>
      <c r="I534" s="33">
        <f>IF(A534="","",YEAR(A534))</f>
        <v/>
      </c>
    </row>
    <row r="535" ht="15" customHeight="1" s="21">
      <c r="A535" s="34" t="n"/>
      <c r="B535" s="30" t="n"/>
      <c r="C535" s="30" t="n"/>
      <c r="D535" s="30" t="n"/>
      <c r="E535" s="33">
        <f>IF(B535="","",IFERROR(INDEX(Productos!$B$2:$B$501,MATCH(B535,Productos!$A$2:$A$501,0)),"¿Código?"))</f>
        <v/>
      </c>
      <c r="F535" s="32">
        <f>IF(C535&lt;&gt;"Venta","",D535*IFERROR(INDEX(Productos!$D$2:$D$501,MATCH(B535,Productos!$A$2:$A$501,0)),0))</f>
        <v/>
      </c>
      <c r="G535" s="32">
        <f>IF(C535&lt;&gt;"Venta","",D535*IFERROR(INDEX(Productos!$E$2:$E$501,MATCH(B535,Productos!$A$2:$A$501,0)),0))</f>
        <v/>
      </c>
      <c r="H535" s="33">
        <f>IF(A535="","",MONTH(A535))</f>
        <v/>
      </c>
      <c r="I535" s="33">
        <f>IF(A535="","",YEAR(A535))</f>
        <v/>
      </c>
    </row>
    <row r="536" ht="15" customHeight="1" s="21">
      <c r="A536" s="34" t="n"/>
      <c r="B536" s="30" t="n"/>
      <c r="C536" s="30" t="n"/>
      <c r="D536" s="30" t="n"/>
      <c r="E536" s="33">
        <f>IF(B536="","",IFERROR(INDEX(Productos!$B$2:$B$501,MATCH(B536,Productos!$A$2:$A$501,0)),"¿Código?"))</f>
        <v/>
      </c>
      <c r="F536" s="32">
        <f>IF(C536&lt;&gt;"Venta","",D536*IFERROR(INDEX(Productos!$D$2:$D$501,MATCH(B536,Productos!$A$2:$A$501,0)),0))</f>
        <v/>
      </c>
      <c r="G536" s="32">
        <f>IF(C536&lt;&gt;"Venta","",D536*IFERROR(INDEX(Productos!$E$2:$E$501,MATCH(B536,Productos!$A$2:$A$501,0)),0))</f>
        <v/>
      </c>
      <c r="H536" s="33">
        <f>IF(A536="","",MONTH(A536))</f>
        <v/>
      </c>
      <c r="I536" s="33">
        <f>IF(A536="","",YEAR(A536))</f>
        <v/>
      </c>
    </row>
    <row r="537" ht="15" customHeight="1" s="21">
      <c r="A537" s="34" t="n"/>
      <c r="B537" s="30" t="n"/>
      <c r="C537" s="30" t="n"/>
      <c r="D537" s="30" t="n"/>
      <c r="E537" s="33">
        <f>IF(B537="","",IFERROR(INDEX(Productos!$B$2:$B$501,MATCH(B537,Productos!$A$2:$A$501,0)),"¿Código?"))</f>
        <v/>
      </c>
      <c r="F537" s="32">
        <f>IF(C537&lt;&gt;"Venta","",D537*IFERROR(INDEX(Productos!$D$2:$D$501,MATCH(B537,Productos!$A$2:$A$501,0)),0))</f>
        <v/>
      </c>
      <c r="G537" s="32">
        <f>IF(C537&lt;&gt;"Venta","",D537*IFERROR(INDEX(Productos!$E$2:$E$501,MATCH(B537,Productos!$A$2:$A$501,0)),0))</f>
        <v/>
      </c>
      <c r="H537" s="33">
        <f>IF(A537="","",MONTH(A537))</f>
        <v/>
      </c>
      <c r="I537" s="33">
        <f>IF(A537="","",YEAR(A537))</f>
        <v/>
      </c>
    </row>
    <row r="538" ht="15" customHeight="1" s="21">
      <c r="A538" s="34" t="n"/>
      <c r="B538" s="30" t="n"/>
      <c r="C538" s="30" t="n"/>
      <c r="D538" s="30" t="n"/>
      <c r="E538" s="33">
        <f>IF(B538="","",IFERROR(INDEX(Productos!$B$2:$B$501,MATCH(B538,Productos!$A$2:$A$501,0)),"¿Código?"))</f>
        <v/>
      </c>
      <c r="F538" s="32">
        <f>IF(C538&lt;&gt;"Venta","",D538*IFERROR(INDEX(Productos!$D$2:$D$501,MATCH(B538,Productos!$A$2:$A$501,0)),0))</f>
        <v/>
      </c>
      <c r="G538" s="32">
        <f>IF(C538&lt;&gt;"Venta","",D538*IFERROR(INDEX(Productos!$E$2:$E$501,MATCH(B538,Productos!$A$2:$A$501,0)),0))</f>
        <v/>
      </c>
      <c r="H538" s="33">
        <f>IF(A538="","",MONTH(A538))</f>
        <v/>
      </c>
      <c r="I538" s="33">
        <f>IF(A538="","",YEAR(A538))</f>
        <v/>
      </c>
    </row>
    <row r="539" ht="15" customHeight="1" s="21">
      <c r="A539" s="34" t="n"/>
      <c r="B539" s="30" t="n"/>
      <c r="C539" s="30" t="n"/>
      <c r="D539" s="30" t="n"/>
      <c r="E539" s="33">
        <f>IF(B539="","",IFERROR(INDEX(Productos!$B$2:$B$501,MATCH(B539,Productos!$A$2:$A$501,0)),"¿Código?"))</f>
        <v/>
      </c>
      <c r="F539" s="32">
        <f>IF(C539&lt;&gt;"Venta","",D539*IFERROR(INDEX(Productos!$D$2:$D$501,MATCH(B539,Productos!$A$2:$A$501,0)),0))</f>
        <v/>
      </c>
      <c r="G539" s="32">
        <f>IF(C539&lt;&gt;"Venta","",D539*IFERROR(INDEX(Productos!$E$2:$E$501,MATCH(B539,Productos!$A$2:$A$501,0)),0))</f>
        <v/>
      </c>
      <c r="H539" s="33">
        <f>IF(A539="","",MONTH(A539))</f>
        <v/>
      </c>
      <c r="I539" s="33">
        <f>IF(A539="","",YEAR(A539))</f>
        <v/>
      </c>
    </row>
    <row r="540" ht="15" customHeight="1" s="21">
      <c r="A540" s="34" t="n"/>
      <c r="B540" s="30" t="n"/>
      <c r="C540" s="30" t="n"/>
      <c r="D540" s="30" t="n"/>
      <c r="E540" s="33">
        <f>IF(B540="","",IFERROR(INDEX(Productos!$B$2:$B$501,MATCH(B540,Productos!$A$2:$A$501,0)),"¿Código?"))</f>
        <v/>
      </c>
      <c r="F540" s="32">
        <f>IF(C540&lt;&gt;"Venta","",D540*IFERROR(INDEX(Productos!$D$2:$D$501,MATCH(B540,Productos!$A$2:$A$501,0)),0))</f>
        <v/>
      </c>
      <c r="G540" s="32">
        <f>IF(C540&lt;&gt;"Venta","",D540*IFERROR(INDEX(Productos!$E$2:$E$501,MATCH(B540,Productos!$A$2:$A$501,0)),0))</f>
        <v/>
      </c>
      <c r="H540" s="33">
        <f>IF(A540="","",MONTH(A540))</f>
        <v/>
      </c>
      <c r="I540" s="33">
        <f>IF(A540="","",YEAR(A540))</f>
        <v/>
      </c>
    </row>
    <row r="541" ht="15" customHeight="1" s="21">
      <c r="A541" s="34" t="n"/>
      <c r="B541" s="30" t="n"/>
      <c r="C541" s="30" t="n"/>
      <c r="D541" s="30" t="n"/>
      <c r="E541" s="33">
        <f>IF(B541="","",IFERROR(INDEX(Productos!$B$2:$B$501,MATCH(B541,Productos!$A$2:$A$501,0)),"¿Código?"))</f>
        <v/>
      </c>
      <c r="F541" s="32">
        <f>IF(C541&lt;&gt;"Venta","",D541*IFERROR(INDEX(Productos!$D$2:$D$501,MATCH(B541,Productos!$A$2:$A$501,0)),0))</f>
        <v/>
      </c>
      <c r="G541" s="32">
        <f>IF(C541&lt;&gt;"Venta","",D541*IFERROR(INDEX(Productos!$E$2:$E$501,MATCH(B541,Productos!$A$2:$A$501,0)),0))</f>
        <v/>
      </c>
      <c r="H541" s="33">
        <f>IF(A541="","",MONTH(A541))</f>
        <v/>
      </c>
      <c r="I541" s="33">
        <f>IF(A541="","",YEAR(A541))</f>
        <v/>
      </c>
    </row>
    <row r="542" ht="15" customHeight="1" s="21">
      <c r="A542" s="34" t="n"/>
      <c r="B542" s="30" t="n"/>
      <c r="C542" s="30" t="n"/>
      <c r="D542" s="30" t="n"/>
      <c r="E542" s="33">
        <f>IF(B542="","",IFERROR(INDEX(Productos!$B$2:$B$501,MATCH(B542,Productos!$A$2:$A$501,0)),"¿Código?"))</f>
        <v/>
      </c>
      <c r="F542" s="32">
        <f>IF(C542&lt;&gt;"Venta","",D542*IFERROR(INDEX(Productos!$D$2:$D$501,MATCH(B542,Productos!$A$2:$A$501,0)),0))</f>
        <v/>
      </c>
      <c r="G542" s="32">
        <f>IF(C542&lt;&gt;"Venta","",D542*IFERROR(INDEX(Productos!$E$2:$E$501,MATCH(B542,Productos!$A$2:$A$501,0)),0))</f>
        <v/>
      </c>
      <c r="H542" s="33">
        <f>IF(A542="","",MONTH(A542))</f>
        <v/>
      </c>
      <c r="I542" s="33">
        <f>IF(A542="","",YEAR(A542))</f>
        <v/>
      </c>
    </row>
    <row r="543" ht="15" customHeight="1" s="21">
      <c r="A543" s="34" t="n"/>
      <c r="B543" s="30" t="n"/>
      <c r="C543" s="30" t="n"/>
      <c r="D543" s="30" t="n"/>
      <c r="E543" s="33">
        <f>IF(B543="","",IFERROR(INDEX(Productos!$B$2:$B$501,MATCH(B543,Productos!$A$2:$A$501,0)),"¿Código?"))</f>
        <v/>
      </c>
      <c r="F543" s="32">
        <f>IF(C543&lt;&gt;"Venta","",D543*IFERROR(INDEX(Productos!$D$2:$D$501,MATCH(B543,Productos!$A$2:$A$501,0)),0))</f>
        <v/>
      </c>
      <c r="G543" s="32">
        <f>IF(C543&lt;&gt;"Venta","",D543*IFERROR(INDEX(Productos!$E$2:$E$501,MATCH(B543,Productos!$A$2:$A$501,0)),0))</f>
        <v/>
      </c>
      <c r="H543" s="33">
        <f>IF(A543="","",MONTH(A543))</f>
        <v/>
      </c>
      <c r="I543" s="33">
        <f>IF(A543="","",YEAR(A543))</f>
        <v/>
      </c>
    </row>
    <row r="544" ht="15" customHeight="1" s="21">
      <c r="A544" s="34" t="n"/>
      <c r="B544" s="30" t="n"/>
      <c r="C544" s="30" t="n"/>
      <c r="D544" s="30" t="n"/>
      <c r="E544" s="33">
        <f>IF(B544="","",IFERROR(INDEX(Productos!$B$2:$B$501,MATCH(B544,Productos!$A$2:$A$501,0)),"¿Código?"))</f>
        <v/>
      </c>
      <c r="F544" s="32">
        <f>IF(C544&lt;&gt;"Venta","",D544*IFERROR(INDEX(Productos!$D$2:$D$501,MATCH(B544,Productos!$A$2:$A$501,0)),0))</f>
        <v/>
      </c>
      <c r="G544" s="32">
        <f>IF(C544&lt;&gt;"Venta","",D544*IFERROR(INDEX(Productos!$E$2:$E$501,MATCH(B544,Productos!$A$2:$A$501,0)),0))</f>
        <v/>
      </c>
      <c r="H544" s="33">
        <f>IF(A544="","",MONTH(A544))</f>
        <v/>
      </c>
      <c r="I544" s="33">
        <f>IF(A544="","",YEAR(A544))</f>
        <v/>
      </c>
    </row>
    <row r="545" ht="15" customHeight="1" s="21">
      <c r="A545" s="34" t="n"/>
      <c r="B545" s="30" t="n"/>
      <c r="C545" s="30" t="n"/>
      <c r="D545" s="30" t="n"/>
      <c r="E545" s="33">
        <f>IF(B545="","",IFERROR(INDEX(Productos!$B$2:$B$501,MATCH(B545,Productos!$A$2:$A$501,0)),"¿Código?"))</f>
        <v/>
      </c>
      <c r="F545" s="32">
        <f>IF(C545&lt;&gt;"Venta","",D545*IFERROR(INDEX(Productos!$D$2:$D$501,MATCH(B545,Productos!$A$2:$A$501,0)),0))</f>
        <v/>
      </c>
      <c r="G545" s="32">
        <f>IF(C545&lt;&gt;"Venta","",D545*IFERROR(INDEX(Productos!$E$2:$E$501,MATCH(B545,Productos!$A$2:$A$501,0)),0))</f>
        <v/>
      </c>
      <c r="H545" s="33">
        <f>IF(A545="","",MONTH(A545))</f>
        <v/>
      </c>
      <c r="I545" s="33">
        <f>IF(A545="","",YEAR(A545))</f>
        <v/>
      </c>
    </row>
    <row r="546" ht="15" customHeight="1" s="21">
      <c r="A546" s="34" t="n"/>
      <c r="B546" s="30" t="n"/>
      <c r="C546" s="30" t="n"/>
      <c r="D546" s="30" t="n"/>
      <c r="E546" s="33">
        <f>IF(B546="","",IFERROR(INDEX(Productos!$B$2:$B$501,MATCH(B546,Productos!$A$2:$A$501,0)),"¿Código?"))</f>
        <v/>
      </c>
      <c r="F546" s="32">
        <f>IF(C546&lt;&gt;"Venta","",D546*IFERROR(INDEX(Productos!$D$2:$D$501,MATCH(B546,Productos!$A$2:$A$501,0)),0))</f>
        <v/>
      </c>
      <c r="G546" s="32">
        <f>IF(C546&lt;&gt;"Venta","",D546*IFERROR(INDEX(Productos!$E$2:$E$501,MATCH(B546,Productos!$A$2:$A$501,0)),0))</f>
        <v/>
      </c>
      <c r="H546" s="33">
        <f>IF(A546="","",MONTH(A546))</f>
        <v/>
      </c>
      <c r="I546" s="33">
        <f>IF(A546="","",YEAR(A546))</f>
        <v/>
      </c>
    </row>
    <row r="547" ht="15" customHeight="1" s="21">
      <c r="A547" s="34" t="n"/>
      <c r="B547" s="30" t="n"/>
      <c r="C547" s="30" t="n"/>
      <c r="D547" s="30" t="n"/>
      <c r="E547" s="33">
        <f>IF(B547="","",IFERROR(INDEX(Productos!$B$2:$B$501,MATCH(B547,Productos!$A$2:$A$501,0)),"¿Código?"))</f>
        <v/>
      </c>
      <c r="F547" s="32">
        <f>IF(C547&lt;&gt;"Venta","",D547*IFERROR(INDEX(Productos!$D$2:$D$501,MATCH(B547,Productos!$A$2:$A$501,0)),0))</f>
        <v/>
      </c>
      <c r="G547" s="32">
        <f>IF(C547&lt;&gt;"Venta","",D547*IFERROR(INDEX(Productos!$E$2:$E$501,MATCH(B547,Productos!$A$2:$A$501,0)),0))</f>
        <v/>
      </c>
      <c r="H547" s="33">
        <f>IF(A547="","",MONTH(A547))</f>
        <v/>
      </c>
      <c r="I547" s="33">
        <f>IF(A547="","",YEAR(A547))</f>
        <v/>
      </c>
    </row>
    <row r="548" ht="15" customHeight="1" s="21">
      <c r="A548" s="34" t="n"/>
      <c r="B548" s="30" t="n"/>
      <c r="C548" s="30" t="n"/>
      <c r="D548" s="30" t="n"/>
      <c r="E548" s="33">
        <f>IF(B548="","",IFERROR(INDEX(Productos!$B$2:$B$501,MATCH(B548,Productos!$A$2:$A$501,0)),"¿Código?"))</f>
        <v/>
      </c>
      <c r="F548" s="32">
        <f>IF(C548&lt;&gt;"Venta","",D548*IFERROR(INDEX(Productos!$D$2:$D$501,MATCH(B548,Productos!$A$2:$A$501,0)),0))</f>
        <v/>
      </c>
      <c r="G548" s="32">
        <f>IF(C548&lt;&gt;"Venta","",D548*IFERROR(INDEX(Productos!$E$2:$E$501,MATCH(B548,Productos!$A$2:$A$501,0)),0))</f>
        <v/>
      </c>
      <c r="H548" s="33">
        <f>IF(A548="","",MONTH(A548))</f>
        <v/>
      </c>
      <c r="I548" s="33">
        <f>IF(A548="","",YEAR(A548))</f>
        <v/>
      </c>
    </row>
    <row r="549" ht="15" customHeight="1" s="21">
      <c r="A549" s="34" t="n"/>
      <c r="B549" s="30" t="n"/>
      <c r="C549" s="30" t="n"/>
      <c r="D549" s="30" t="n"/>
      <c r="E549" s="33">
        <f>IF(B549="","",IFERROR(INDEX(Productos!$B$2:$B$501,MATCH(B549,Productos!$A$2:$A$501,0)),"¿Código?"))</f>
        <v/>
      </c>
      <c r="F549" s="32">
        <f>IF(C549&lt;&gt;"Venta","",D549*IFERROR(INDEX(Productos!$D$2:$D$501,MATCH(B549,Productos!$A$2:$A$501,0)),0))</f>
        <v/>
      </c>
      <c r="G549" s="32">
        <f>IF(C549&lt;&gt;"Venta","",D549*IFERROR(INDEX(Productos!$E$2:$E$501,MATCH(B549,Productos!$A$2:$A$501,0)),0))</f>
        <v/>
      </c>
      <c r="H549" s="33">
        <f>IF(A549="","",MONTH(A549))</f>
        <v/>
      </c>
      <c r="I549" s="33">
        <f>IF(A549="","",YEAR(A549))</f>
        <v/>
      </c>
    </row>
    <row r="550" ht="15" customHeight="1" s="21">
      <c r="A550" s="34" t="n"/>
      <c r="B550" s="30" t="n"/>
      <c r="C550" s="30" t="n"/>
      <c r="D550" s="30" t="n"/>
      <c r="E550" s="33">
        <f>IF(B550="","",IFERROR(INDEX(Productos!$B$2:$B$501,MATCH(B550,Productos!$A$2:$A$501,0)),"¿Código?"))</f>
        <v/>
      </c>
      <c r="F550" s="32">
        <f>IF(C550&lt;&gt;"Venta","",D550*IFERROR(INDEX(Productos!$D$2:$D$501,MATCH(B550,Productos!$A$2:$A$501,0)),0))</f>
        <v/>
      </c>
      <c r="G550" s="32">
        <f>IF(C550&lt;&gt;"Venta","",D550*IFERROR(INDEX(Productos!$E$2:$E$501,MATCH(B550,Productos!$A$2:$A$501,0)),0))</f>
        <v/>
      </c>
      <c r="H550" s="33">
        <f>IF(A550="","",MONTH(A550))</f>
        <v/>
      </c>
      <c r="I550" s="33">
        <f>IF(A550="","",YEAR(A550))</f>
        <v/>
      </c>
    </row>
    <row r="551" ht="15" customHeight="1" s="21">
      <c r="A551" s="34" t="n"/>
      <c r="B551" s="30" t="n"/>
      <c r="C551" s="30" t="n"/>
      <c r="D551" s="30" t="n"/>
      <c r="E551" s="33">
        <f>IF(B551="","",IFERROR(INDEX(Productos!$B$2:$B$501,MATCH(B551,Productos!$A$2:$A$501,0)),"¿Código?"))</f>
        <v/>
      </c>
      <c r="F551" s="32">
        <f>IF(C551&lt;&gt;"Venta","",D551*IFERROR(INDEX(Productos!$D$2:$D$501,MATCH(B551,Productos!$A$2:$A$501,0)),0))</f>
        <v/>
      </c>
      <c r="G551" s="32">
        <f>IF(C551&lt;&gt;"Venta","",D551*IFERROR(INDEX(Productos!$E$2:$E$501,MATCH(B551,Productos!$A$2:$A$501,0)),0))</f>
        <v/>
      </c>
      <c r="H551" s="33">
        <f>IF(A551="","",MONTH(A551))</f>
        <v/>
      </c>
      <c r="I551" s="33">
        <f>IF(A551="","",YEAR(A551))</f>
        <v/>
      </c>
    </row>
    <row r="552" ht="15" customHeight="1" s="21">
      <c r="A552" s="34" t="n"/>
      <c r="B552" s="30" t="n"/>
      <c r="C552" s="30" t="n"/>
      <c r="D552" s="30" t="n"/>
      <c r="E552" s="33">
        <f>IF(B552="","",IFERROR(INDEX(Productos!$B$2:$B$501,MATCH(B552,Productos!$A$2:$A$501,0)),"¿Código?"))</f>
        <v/>
      </c>
      <c r="F552" s="32">
        <f>IF(C552&lt;&gt;"Venta","",D552*IFERROR(INDEX(Productos!$D$2:$D$501,MATCH(B552,Productos!$A$2:$A$501,0)),0))</f>
        <v/>
      </c>
      <c r="G552" s="32">
        <f>IF(C552&lt;&gt;"Venta","",D552*IFERROR(INDEX(Productos!$E$2:$E$501,MATCH(B552,Productos!$A$2:$A$501,0)),0))</f>
        <v/>
      </c>
      <c r="H552" s="33">
        <f>IF(A552="","",MONTH(A552))</f>
        <v/>
      </c>
      <c r="I552" s="33">
        <f>IF(A552="","",YEAR(A552))</f>
        <v/>
      </c>
    </row>
    <row r="553" ht="15" customHeight="1" s="21">
      <c r="A553" s="34" t="n"/>
      <c r="B553" s="30" t="n"/>
      <c r="C553" s="30" t="n"/>
      <c r="D553" s="30" t="n"/>
      <c r="E553" s="33">
        <f>IF(B553="","",IFERROR(INDEX(Productos!$B$2:$B$501,MATCH(B553,Productos!$A$2:$A$501,0)),"¿Código?"))</f>
        <v/>
      </c>
      <c r="F553" s="32">
        <f>IF(C553&lt;&gt;"Venta","",D553*IFERROR(INDEX(Productos!$D$2:$D$501,MATCH(B553,Productos!$A$2:$A$501,0)),0))</f>
        <v/>
      </c>
      <c r="G553" s="32">
        <f>IF(C553&lt;&gt;"Venta","",D553*IFERROR(INDEX(Productos!$E$2:$E$501,MATCH(B553,Productos!$A$2:$A$501,0)),0))</f>
        <v/>
      </c>
      <c r="H553" s="33">
        <f>IF(A553="","",MONTH(A553))</f>
        <v/>
      </c>
      <c r="I553" s="33">
        <f>IF(A553="","",YEAR(A553))</f>
        <v/>
      </c>
    </row>
    <row r="554" ht="15" customHeight="1" s="21">
      <c r="A554" s="34" t="n"/>
      <c r="B554" s="30" t="n"/>
      <c r="C554" s="30" t="n"/>
      <c r="D554" s="30" t="n"/>
      <c r="E554" s="33">
        <f>IF(B554="","",IFERROR(INDEX(Productos!$B$2:$B$501,MATCH(B554,Productos!$A$2:$A$501,0)),"¿Código?"))</f>
        <v/>
      </c>
      <c r="F554" s="32">
        <f>IF(C554&lt;&gt;"Venta","",D554*IFERROR(INDEX(Productos!$D$2:$D$501,MATCH(B554,Productos!$A$2:$A$501,0)),0))</f>
        <v/>
      </c>
      <c r="G554" s="32">
        <f>IF(C554&lt;&gt;"Venta","",D554*IFERROR(INDEX(Productos!$E$2:$E$501,MATCH(B554,Productos!$A$2:$A$501,0)),0))</f>
        <v/>
      </c>
      <c r="H554" s="33">
        <f>IF(A554="","",MONTH(A554))</f>
        <v/>
      </c>
      <c r="I554" s="33">
        <f>IF(A554="","",YEAR(A554))</f>
        <v/>
      </c>
    </row>
    <row r="555" ht="15" customHeight="1" s="21">
      <c r="A555" s="34" t="n"/>
      <c r="B555" s="30" t="n"/>
      <c r="C555" s="30" t="n"/>
      <c r="D555" s="30" t="n"/>
      <c r="E555" s="33">
        <f>IF(B555="","",IFERROR(INDEX(Productos!$B$2:$B$501,MATCH(B555,Productos!$A$2:$A$501,0)),"¿Código?"))</f>
        <v/>
      </c>
      <c r="F555" s="32">
        <f>IF(C555&lt;&gt;"Venta","",D555*IFERROR(INDEX(Productos!$D$2:$D$501,MATCH(B555,Productos!$A$2:$A$501,0)),0))</f>
        <v/>
      </c>
      <c r="G555" s="32">
        <f>IF(C555&lt;&gt;"Venta","",D555*IFERROR(INDEX(Productos!$E$2:$E$501,MATCH(B555,Productos!$A$2:$A$501,0)),0))</f>
        <v/>
      </c>
      <c r="H555" s="33">
        <f>IF(A555="","",MONTH(A555))</f>
        <v/>
      </c>
      <c r="I555" s="33">
        <f>IF(A555="","",YEAR(A555))</f>
        <v/>
      </c>
    </row>
    <row r="556" ht="15" customHeight="1" s="21">
      <c r="A556" s="34" t="n"/>
      <c r="B556" s="30" t="n"/>
      <c r="C556" s="30" t="n"/>
      <c r="D556" s="30" t="n"/>
      <c r="E556" s="33">
        <f>IF(B556="","",IFERROR(INDEX(Productos!$B$2:$B$501,MATCH(B556,Productos!$A$2:$A$501,0)),"¿Código?"))</f>
        <v/>
      </c>
      <c r="F556" s="32">
        <f>IF(C556&lt;&gt;"Venta","",D556*IFERROR(INDEX(Productos!$D$2:$D$501,MATCH(B556,Productos!$A$2:$A$501,0)),0))</f>
        <v/>
      </c>
      <c r="G556" s="32">
        <f>IF(C556&lt;&gt;"Venta","",D556*IFERROR(INDEX(Productos!$E$2:$E$501,MATCH(B556,Productos!$A$2:$A$501,0)),0))</f>
        <v/>
      </c>
      <c r="H556" s="33">
        <f>IF(A556="","",MONTH(A556))</f>
        <v/>
      </c>
      <c r="I556" s="33">
        <f>IF(A556="","",YEAR(A556))</f>
        <v/>
      </c>
    </row>
    <row r="557" ht="15" customHeight="1" s="21">
      <c r="A557" s="34" t="n"/>
      <c r="B557" s="30" t="n"/>
      <c r="C557" s="30" t="n"/>
      <c r="D557" s="30" t="n"/>
      <c r="E557" s="33">
        <f>IF(B557="","",IFERROR(INDEX(Productos!$B$2:$B$501,MATCH(B557,Productos!$A$2:$A$501,0)),"¿Código?"))</f>
        <v/>
      </c>
      <c r="F557" s="32">
        <f>IF(C557&lt;&gt;"Venta","",D557*IFERROR(INDEX(Productos!$D$2:$D$501,MATCH(B557,Productos!$A$2:$A$501,0)),0))</f>
        <v/>
      </c>
      <c r="G557" s="32">
        <f>IF(C557&lt;&gt;"Venta","",D557*IFERROR(INDEX(Productos!$E$2:$E$501,MATCH(B557,Productos!$A$2:$A$501,0)),0))</f>
        <v/>
      </c>
      <c r="H557" s="33">
        <f>IF(A557="","",MONTH(A557))</f>
        <v/>
      </c>
      <c r="I557" s="33">
        <f>IF(A557="","",YEAR(A557))</f>
        <v/>
      </c>
    </row>
    <row r="558" ht="15" customHeight="1" s="21">
      <c r="A558" s="34" t="n"/>
      <c r="B558" s="30" t="n"/>
      <c r="C558" s="30" t="n"/>
      <c r="D558" s="30" t="n"/>
      <c r="E558" s="33">
        <f>IF(B558="","",IFERROR(INDEX(Productos!$B$2:$B$501,MATCH(B558,Productos!$A$2:$A$501,0)),"¿Código?"))</f>
        <v/>
      </c>
      <c r="F558" s="32">
        <f>IF(C558&lt;&gt;"Venta","",D558*IFERROR(INDEX(Productos!$D$2:$D$501,MATCH(B558,Productos!$A$2:$A$501,0)),0))</f>
        <v/>
      </c>
      <c r="G558" s="32">
        <f>IF(C558&lt;&gt;"Venta","",D558*IFERROR(INDEX(Productos!$E$2:$E$501,MATCH(B558,Productos!$A$2:$A$501,0)),0))</f>
        <v/>
      </c>
      <c r="H558" s="33">
        <f>IF(A558="","",MONTH(A558))</f>
        <v/>
      </c>
      <c r="I558" s="33">
        <f>IF(A558="","",YEAR(A558))</f>
        <v/>
      </c>
    </row>
    <row r="559" ht="15" customHeight="1" s="21">
      <c r="A559" s="34" t="n"/>
      <c r="B559" s="30" t="n"/>
      <c r="C559" s="30" t="n"/>
      <c r="D559" s="30" t="n"/>
      <c r="E559" s="33">
        <f>IF(B559="","",IFERROR(INDEX(Productos!$B$2:$B$501,MATCH(B559,Productos!$A$2:$A$501,0)),"¿Código?"))</f>
        <v/>
      </c>
      <c r="F559" s="32">
        <f>IF(C559&lt;&gt;"Venta","",D559*IFERROR(INDEX(Productos!$D$2:$D$501,MATCH(B559,Productos!$A$2:$A$501,0)),0))</f>
        <v/>
      </c>
      <c r="G559" s="32">
        <f>IF(C559&lt;&gt;"Venta","",D559*IFERROR(INDEX(Productos!$E$2:$E$501,MATCH(B559,Productos!$A$2:$A$501,0)),0))</f>
        <v/>
      </c>
      <c r="H559" s="33">
        <f>IF(A559="","",MONTH(A559))</f>
        <v/>
      </c>
      <c r="I559" s="33">
        <f>IF(A559="","",YEAR(A559))</f>
        <v/>
      </c>
    </row>
    <row r="560" ht="15" customHeight="1" s="21">
      <c r="A560" s="34" t="n"/>
      <c r="B560" s="30" t="n"/>
      <c r="C560" s="30" t="n"/>
      <c r="D560" s="30" t="n"/>
      <c r="E560" s="33">
        <f>IF(B560="","",IFERROR(INDEX(Productos!$B$2:$B$501,MATCH(B560,Productos!$A$2:$A$501,0)),"¿Código?"))</f>
        <v/>
      </c>
      <c r="F560" s="32">
        <f>IF(C560&lt;&gt;"Venta","",D560*IFERROR(INDEX(Productos!$D$2:$D$501,MATCH(B560,Productos!$A$2:$A$501,0)),0))</f>
        <v/>
      </c>
      <c r="G560" s="32">
        <f>IF(C560&lt;&gt;"Venta","",D560*IFERROR(INDEX(Productos!$E$2:$E$501,MATCH(B560,Productos!$A$2:$A$501,0)),0))</f>
        <v/>
      </c>
      <c r="H560" s="33">
        <f>IF(A560="","",MONTH(A560))</f>
        <v/>
      </c>
      <c r="I560" s="33">
        <f>IF(A560="","",YEAR(A560))</f>
        <v/>
      </c>
    </row>
    <row r="561" ht="15" customHeight="1" s="21">
      <c r="A561" s="34" t="n"/>
      <c r="B561" s="30" t="n"/>
      <c r="C561" s="30" t="n"/>
      <c r="D561" s="30" t="n"/>
      <c r="E561" s="33">
        <f>IF(B561="","",IFERROR(INDEX(Productos!$B$2:$B$501,MATCH(B561,Productos!$A$2:$A$501,0)),"¿Código?"))</f>
        <v/>
      </c>
      <c r="F561" s="32">
        <f>IF(C561&lt;&gt;"Venta","",D561*IFERROR(INDEX(Productos!$D$2:$D$501,MATCH(B561,Productos!$A$2:$A$501,0)),0))</f>
        <v/>
      </c>
      <c r="G561" s="32">
        <f>IF(C561&lt;&gt;"Venta","",D561*IFERROR(INDEX(Productos!$E$2:$E$501,MATCH(B561,Productos!$A$2:$A$501,0)),0))</f>
        <v/>
      </c>
      <c r="H561" s="33">
        <f>IF(A561="","",MONTH(A561))</f>
        <v/>
      </c>
      <c r="I561" s="33">
        <f>IF(A561="","",YEAR(A561))</f>
        <v/>
      </c>
    </row>
    <row r="562" ht="15" customHeight="1" s="21">
      <c r="A562" s="34" t="n"/>
      <c r="B562" s="30" t="n"/>
      <c r="C562" s="30" t="n"/>
      <c r="D562" s="30" t="n"/>
      <c r="E562" s="33">
        <f>IF(B562="","",IFERROR(INDEX(Productos!$B$2:$B$501,MATCH(B562,Productos!$A$2:$A$501,0)),"¿Código?"))</f>
        <v/>
      </c>
      <c r="F562" s="32">
        <f>IF(C562&lt;&gt;"Venta","",D562*IFERROR(INDEX(Productos!$D$2:$D$501,MATCH(B562,Productos!$A$2:$A$501,0)),0))</f>
        <v/>
      </c>
      <c r="G562" s="32">
        <f>IF(C562&lt;&gt;"Venta","",D562*IFERROR(INDEX(Productos!$E$2:$E$501,MATCH(B562,Productos!$A$2:$A$501,0)),0))</f>
        <v/>
      </c>
      <c r="H562" s="33">
        <f>IF(A562="","",MONTH(A562))</f>
        <v/>
      </c>
      <c r="I562" s="33">
        <f>IF(A562="","",YEAR(A562))</f>
        <v/>
      </c>
    </row>
    <row r="563" ht="15" customHeight="1" s="21">
      <c r="A563" s="34" t="n"/>
      <c r="B563" s="30" t="n"/>
      <c r="C563" s="30" t="n"/>
      <c r="D563" s="30" t="n"/>
      <c r="E563" s="33">
        <f>IF(B563="","",IFERROR(INDEX(Productos!$B$2:$B$501,MATCH(B563,Productos!$A$2:$A$501,0)),"¿Código?"))</f>
        <v/>
      </c>
      <c r="F563" s="32">
        <f>IF(C563&lt;&gt;"Venta","",D563*IFERROR(INDEX(Productos!$D$2:$D$501,MATCH(B563,Productos!$A$2:$A$501,0)),0))</f>
        <v/>
      </c>
      <c r="G563" s="32">
        <f>IF(C563&lt;&gt;"Venta","",D563*IFERROR(INDEX(Productos!$E$2:$E$501,MATCH(B563,Productos!$A$2:$A$501,0)),0))</f>
        <v/>
      </c>
      <c r="H563" s="33">
        <f>IF(A563="","",MONTH(A563))</f>
        <v/>
      </c>
      <c r="I563" s="33">
        <f>IF(A563="","",YEAR(A563))</f>
        <v/>
      </c>
    </row>
    <row r="564" ht="15" customHeight="1" s="21">
      <c r="A564" s="34" t="n"/>
      <c r="B564" s="30" t="n"/>
      <c r="C564" s="30" t="n"/>
      <c r="D564" s="30" t="n"/>
      <c r="E564" s="33">
        <f>IF(B564="","",IFERROR(INDEX(Productos!$B$2:$B$501,MATCH(B564,Productos!$A$2:$A$501,0)),"¿Código?"))</f>
        <v/>
      </c>
      <c r="F564" s="32">
        <f>IF(C564&lt;&gt;"Venta","",D564*IFERROR(INDEX(Productos!$D$2:$D$501,MATCH(B564,Productos!$A$2:$A$501,0)),0))</f>
        <v/>
      </c>
      <c r="G564" s="32">
        <f>IF(C564&lt;&gt;"Venta","",D564*IFERROR(INDEX(Productos!$E$2:$E$501,MATCH(B564,Productos!$A$2:$A$501,0)),0))</f>
        <v/>
      </c>
      <c r="H564" s="33">
        <f>IF(A564="","",MONTH(A564))</f>
        <v/>
      </c>
      <c r="I564" s="33">
        <f>IF(A564="","",YEAR(A564))</f>
        <v/>
      </c>
    </row>
    <row r="565" ht="15" customHeight="1" s="21">
      <c r="A565" s="34" t="n"/>
      <c r="B565" s="30" t="n"/>
      <c r="C565" s="30" t="n"/>
      <c r="D565" s="30" t="n"/>
      <c r="E565" s="33">
        <f>IF(B565="","",IFERROR(INDEX(Productos!$B$2:$B$501,MATCH(B565,Productos!$A$2:$A$501,0)),"¿Código?"))</f>
        <v/>
      </c>
      <c r="F565" s="32">
        <f>IF(C565&lt;&gt;"Venta","",D565*IFERROR(INDEX(Productos!$D$2:$D$501,MATCH(B565,Productos!$A$2:$A$501,0)),0))</f>
        <v/>
      </c>
      <c r="G565" s="32">
        <f>IF(C565&lt;&gt;"Venta","",D565*IFERROR(INDEX(Productos!$E$2:$E$501,MATCH(B565,Productos!$A$2:$A$501,0)),0))</f>
        <v/>
      </c>
      <c r="H565" s="33">
        <f>IF(A565="","",MONTH(A565))</f>
        <v/>
      </c>
      <c r="I565" s="33">
        <f>IF(A565="","",YEAR(A565))</f>
        <v/>
      </c>
    </row>
    <row r="566" ht="15" customHeight="1" s="21">
      <c r="A566" s="34" t="n"/>
      <c r="B566" s="30" t="n"/>
      <c r="C566" s="30" t="n"/>
      <c r="D566" s="30" t="n"/>
      <c r="E566" s="33">
        <f>IF(B566="","",IFERROR(INDEX(Productos!$B$2:$B$501,MATCH(B566,Productos!$A$2:$A$501,0)),"¿Código?"))</f>
        <v/>
      </c>
      <c r="F566" s="32">
        <f>IF(C566&lt;&gt;"Venta","",D566*IFERROR(INDEX(Productos!$D$2:$D$501,MATCH(B566,Productos!$A$2:$A$501,0)),0))</f>
        <v/>
      </c>
      <c r="G566" s="32">
        <f>IF(C566&lt;&gt;"Venta","",D566*IFERROR(INDEX(Productos!$E$2:$E$501,MATCH(B566,Productos!$A$2:$A$501,0)),0))</f>
        <v/>
      </c>
      <c r="H566" s="33">
        <f>IF(A566="","",MONTH(A566))</f>
        <v/>
      </c>
      <c r="I566" s="33">
        <f>IF(A566="","",YEAR(A566))</f>
        <v/>
      </c>
    </row>
    <row r="567" ht="15" customHeight="1" s="21">
      <c r="A567" s="34" t="n"/>
      <c r="B567" s="30" t="n"/>
      <c r="C567" s="30" t="n"/>
      <c r="D567" s="30" t="n"/>
      <c r="E567" s="33">
        <f>IF(B567="","",IFERROR(INDEX(Productos!$B$2:$B$501,MATCH(B567,Productos!$A$2:$A$501,0)),"¿Código?"))</f>
        <v/>
      </c>
      <c r="F567" s="32">
        <f>IF(C567&lt;&gt;"Venta","",D567*IFERROR(INDEX(Productos!$D$2:$D$501,MATCH(B567,Productos!$A$2:$A$501,0)),0))</f>
        <v/>
      </c>
      <c r="G567" s="32">
        <f>IF(C567&lt;&gt;"Venta","",D567*IFERROR(INDEX(Productos!$E$2:$E$501,MATCH(B567,Productos!$A$2:$A$501,0)),0))</f>
        <v/>
      </c>
      <c r="H567" s="33">
        <f>IF(A567="","",MONTH(A567))</f>
        <v/>
      </c>
      <c r="I567" s="33">
        <f>IF(A567="","",YEAR(A567))</f>
        <v/>
      </c>
    </row>
    <row r="568" ht="15" customHeight="1" s="21">
      <c r="A568" s="34" t="n"/>
      <c r="B568" s="30" t="n"/>
      <c r="C568" s="30" t="n"/>
      <c r="D568" s="30" t="n"/>
      <c r="E568" s="33">
        <f>IF(B568="","",IFERROR(INDEX(Productos!$B$2:$B$501,MATCH(B568,Productos!$A$2:$A$501,0)),"¿Código?"))</f>
        <v/>
      </c>
      <c r="F568" s="32">
        <f>IF(C568&lt;&gt;"Venta","",D568*IFERROR(INDEX(Productos!$D$2:$D$501,MATCH(B568,Productos!$A$2:$A$501,0)),0))</f>
        <v/>
      </c>
      <c r="G568" s="32">
        <f>IF(C568&lt;&gt;"Venta","",D568*IFERROR(INDEX(Productos!$E$2:$E$501,MATCH(B568,Productos!$A$2:$A$501,0)),0))</f>
        <v/>
      </c>
      <c r="H568" s="33">
        <f>IF(A568="","",MONTH(A568))</f>
        <v/>
      </c>
      <c r="I568" s="33">
        <f>IF(A568="","",YEAR(A568))</f>
        <v/>
      </c>
    </row>
    <row r="569" ht="15" customHeight="1" s="21">
      <c r="A569" s="34" t="n"/>
      <c r="B569" s="30" t="n"/>
      <c r="C569" s="30" t="n"/>
      <c r="D569" s="30" t="n"/>
      <c r="E569" s="33">
        <f>IF(B569="","",IFERROR(INDEX(Productos!$B$2:$B$501,MATCH(B569,Productos!$A$2:$A$501,0)),"¿Código?"))</f>
        <v/>
      </c>
      <c r="F569" s="32">
        <f>IF(C569&lt;&gt;"Venta","",D569*IFERROR(INDEX(Productos!$D$2:$D$501,MATCH(B569,Productos!$A$2:$A$501,0)),0))</f>
        <v/>
      </c>
      <c r="G569" s="32">
        <f>IF(C569&lt;&gt;"Venta","",D569*IFERROR(INDEX(Productos!$E$2:$E$501,MATCH(B569,Productos!$A$2:$A$501,0)),0))</f>
        <v/>
      </c>
      <c r="H569" s="33">
        <f>IF(A569="","",MONTH(A569))</f>
        <v/>
      </c>
      <c r="I569" s="33">
        <f>IF(A569="","",YEAR(A569))</f>
        <v/>
      </c>
    </row>
    <row r="570" ht="15" customHeight="1" s="21">
      <c r="A570" s="34" t="n"/>
      <c r="B570" s="30" t="n"/>
      <c r="C570" s="30" t="n"/>
      <c r="D570" s="30" t="n"/>
      <c r="E570" s="33">
        <f>IF(B570="","",IFERROR(INDEX(Productos!$B$2:$B$501,MATCH(B570,Productos!$A$2:$A$501,0)),"¿Código?"))</f>
        <v/>
      </c>
      <c r="F570" s="32">
        <f>IF(C570&lt;&gt;"Venta","",D570*IFERROR(INDEX(Productos!$D$2:$D$501,MATCH(B570,Productos!$A$2:$A$501,0)),0))</f>
        <v/>
      </c>
      <c r="G570" s="32">
        <f>IF(C570&lt;&gt;"Venta","",D570*IFERROR(INDEX(Productos!$E$2:$E$501,MATCH(B570,Productos!$A$2:$A$501,0)),0))</f>
        <v/>
      </c>
      <c r="H570" s="33">
        <f>IF(A570="","",MONTH(A570))</f>
        <v/>
      </c>
      <c r="I570" s="33">
        <f>IF(A570="","",YEAR(A570))</f>
        <v/>
      </c>
    </row>
    <row r="571" ht="15" customHeight="1" s="21">
      <c r="A571" s="34" t="n"/>
      <c r="B571" s="30" t="n"/>
      <c r="C571" s="30" t="n"/>
      <c r="D571" s="30" t="n"/>
      <c r="E571" s="33">
        <f>IF(B571="","",IFERROR(INDEX(Productos!$B$2:$B$501,MATCH(B571,Productos!$A$2:$A$501,0)),"¿Código?"))</f>
        <v/>
      </c>
      <c r="F571" s="32">
        <f>IF(C571&lt;&gt;"Venta","",D571*IFERROR(INDEX(Productos!$D$2:$D$501,MATCH(B571,Productos!$A$2:$A$501,0)),0))</f>
        <v/>
      </c>
      <c r="G571" s="32">
        <f>IF(C571&lt;&gt;"Venta","",D571*IFERROR(INDEX(Productos!$E$2:$E$501,MATCH(B571,Productos!$A$2:$A$501,0)),0))</f>
        <v/>
      </c>
      <c r="H571" s="33">
        <f>IF(A571="","",MONTH(A571))</f>
        <v/>
      </c>
      <c r="I571" s="33">
        <f>IF(A571="","",YEAR(A571))</f>
        <v/>
      </c>
    </row>
    <row r="572" ht="15" customHeight="1" s="21">
      <c r="A572" s="34" t="n"/>
      <c r="B572" s="30" t="n"/>
      <c r="C572" s="30" t="n"/>
      <c r="D572" s="30" t="n"/>
      <c r="E572" s="33">
        <f>IF(B572="","",IFERROR(INDEX(Productos!$B$2:$B$501,MATCH(B572,Productos!$A$2:$A$501,0)),"¿Código?"))</f>
        <v/>
      </c>
      <c r="F572" s="32">
        <f>IF(C572&lt;&gt;"Venta","",D572*IFERROR(INDEX(Productos!$D$2:$D$501,MATCH(B572,Productos!$A$2:$A$501,0)),0))</f>
        <v/>
      </c>
      <c r="G572" s="32">
        <f>IF(C572&lt;&gt;"Venta","",D572*IFERROR(INDEX(Productos!$E$2:$E$501,MATCH(B572,Productos!$A$2:$A$501,0)),0))</f>
        <v/>
      </c>
      <c r="H572" s="33">
        <f>IF(A572="","",MONTH(A572))</f>
        <v/>
      </c>
      <c r="I572" s="33">
        <f>IF(A572="","",YEAR(A572))</f>
        <v/>
      </c>
    </row>
    <row r="573" ht="15" customHeight="1" s="21">
      <c r="A573" s="34" t="n"/>
      <c r="B573" s="30" t="n"/>
      <c r="C573" s="30" t="n"/>
      <c r="D573" s="30" t="n"/>
      <c r="E573" s="33">
        <f>IF(B573="","",IFERROR(INDEX(Productos!$B$2:$B$501,MATCH(B573,Productos!$A$2:$A$501,0)),"¿Código?"))</f>
        <v/>
      </c>
      <c r="F573" s="32">
        <f>IF(C573&lt;&gt;"Venta","",D573*IFERROR(INDEX(Productos!$D$2:$D$501,MATCH(B573,Productos!$A$2:$A$501,0)),0))</f>
        <v/>
      </c>
      <c r="G573" s="32">
        <f>IF(C573&lt;&gt;"Venta","",D573*IFERROR(INDEX(Productos!$E$2:$E$501,MATCH(B573,Productos!$A$2:$A$501,0)),0))</f>
        <v/>
      </c>
      <c r="H573" s="33">
        <f>IF(A573="","",MONTH(A573))</f>
        <v/>
      </c>
      <c r="I573" s="33">
        <f>IF(A573="","",YEAR(A573))</f>
        <v/>
      </c>
    </row>
    <row r="574" ht="15" customHeight="1" s="21">
      <c r="A574" s="34" t="n"/>
      <c r="B574" s="30" t="n"/>
      <c r="C574" s="30" t="n"/>
      <c r="D574" s="30" t="n"/>
      <c r="E574" s="33">
        <f>IF(B574="","",IFERROR(INDEX(Productos!$B$2:$B$501,MATCH(B574,Productos!$A$2:$A$501,0)),"¿Código?"))</f>
        <v/>
      </c>
      <c r="F574" s="32">
        <f>IF(C574&lt;&gt;"Venta","",D574*IFERROR(INDEX(Productos!$D$2:$D$501,MATCH(B574,Productos!$A$2:$A$501,0)),0))</f>
        <v/>
      </c>
      <c r="G574" s="32">
        <f>IF(C574&lt;&gt;"Venta","",D574*IFERROR(INDEX(Productos!$E$2:$E$501,MATCH(B574,Productos!$A$2:$A$501,0)),0))</f>
        <v/>
      </c>
      <c r="H574" s="33">
        <f>IF(A574="","",MONTH(A574))</f>
        <v/>
      </c>
      <c r="I574" s="33">
        <f>IF(A574="","",YEAR(A574))</f>
        <v/>
      </c>
    </row>
    <row r="575" ht="15" customHeight="1" s="21">
      <c r="A575" s="34" t="n"/>
      <c r="B575" s="30" t="n"/>
      <c r="C575" s="30" t="n"/>
      <c r="D575" s="30" t="n"/>
      <c r="E575" s="33">
        <f>IF(B575="","",IFERROR(INDEX(Productos!$B$2:$B$501,MATCH(B575,Productos!$A$2:$A$501,0)),"¿Código?"))</f>
        <v/>
      </c>
      <c r="F575" s="32">
        <f>IF(C575&lt;&gt;"Venta","",D575*IFERROR(INDEX(Productos!$D$2:$D$501,MATCH(B575,Productos!$A$2:$A$501,0)),0))</f>
        <v/>
      </c>
      <c r="G575" s="32">
        <f>IF(C575&lt;&gt;"Venta","",D575*IFERROR(INDEX(Productos!$E$2:$E$501,MATCH(B575,Productos!$A$2:$A$501,0)),0))</f>
        <v/>
      </c>
      <c r="H575" s="33">
        <f>IF(A575="","",MONTH(A575))</f>
        <v/>
      </c>
      <c r="I575" s="33">
        <f>IF(A575="","",YEAR(A575))</f>
        <v/>
      </c>
    </row>
    <row r="576" ht="15" customHeight="1" s="21">
      <c r="A576" s="34" t="n"/>
      <c r="B576" s="30" t="n"/>
      <c r="C576" s="30" t="n"/>
      <c r="D576" s="30" t="n"/>
      <c r="E576" s="33">
        <f>IF(B576="","",IFERROR(INDEX(Productos!$B$2:$B$501,MATCH(B576,Productos!$A$2:$A$501,0)),"¿Código?"))</f>
        <v/>
      </c>
      <c r="F576" s="32">
        <f>IF(C576&lt;&gt;"Venta","",D576*IFERROR(INDEX(Productos!$D$2:$D$501,MATCH(B576,Productos!$A$2:$A$501,0)),0))</f>
        <v/>
      </c>
      <c r="G576" s="32">
        <f>IF(C576&lt;&gt;"Venta","",D576*IFERROR(INDEX(Productos!$E$2:$E$501,MATCH(B576,Productos!$A$2:$A$501,0)),0))</f>
        <v/>
      </c>
      <c r="H576" s="33">
        <f>IF(A576="","",MONTH(A576))</f>
        <v/>
      </c>
      <c r="I576" s="33">
        <f>IF(A576="","",YEAR(A576))</f>
        <v/>
      </c>
    </row>
    <row r="577" ht="15" customHeight="1" s="21">
      <c r="A577" s="34" t="n"/>
      <c r="B577" s="30" t="n"/>
      <c r="C577" s="30" t="n"/>
      <c r="D577" s="30" t="n"/>
      <c r="E577" s="33">
        <f>IF(B577="","",IFERROR(INDEX(Productos!$B$2:$B$501,MATCH(B577,Productos!$A$2:$A$501,0)),"¿Código?"))</f>
        <v/>
      </c>
      <c r="F577" s="32">
        <f>IF(C577&lt;&gt;"Venta","",D577*IFERROR(INDEX(Productos!$D$2:$D$501,MATCH(B577,Productos!$A$2:$A$501,0)),0))</f>
        <v/>
      </c>
      <c r="G577" s="32">
        <f>IF(C577&lt;&gt;"Venta","",D577*IFERROR(INDEX(Productos!$E$2:$E$501,MATCH(B577,Productos!$A$2:$A$501,0)),0))</f>
        <v/>
      </c>
      <c r="H577" s="33">
        <f>IF(A577="","",MONTH(A577))</f>
        <v/>
      </c>
      <c r="I577" s="33">
        <f>IF(A577="","",YEAR(A577))</f>
        <v/>
      </c>
    </row>
    <row r="578" ht="15" customHeight="1" s="21">
      <c r="A578" s="34" t="n"/>
      <c r="B578" s="30" t="n"/>
      <c r="C578" s="30" t="n"/>
      <c r="D578" s="30" t="n"/>
      <c r="E578" s="33">
        <f>IF(B578="","",IFERROR(INDEX(Productos!$B$2:$B$501,MATCH(B578,Productos!$A$2:$A$501,0)),"¿Código?"))</f>
        <v/>
      </c>
      <c r="F578" s="32">
        <f>IF(C578&lt;&gt;"Venta","",D578*IFERROR(INDEX(Productos!$D$2:$D$501,MATCH(B578,Productos!$A$2:$A$501,0)),0))</f>
        <v/>
      </c>
      <c r="G578" s="32">
        <f>IF(C578&lt;&gt;"Venta","",D578*IFERROR(INDEX(Productos!$E$2:$E$501,MATCH(B578,Productos!$A$2:$A$501,0)),0))</f>
        <v/>
      </c>
      <c r="H578" s="33">
        <f>IF(A578="","",MONTH(A578))</f>
        <v/>
      </c>
      <c r="I578" s="33">
        <f>IF(A578="","",YEAR(A578))</f>
        <v/>
      </c>
    </row>
    <row r="579" ht="15" customHeight="1" s="21">
      <c r="A579" s="34" t="n"/>
      <c r="B579" s="30" t="n"/>
      <c r="C579" s="30" t="n"/>
      <c r="D579" s="30" t="n"/>
      <c r="E579" s="33">
        <f>IF(B579="","",IFERROR(INDEX(Productos!$B$2:$B$501,MATCH(B579,Productos!$A$2:$A$501,0)),"¿Código?"))</f>
        <v/>
      </c>
      <c r="F579" s="32">
        <f>IF(C579&lt;&gt;"Venta","",D579*IFERROR(INDEX(Productos!$D$2:$D$501,MATCH(B579,Productos!$A$2:$A$501,0)),0))</f>
        <v/>
      </c>
      <c r="G579" s="32">
        <f>IF(C579&lt;&gt;"Venta","",D579*IFERROR(INDEX(Productos!$E$2:$E$501,MATCH(B579,Productos!$A$2:$A$501,0)),0))</f>
        <v/>
      </c>
      <c r="H579" s="33">
        <f>IF(A579="","",MONTH(A579))</f>
        <v/>
      </c>
      <c r="I579" s="33">
        <f>IF(A579="","",YEAR(A579))</f>
        <v/>
      </c>
    </row>
    <row r="580" ht="15" customHeight="1" s="21">
      <c r="A580" s="34" t="n"/>
      <c r="B580" s="30" t="n"/>
      <c r="C580" s="30" t="n"/>
      <c r="D580" s="30" t="n"/>
      <c r="E580" s="33">
        <f>IF(B580="","",IFERROR(INDEX(Productos!$B$2:$B$501,MATCH(B580,Productos!$A$2:$A$501,0)),"¿Código?"))</f>
        <v/>
      </c>
      <c r="F580" s="32">
        <f>IF(C580&lt;&gt;"Venta","",D580*IFERROR(INDEX(Productos!$D$2:$D$501,MATCH(B580,Productos!$A$2:$A$501,0)),0))</f>
        <v/>
      </c>
      <c r="G580" s="32">
        <f>IF(C580&lt;&gt;"Venta","",D580*IFERROR(INDEX(Productos!$E$2:$E$501,MATCH(B580,Productos!$A$2:$A$501,0)),0))</f>
        <v/>
      </c>
      <c r="H580" s="33">
        <f>IF(A580="","",MONTH(A580))</f>
        <v/>
      </c>
      <c r="I580" s="33">
        <f>IF(A580="","",YEAR(A580))</f>
        <v/>
      </c>
    </row>
    <row r="581" ht="15" customHeight="1" s="21">
      <c r="A581" s="34" t="n"/>
      <c r="B581" s="30" t="n"/>
      <c r="C581" s="30" t="n"/>
      <c r="D581" s="30" t="n"/>
      <c r="E581" s="33">
        <f>IF(B581="","",IFERROR(INDEX(Productos!$B$2:$B$501,MATCH(B581,Productos!$A$2:$A$501,0)),"¿Código?"))</f>
        <v/>
      </c>
      <c r="F581" s="32">
        <f>IF(C581&lt;&gt;"Venta","",D581*IFERROR(INDEX(Productos!$D$2:$D$501,MATCH(B581,Productos!$A$2:$A$501,0)),0))</f>
        <v/>
      </c>
      <c r="G581" s="32">
        <f>IF(C581&lt;&gt;"Venta","",D581*IFERROR(INDEX(Productos!$E$2:$E$501,MATCH(B581,Productos!$A$2:$A$501,0)),0))</f>
        <v/>
      </c>
      <c r="H581" s="33">
        <f>IF(A581="","",MONTH(A581))</f>
        <v/>
      </c>
      <c r="I581" s="33">
        <f>IF(A581="","",YEAR(A581))</f>
        <v/>
      </c>
    </row>
    <row r="582" ht="15" customHeight="1" s="21">
      <c r="A582" s="34" t="n"/>
      <c r="B582" s="30" t="n"/>
      <c r="C582" s="30" t="n"/>
      <c r="D582" s="30" t="n"/>
      <c r="E582" s="33">
        <f>IF(B582="","",IFERROR(INDEX(Productos!$B$2:$B$501,MATCH(B582,Productos!$A$2:$A$501,0)),"¿Código?"))</f>
        <v/>
      </c>
      <c r="F582" s="32">
        <f>IF(C582&lt;&gt;"Venta","",D582*IFERROR(INDEX(Productos!$D$2:$D$501,MATCH(B582,Productos!$A$2:$A$501,0)),0))</f>
        <v/>
      </c>
      <c r="G582" s="32">
        <f>IF(C582&lt;&gt;"Venta","",D582*IFERROR(INDEX(Productos!$E$2:$E$501,MATCH(B582,Productos!$A$2:$A$501,0)),0))</f>
        <v/>
      </c>
      <c r="H582" s="33">
        <f>IF(A582="","",MONTH(A582))</f>
        <v/>
      </c>
      <c r="I582" s="33">
        <f>IF(A582="","",YEAR(A582))</f>
        <v/>
      </c>
    </row>
    <row r="583" ht="15" customHeight="1" s="21">
      <c r="A583" s="34" t="n"/>
      <c r="B583" s="30" t="n"/>
      <c r="C583" s="30" t="n"/>
      <c r="D583" s="30" t="n"/>
      <c r="E583" s="33">
        <f>IF(B583="","",IFERROR(INDEX(Productos!$B$2:$B$501,MATCH(B583,Productos!$A$2:$A$501,0)),"¿Código?"))</f>
        <v/>
      </c>
      <c r="F583" s="32">
        <f>IF(C583&lt;&gt;"Venta","",D583*IFERROR(INDEX(Productos!$D$2:$D$501,MATCH(B583,Productos!$A$2:$A$501,0)),0))</f>
        <v/>
      </c>
      <c r="G583" s="32">
        <f>IF(C583&lt;&gt;"Venta","",D583*IFERROR(INDEX(Productos!$E$2:$E$501,MATCH(B583,Productos!$A$2:$A$501,0)),0))</f>
        <v/>
      </c>
      <c r="H583" s="33">
        <f>IF(A583="","",MONTH(A583))</f>
        <v/>
      </c>
      <c r="I583" s="33">
        <f>IF(A583="","",YEAR(A583))</f>
        <v/>
      </c>
    </row>
    <row r="584" ht="15" customHeight="1" s="21">
      <c r="A584" s="34" t="n"/>
      <c r="B584" s="30" t="n"/>
      <c r="C584" s="30" t="n"/>
      <c r="D584" s="30" t="n"/>
      <c r="E584" s="33">
        <f>IF(B584="","",IFERROR(INDEX(Productos!$B$2:$B$501,MATCH(B584,Productos!$A$2:$A$501,0)),"¿Código?"))</f>
        <v/>
      </c>
      <c r="F584" s="32">
        <f>IF(C584&lt;&gt;"Venta","",D584*IFERROR(INDEX(Productos!$D$2:$D$501,MATCH(B584,Productos!$A$2:$A$501,0)),0))</f>
        <v/>
      </c>
      <c r="G584" s="32">
        <f>IF(C584&lt;&gt;"Venta","",D584*IFERROR(INDEX(Productos!$E$2:$E$501,MATCH(B584,Productos!$A$2:$A$501,0)),0))</f>
        <v/>
      </c>
      <c r="H584" s="33">
        <f>IF(A584="","",MONTH(A584))</f>
        <v/>
      </c>
      <c r="I584" s="33">
        <f>IF(A584="","",YEAR(A584))</f>
        <v/>
      </c>
    </row>
    <row r="585" ht="15" customHeight="1" s="21">
      <c r="A585" s="34" t="n"/>
      <c r="B585" s="30" t="n"/>
      <c r="C585" s="30" t="n"/>
      <c r="D585" s="30" t="n"/>
      <c r="E585" s="33">
        <f>IF(B585="","",IFERROR(INDEX(Productos!$B$2:$B$501,MATCH(B585,Productos!$A$2:$A$501,0)),"¿Código?"))</f>
        <v/>
      </c>
      <c r="F585" s="32">
        <f>IF(C585&lt;&gt;"Venta","",D585*IFERROR(INDEX(Productos!$D$2:$D$501,MATCH(B585,Productos!$A$2:$A$501,0)),0))</f>
        <v/>
      </c>
      <c r="G585" s="32">
        <f>IF(C585&lt;&gt;"Venta","",D585*IFERROR(INDEX(Productos!$E$2:$E$501,MATCH(B585,Productos!$A$2:$A$501,0)),0))</f>
        <v/>
      </c>
      <c r="H585" s="33">
        <f>IF(A585="","",MONTH(A585))</f>
        <v/>
      </c>
      <c r="I585" s="33">
        <f>IF(A585="","",YEAR(A585))</f>
        <v/>
      </c>
    </row>
    <row r="586" ht="15" customHeight="1" s="21">
      <c r="A586" s="34" t="n"/>
      <c r="B586" s="30" t="n"/>
      <c r="C586" s="30" t="n"/>
      <c r="D586" s="30" t="n"/>
      <c r="E586" s="33">
        <f>IF(B586="","",IFERROR(INDEX(Productos!$B$2:$B$501,MATCH(B586,Productos!$A$2:$A$501,0)),"¿Código?"))</f>
        <v/>
      </c>
      <c r="F586" s="32">
        <f>IF(C586&lt;&gt;"Venta","",D586*IFERROR(INDEX(Productos!$D$2:$D$501,MATCH(B586,Productos!$A$2:$A$501,0)),0))</f>
        <v/>
      </c>
      <c r="G586" s="32">
        <f>IF(C586&lt;&gt;"Venta","",D586*IFERROR(INDEX(Productos!$E$2:$E$501,MATCH(B586,Productos!$A$2:$A$501,0)),0))</f>
        <v/>
      </c>
      <c r="H586" s="33">
        <f>IF(A586="","",MONTH(A586))</f>
        <v/>
      </c>
      <c r="I586" s="33">
        <f>IF(A586="","",YEAR(A586))</f>
        <v/>
      </c>
    </row>
    <row r="587" ht="15" customHeight="1" s="21">
      <c r="A587" s="34" t="n"/>
      <c r="B587" s="30" t="n"/>
      <c r="C587" s="30" t="n"/>
      <c r="D587" s="30" t="n"/>
      <c r="E587" s="33">
        <f>IF(B587="","",IFERROR(INDEX(Productos!$B$2:$B$501,MATCH(B587,Productos!$A$2:$A$501,0)),"¿Código?"))</f>
        <v/>
      </c>
      <c r="F587" s="32">
        <f>IF(C587&lt;&gt;"Venta","",D587*IFERROR(INDEX(Productos!$D$2:$D$501,MATCH(B587,Productos!$A$2:$A$501,0)),0))</f>
        <v/>
      </c>
      <c r="G587" s="32">
        <f>IF(C587&lt;&gt;"Venta","",D587*IFERROR(INDEX(Productos!$E$2:$E$501,MATCH(B587,Productos!$A$2:$A$501,0)),0))</f>
        <v/>
      </c>
      <c r="H587" s="33">
        <f>IF(A587="","",MONTH(A587))</f>
        <v/>
      </c>
      <c r="I587" s="33">
        <f>IF(A587="","",YEAR(A587))</f>
        <v/>
      </c>
    </row>
    <row r="588" ht="15" customHeight="1" s="21">
      <c r="A588" s="34" t="n"/>
      <c r="B588" s="30" t="n"/>
      <c r="C588" s="30" t="n"/>
      <c r="D588" s="30" t="n"/>
      <c r="E588" s="33">
        <f>IF(B588="","",IFERROR(INDEX(Productos!$B$2:$B$501,MATCH(B588,Productos!$A$2:$A$501,0)),"¿Código?"))</f>
        <v/>
      </c>
      <c r="F588" s="32">
        <f>IF(C588&lt;&gt;"Venta","",D588*IFERROR(INDEX(Productos!$D$2:$D$501,MATCH(B588,Productos!$A$2:$A$501,0)),0))</f>
        <v/>
      </c>
      <c r="G588" s="32">
        <f>IF(C588&lt;&gt;"Venta","",D588*IFERROR(INDEX(Productos!$E$2:$E$501,MATCH(B588,Productos!$A$2:$A$501,0)),0))</f>
        <v/>
      </c>
      <c r="H588" s="33">
        <f>IF(A588="","",MONTH(A588))</f>
        <v/>
      </c>
      <c r="I588" s="33">
        <f>IF(A588="","",YEAR(A588))</f>
        <v/>
      </c>
    </row>
    <row r="589" ht="15" customHeight="1" s="21">
      <c r="A589" s="34" t="n"/>
      <c r="B589" s="30" t="n"/>
      <c r="C589" s="30" t="n"/>
      <c r="D589" s="30" t="n"/>
      <c r="E589" s="33">
        <f>IF(B589="","",IFERROR(INDEX(Productos!$B$2:$B$501,MATCH(B589,Productos!$A$2:$A$501,0)),"¿Código?"))</f>
        <v/>
      </c>
      <c r="F589" s="32">
        <f>IF(C589&lt;&gt;"Venta","",D589*IFERROR(INDEX(Productos!$D$2:$D$501,MATCH(B589,Productos!$A$2:$A$501,0)),0))</f>
        <v/>
      </c>
      <c r="G589" s="32">
        <f>IF(C589&lt;&gt;"Venta","",D589*IFERROR(INDEX(Productos!$E$2:$E$501,MATCH(B589,Productos!$A$2:$A$501,0)),0))</f>
        <v/>
      </c>
      <c r="H589" s="33">
        <f>IF(A589="","",MONTH(A589))</f>
        <v/>
      </c>
      <c r="I589" s="33">
        <f>IF(A589="","",YEAR(A589))</f>
        <v/>
      </c>
    </row>
    <row r="590" ht="15" customHeight="1" s="21">
      <c r="A590" s="34" t="n"/>
      <c r="B590" s="30" t="n"/>
      <c r="C590" s="30" t="n"/>
      <c r="D590" s="30" t="n"/>
      <c r="E590" s="33">
        <f>IF(B590="","",IFERROR(INDEX(Productos!$B$2:$B$501,MATCH(B590,Productos!$A$2:$A$501,0)),"¿Código?"))</f>
        <v/>
      </c>
      <c r="F590" s="32">
        <f>IF(C590&lt;&gt;"Venta","",D590*IFERROR(INDEX(Productos!$D$2:$D$501,MATCH(B590,Productos!$A$2:$A$501,0)),0))</f>
        <v/>
      </c>
      <c r="G590" s="32">
        <f>IF(C590&lt;&gt;"Venta","",D590*IFERROR(INDEX(Productos!$E$2:$E$501,MATCH(B590,Productos!$A$2:$A$501,0)),0))</f>
        <v/>
      </c>
      <c r="H590" s="33">
        <f>IF(A590="","",MONTH(A590))</f>
        <v/>
      </c>
      <c r="I590" s="33">
        <f>IF(A590="","",YEAR(A590))</f>
        <v/>
      </c>
    </row>
    <row r="591" ht="15" customHeight="1" s="21">
      <c r="A591" s="34" t="n"/>
      <c r="B591" s="30" t="n"/>
      <c r="C591" s="30" t="n"/>
      <c r="D591" s="30" t="n"/>
      <c r="E591" s="33">
        <f>IF(B591="","",IFERROR(INDEX(Productos!$B$2:$B$501,MATCH(B591,Productos!$A$2:$A$501,0)),"¿Código?"))</f>
        <v/>
      </c>
      <c r="F591" s="32">
        <f>IF(C591&lt;&gt;"Venta","",D591*IFERROR(INDEX(Productos!$D$2:$D$501,MATCH(B591,Productos!$A$2:$A$501,0)),0))</f>
        <v/>
      </c>
      <c r="G591" s="32">
        <f>IF(C591&lt;&gt;"Venta","",D591*IFERROR(INDEX(Productos!$E$2:$E$501,MATCH(B591,Productos!$A$2:$A$501,0)),0))</f>
        <v/>
      </c>
      <c r="H591" s="33">
        <f>IF(A591="","",MONTH(A591))</f>
        <v/>
      </c>
      <c r="I591" s="33">
        <f>IF(A591="","",YEAR(A591))</f>
        <v/>
      </c>
    </row>
    <row r="592" ht="15" customHeight="1" s="21">
      <c r="A592" s="34" t="n"/>
      <c r="B592" s="30" t="n"/>
      <c r="C592" s="30" t="n"/>
      <c r="D592" s="30" t="n"/>
      <c r="E592" s="33">
        <f>IF(B592="","",IFERROR(INDEX(Productos!$B$2:$B$501,MATCH(B592,Productos!$A$2:$A$501,0)),"¿Código?"))</f>
        <v/>
      </c>
      <c r="F592" s="32">
        <f>IF(C592&lt;&gt;"Venta","",D592*IFERROR(INDEX(Productos!$D$2:$D$501,MATCH(B592,Productos!$A$2:$A$501,0)),0))</f>
        <v/>
      </c>
      <c r="G592" s="32">
        <f>IF(C592&lt;&gt;"Venta","",D592*IFERROR(INDEX(Productos!$E$2:$E$501,MATCH(B592,Productos!$A$2:$A$501,0)),0))</f>
        <v/>
      </c>
      <c r="H592" s="33">
        <f>IF(A592="","",MONTH(A592))</f>
        <v/>
      </c>
      <c r="I592" s="33">
        <f>IF(A592="","",YEAR(A592))</f>
        <v/>
      </c>
    </row>
    <row r="593" ht="15" customHeight="1" s="21">
      <c r="A593" s="34" t="n"/>
      <c r="B593" s="30" t="n"/>
      <c r="C593" s="30" t="n"/>
      <c r="D593" s="30" t="n"/>
      <c r="E593" s="33">
        <f>IF(B593="","",IFERROR(INDEX(Productos!$B$2:$B$501,MATCH(B593,Productos!$A$2:$A$501,0)),"¿Código?"))</f>
        <v/>
      </c>
      <c r="F593" s="32">
        <f>IF(C593&lt;&gt;"Venta","",D593*IFERROR(INDEX(Productos!$D$2:$D$501,MATCH(B593,Productos!$A$2:$A$501,0)),0))</f>
        <v/>
      </c>
      <c r="G593" s="32">
        <f>IF(C593&lt;&gt;"Venta","",D593*IFERROR(INDEX(Productos!$E$2:$E$501,MATCH(B593,Productos!$A$2:$A$501,0)),0))</f>
        <v/>
      </c>
      <c r="H593" s="33">
        <f>IF(A593="","",MONTH(A593))</f>
        <v/>
      </c>
      <c r="I593" s="33">
        <f>IF(A593="","",YEAR(A593))</f>
        <v/>
      </c>
    </row>
    <row r="594" ht="15" customHeight="1" s="21">
      <c r="A594" s="34" t="n"/>
      <c r="B594" s="30" t="n"/>
      <c r="C594" s="30" t="n"/>
      <c r="D594" s="30" t="n"/>
      <c r="E594" s="33">
        <f>IF(B594="","",IFERROR(INDEX(Productos!$B$2:$B$501,MATCH(B594,Productos!$A$2:$A$501,0)),"¿Código?"))</f>
        <v/>
      </c>
      <c r="F594" s="32">
        <f>IF(C594&lt;&gt;"Venta","",D594*IFERROR(INDEX(Productos!$D$2:$D$501,MATCH(B594,Productos!$A$2:$A$501,0)),0))</f>
        <v/>
      </c>
      <c r="G594" s="32">
        <f>IF(C594&lt;&gt;"Venta","",D594*IFERROR(INDEX(Productos!$E$2:$E$501,MATCH(B594,Productos!$A$2:$A$501,0)),0))</f>
        <v/>
      </c>
      <c r="H594" s="33">
        <f>IF(A594="","",MONTH(A594))</f>
        <v/>
      </c>
      <c r="I594" s="33">
        <f>IF(A594="","",YEAR(A594))</f>
        <v/>
      </c>
    </row>
    <row r="595" ht="15" customHeight="1" s="21">
      <c r="A595" s="34" t="n"/>
      <c r="B595" s="30" t="n"/>
      <c r="C595" s="30" t="n"/>
      <c r="D595" s="30" t="n"/>
      <c r="E595" s="33">
        <f>IF(B595="","",IFERROR(INDEX(Productos!$B$2:$B$501,MATCH(B595,Productos!$A$2:$A$501,0)),"¿Código?"))</f>
        <v/>
      </c>
      <c r="F595" s="32">
        <f>IF(C595&lt;&gt;"Venta","",D595*IFERROR(INDEX(Productos!$D$2:$D$501,MATCH(B595,Productos!$A$2:$A$501,0)),0))</f>
        <v/>
      </c>
      <c r="G595" s="32">
        <f>IF(C595&lt;&gt;"Venta","",D595*IFERROR(INDEX(Productos!$E$2:$E$501,MATCH(B595,Productos!$A$2:$A$501,0)),0))</f>
        <v/>
      </c>
      <c r="H595" s="33">
        <f>IF(A595="","",MONTH(A595))</f>
        <v/>
      </c>
      <c r="I595" s="33">
        <f>IF(A595="","",YEAR(A595))</f>
        <v/>
      </c>
    </row>
    <row r="596" ht="15" customHeight="1" s="21">
      <c r="A596" s="34" t="n"/>
      <c r="B596" s="30" t="n"/>
      <c r="C596" s="30" t="n"/>
      <c r="D596" s="30" t="n"/>
      <c r="E596" s="33">
        <f>IF(B596="","",IFERROR(INDEX(Productos!$B$2:$B$501,MATCH(B596,Productos!$A$2:$A$501,0)),"¿Código?"))</f>
        <v/>
      </c>
      <c r="F596" s="32">
        <f>IF(C596&lt;&gt;"Venta","",D596*IFERROR(INDEX(Productos!$D$2:$D$501,MATCH(B596,Productos!$A$2:$A$501,0)),0))</f>
        <v/>
      </c>
      <c r="G596" s="32">
        <f>IF(C596&lt;&gt;"Venta","",D596*IFERROR(INDEX(Productos!$E$2:$E$501,MATCH(B596,Productos!$A$2:$A$501,0)),0))</f>
        <v/>
      </c>
      <c r="H596" s="33">
        <f>IF(A596="","",MONTH(A596))</f>
        <v/>
      </c>
      <c r="I596" s="33">
        <f>IF(A596="","",YEAR(A596))</f>
        <v/>
      </c>
    </row>
    <row r="597" ht="15" customHeight="1" s="21">
      <c r="A597" s="34" t="n"/>
      <c r="B597" s="30" t="n"/>
      <c r="C597" s="30" t="n"/>
      <c r="D597" s="30" t="n"/>
      <c r="E597" s="33">
        <f>IF(B597="","",IFERROR(INDEX(Productos!$B$2:$B$501,MATCH(B597,Productos!$A$2:$A$501,0)),"¿Código?"))</f>
        <v/>
      </c>
      <c r="F597" s="32">
        <f>IF(C597&lt;&gt;"Venta","",D597*IFERROR(INDEX(Productos!$D$2:$D$501,MATCH(B597,Productos!$A$2:$A$501,0)),0))</f>
        <v/>
      </c>
      <c r="G597" s="32">
        <f>IF(C597&lt;&gt;"Venta","",D597*IFERROR(INDEX(Productos!$E$2:$E$501,MATCH(B597,Productos!$A$2:$A$501,0)),0))</f>
        <v/>
      </c>
      <c r="H597" s="33">
        <f>IF(A597="","",MONTH(A597))</f>
        <v/>
      </c>
      <c r="I597" s="33">
        <f>IF(A597="","",YEAR(A597))</f>
        <v/>
      </c>
    </row>
    <row r="598" ht="15" customHeight="1" s="21">
      <c r="A598" s="34" t="n"/>
      <c r="B598" s="30" t="n"/>
      <c r="C598" s="30" t="n"/>
      <c r="D598" s="30" t="n"/>
      <c r="E598" s="33">
        <f>IF(B598="","",IFERROR(INDEX(Productos!$B$2:$B$501,MATCH(B598,Productos!$A$2:$A$501,0)),"¿Código?"))</f>
        <v/>
      </c>
      <c r="F598" s="32">
        <f>IF(C598&lt;&gt;"Venta","",D598*IFERROR(INDEX(Productos!$D$2:$D$501,MATCH(B598,Productos!$A$2:$A$501,0)),0))</f>
        <v/>
      </c>
      <c r="G598" s="32">
        <f>IF(C598&lt;&gt;"Venta","",D598*IFERROR(INDEX(Productos!$E$2:$E$501,MATCH(B598,Productos!$A$2:$A$501,0)),0))</f>
        <v/>
      </c>
      <c r="H598" s="33">
        <f>IF(A598="","",MONTH(A598))</f>
        <v/>
      </c>
      <c r="I598" s="33">
        <f>IF(A598="","",YEAR(A598))</f>
        <v/>
      </c>
    </row>
    <row r="599" ht="15" customHeight="1" s="21">
      <c r="A599" s="34" t="n"/>
      <c r="B599" s="30" t="n"/>
      <c r="C599" s="30" t="n"/>
      <c r="D599" s="30" t="n"/>
      <c r="E599" s="33">
        <f>IF(B599="","",IFERROR(INDEX(Productos!$B$2:$B$501,MATCH(B599,Productos!$A$2:$A$501,0)),"¿Código?"))</f>
        <v/>
      </c>
      <c r="F599" s="32">
        <f>IF(C599&lt;&gt;"Venta","",D599*IFERROR(INDEX(Productos!$D$2:$D$501,MATCH(B599,Productos!$A$2:$A$501,0)),0))</f>
        <v/>
      </c>
      <c r="G599" s="32">
        <f>IF(C599&lt;&gt;"Venta","",D599*IFERROR(INDEX(Productos!$E$2:$E$501,MATCH(B599,Productos!$A$2:$A$501,0)),0))</f>
        <v/>
      </c>
      <c r="H599" s="33">
        <f>IF(A599="","",MONTH(A599))</f>
        <v/>
      </c>
      <c r="I599" s="33">
        <f>IF(A599="","",YEAR(A599))</f>
        <v/>
      </c>
    </row>
    <row r="600" ht="15" customHeight="1" s="21">
      <c r="A600" s="34" t="n"/>
      <c r="B600" s="30" t="n"/>
      <c r="C600" s="30" t="n"/>
      <c r="D600" s="30" t="n"/>
      <c r="E600" s="33">
        <f>IF(B600="","",IFERROR(INDEX(Productos!$B$2:$B$501,MATCH(B600,Productos!$A$2:$A$501,0)),"¿Código?"))</f>
        <v/>
      </c>
      <c r="F600" s="32">
        <f>IF(C600&lt;&gt;"Venta","",D600*IFERROR(INDEX(Productos!$D$2:$D$501,MATCH(B600,Productos!$A$2:$A$501,0)),0))</f>
        <v/>
      </c>
      <c r="G600" s="32">
        <f>IF(C600&lt;&gt;"Venta","",D600*IFERROR(INDEX(Productos!$E$2:$E$501,MATCH(B600,Productos!$A$2:$A$501,0)),0))</f>
        <v/>
      </c>
      <c r="H600" s="33">
        <f>IF(A600="","",MONTH(A600))</f>
        <v/>
      </c>
      <c r="I600" s="33">
        <f>IF(A600="","",YEAR(A600))</f>
        <v/>
      </c>
    </row>
    <row r="601" ht="15" customHeight="1" s="21">
      <c r="A601" s="34" t="n"/>
      <c r="B601" s="30" t="n"/>
      <c r="C601" s="30" t="n"/>
      <c r="D601" s="30" t="n"/>
      <c r="E601" s="33">
        <f>IF(B601="","",IFERROR(INDEX(Productos!$B$2:$B$501,MATCH(B601,Productos!$A$2:$A$501,0)),"¿Código?"))</f>
        <v/>
      </c>
      <c r="F601" s="32">
        <f>IF(C601&lt;&gt;"Venta","",D601*IFERROR(INDEX(Productos!$D$2:$D$501,MATCH(B601,Productos!$A$2:$A$501,0)),0))</f>
        <v/>
      </c>
      <c r="G601" s="32">
        <f>IF(C601&lt;&gt;"Venta","",D601*IFERROR(INDEX(Productos!$E$2:$E$501,MATCH(B601,Productos!$A$2:$A$501,0)),0))</f>
        <v/>
      </c>
      <c r="H601" s="33">
        <f>IF(A601="","",MONTH(A601))</f>
        <v/>
      </c>
      <c r="I601" s="33">
        <f>IF(A601="","",YEAR(A601))</f>
        <v/>
      </c>
    </row>
    <row r="602" ht="15" customHeight="1" s="21">
      <c r="A602" s="34" t="n"/>
      <c r="B602" s="30" t="n"/>
      <c r="C602" s="30" t="n"/>
      <c r="D602" s="30" t="n"/>
      <c r="E602" s="33">
        <f>IF(B602="","",IFERROR(INDEX(Productos!$B$2:$B$501,MATCH(B602,Productos!$A$2:$A$501,0)),"¿Código?"))</f>
        <v/>
      </c>
      <c r="F602" s="32">
        <f>IF(C602&lt;&gt;"Venta","",D602*IFERROR(INDEX(Productos!$D$2:$D$501,MATCH(B602,Productos!$A$2:$A$501,0)),0))</f>
        <v/>
      </c>
      <c r="G602" s="32">
        <f>IF(C602&lt;&gt;"Venta","",D602*IFERROR(INDEX(Productos!$E$2:$E$501,MATCH(B602,Productos!$A$2:$A$501,0)),0))</f>
        <v/>
      </c>
      <c r="H602" s="33">
        <f>IF(A602="","",MONTH(A602))</f>
        <v/>
      </c>
      <c r="I602" s="33">
        <f>IF(A602="","",YEAR(A602))</f>
        <v/>
      </c>
    </row>
    <row r="603" ht="15" customHeight="1" s="21">
      <c r="A603" s="34" t="n"/>
      <c r="B603" s="30" t="n"/>
      <c r="C603" s="30" t="n"/>
      <c r="D603" s="30" t="n"/>
      <c r="E603" s="33">
        <f>IF(B603="","",IFERROR(INDEX(Productos!$B$2:$B$501,MATCH(B603,Productos!$A$2:$A$501,0)),"¿Código?"))</f>
        <v/>
      </c>
      <c r="F603" s="32">
        <f>IF(C603&lt;&gt;"Venta","",D603*IFERROR(INDEX(Productos!$D$2:$D$501,MATCH(B603,Productos!$A$2:$A$501,0)),0))</f>
        <v/>
      </c>
      <c r="G603" s="32">
        <f>IF(C603&lt;&gt;"Venta","",D603*IFERROR(INDEX(Productos!$E$2:$E$501,MATCH(B603,Productos!$A$2:$A$501,0)),0))</f>
        <v/>
      </c>
      <c r="H603" s="33">
        <f>IF(A603="","",MONTH(A603))</f>
        <v/>
      </c>
      <c r="I603" s="33">
        <f>IF(A603="","",YEAR(A603))</f>
        <v/>
      </c>
    </row>
    <row r="604" ht="15" customHeight="1" s="21">
      <c r="A604" s="34" t="n"/>
      <c r="B604" s="30" t="n"/>
      <c r="C604" s="30" t="n"/>
      <c r="D604" s="30" t="n"/>
      <c r="E604" s="33">
        <f>IF(B604="","",IFERROR(INDEX(Productos!$B$2:$B$501,MATCH(B604,Productos!$A$2:$A$501,0)),"¿Código?"))</f>
        <v/>
      </c>
      <c r="F604" s="32">
        <f>IF(C604&lt;&gt;"Venta","",D604*IFERROR(INDEX(Productos!$D$2:$D$501,MATCH(B604,Productos!$A$2:$A$501,0)),0))</f>
        <v/>
      </c>
      <c r="G604" s="32">
        <f>IF(C604&lt;&gt;"Venta","",D604*IFERROR(INDEX(Productos!$E$2:$E$501,MATCH(B604,Productos!$A$2:$A$501,0)),0))</f>
        <v/>
      </c>
      <c r="H604" s="33">
        <f>IF(A604="","",MONTH(A604))</f>
        <v/>
      </c>
      <c r="I604" s="33">
        <f>IF(A604="","",YEAR(A604))</f>
        <v/>
      </c>
    </row>
    <row r="605" ht="15" customHeight="1" s="21">
      <c r="A605" s="34" t="n"/>
      <c r="B605" s="30" t="n"/>
      <c r="C605" s="30" t="n"/>
      <c r="D605" s="30" t="n"/>
      <c r="E605" s="33">
        <f>IF(B605="","",IFERROR(INDEX(Productos!$B$2:$B$501,MATCH(B605,Productos!$A$2:$A$501,0)),"¿Código?"))</f>
        <v/>
      </c>
      <c r="F605" s="32">
        <f>IF(C605&lt;&gt;"Venta","",D605*IFERROR(INDEX(Productos!$D$2:$D$501,MATCH(B605,Productos!$A$2:$A$501,0)),0))</f>
        <v/>
      </c>
      <c r="G605" s="32">
        <f>IF(C605&lt;&gt;"Venta","",D605*IFERROR(INDEX(Productos!$E$2:$E$501,MATCH(B605,Productos!$A$2:$A$501,0)),0))</f>
        <v/>
      </c>
      <c r="H605" s="33">
        <f>IF(A605="","",MONTH(A605))</f>
        <v/>
      </c>
      <c r="I605" s="33">
        <f>IF(A605="","",YEAR(A605))</f>
        <v/>
      </c>
    </row>
    <row r="606" ht="15" customHeight="1" s="21">
      <c r="A606" s="34" t="n"/>
      <c r="B606" s="30" t="n"/>
      <c r="C606" s="30" t="n"/>
      <c r="D606" s="30" t="n"/>
      <c r="E606" s="33">
        <f>IF(B606="","",IFERROR(INDEX(Productos!$B$2:$B$501,MATCH(B606,Productos!$A$2:$A$501,0)),"¿Código?"))</f>
        <v/>
      </c>
      <c r="F606" s="32">
        <f>IF(C606&lt;&gt;"Venta","",D606*IFERROR(INDEX(Productos!$D$2:$D$501,MATCH(B606,Productos!$A$2:$A$501,0)),0))</f>
        <v/>
      </c>
      <c r="G606" s="32">
        <f>IF(C606&lt;&gt;"Venta","",D606*IFERROR(INDEX(Productos!$E$2:$E$501,MATCH(B606,Productos!$A$2:$A$501,0)),0))</f>
        <v/>
      </c>
      <c r="H606" s="33">
        <f>IF(A606="","",MONTH(A606))</f>
        <v/>
      </c>
      <c r="I606" s="33">
        <f>IF(A606="","",YEAR(A606))</f>
        <v/>
      </c>
    </row>
    <row r="607" ht="15" customHeight="1" s="21">
      <c r="A607" s="34" t="n"/>
      <c r="B607" s="30" t="n"/>
      <c r="C607" s="30" t="n"/>
      <c r="D607" s="30" t="n"/>
      <c r="E607" s="33">
        <f>IF(B607="","",IFERROR(INDEX(Productos!$B$2:$B$501,MATCH(B607,Productos!$A$2:$A$501,0)),"¿Código?"))</f>
        <v/>
      </c>
      <c r="F607" s="32">
        <f>IF(C607&lt;&gt;"Venta","",D607*IFERROR(INDEX(Productos!$D$2:$D$501,MATCH(B607,Productos!$A$2:$A$501,0)),0))</f>
        <v/>
      </c>
      <c r="G607" s="32">
        <f>IF(C607&lt;&gt;"Venta","",D607*IFERROR(INDEX(Productos!$E$2:$E$501,MATCH(B607,Productos!$A$2:$A$501,0)),0))</f>
        <v/>
      </c>
      <c r="H607" s="33">
        <f>IF(A607="","",MONTH(A607))</f>
        <v/>
      </c>
      <c r="I607" s="33">
        <f>IF(A607="","",YEAR(A607))</f>
        <v/>
      </c>
    </row>
    <row r="608" ht="15" customHeight="1" s="21">
      <c r="A608" s="34" t="n"/>
      <c r="B608" s="30" t="n"/>
      <c r="C608" s="30" t="n"/>
      <c r="D608" s="30" t="n"/>
      <c r="E608" s="33">
        <f>IF(B608="","",IFERROR(INDEX(Productos!$B$2:$B$501,MATCH(B608,Productos!$A$2:$A$501,0)),"¿Código?"))</f>
        <v/>
      </c>
      <c r="F608" s="32">
        <f>IF(C608&lt;&gt;"Venta","",D608*IFERROR(INDEX(Productos!$D$2:$D$501,MATCH(B608,Productos!$A$2:$A$501,0)),0))</f>
        <v/>
      </c>
      <c r="G608" s="32">
        <f>IF(C608&lt;&gt;"Venta","",D608*IFERROR(INDEX(Productos!$E$2:$E$501,MATCH(B608,Productos!$A$2:$A$501,0)),0))</f>
        <v/>
      </c>
      <c r="H608" s="33">
        <f>IF(A608="","",MONTH(A608))</f>
        <v/>
      </c>
      <c r="I608" s="33">
        <f>IF(A608="","",YEAR(A608))</f>
        <v/>
      </c>
    </row>
    <row r="609" ht="15" customHeight="1" s="21">
      <c r="A609" s="34" t="n"/>
      <c r="B609" s="30" t="n"/>
      <c r="C609" s="30" t="n"/>
      <c r="D609" s="30" t="n"/>
      <c r="E609" s="33">
        <f>IF(B609="","",IFERROR(INDEX(Productos!$B$2:$B$501,MATCH(B609,Productos!$A$2:$A$501,0)),"¿Código?"))</f>
        <v/>
      </c>
      <c r="F609" s="32">
        <f>IF(C609&lt;&gt;"Venta","",D609*IFERROR(INDEX(Productos!$D$2:$D$501,MATCH(B609,Productos!$A$2:$A$501,0)),0))</f>
        <v/>
      </c>
      <c r="G609" s="32">
        <f>IF(C609&lt;&gt;"Venta","",D609*IFERROR(INDEX(Productos!$E$2:$E$501,MATCH(B609,Productos!$A$2:$A$501,0)),0))</f>
        <v/>
      </c>
      <c r="H609" s="33">
        <f>IF(A609="","",MONTH(A609))</f>
        <v/>
      </c>
      <c r="I609" s="33">
        <f>IF(A609="","",YEAR(A609))</f>
        <v/>
      </c>
    </row>
    <row r="610" ht="15" customHeight="1" s="21">
      <c r="A610" s="34" t="n"/>
      <c r="B610" s="30" t="n"/>
      <c r="C610" s="30" t="n"/>
      <c r="D610" s="30" t="n"/>
      <c r="E610" s="33">
        <f>IF(B610="","",IFERROR(INDEX(Productos!$B$2:$B$501,MATCH(B610,Productos!$A$2:$A$501,0)),"¿Código?"))</f>
        <v/>
      </c>
      <c r="F610" s="32">
        <f>IF(C610&lt;&gt;"Venta","",D610*IFERROR(INDEX(Productos!$D$2:$D$501,MATCH(B610,Productos!$A$2:$A$501,0)),0))</f>
        <v/>
      </c>
      <c r="G610" s="32">
        <f>IF(C610&lt;&gt;"Venta","",D610*IFERROR(INDEX(Productos!$E$2:$E$501,MATCH(B610,Productos!$A$2:$A$501,0)),0))</f>
        <v/>
      </c>
      <c r="H610" s="33">
        <f>IF(A610="","",MONTH(A610))</f>
        <v/>
      </c>
      <c r="I610" s="33">
        <f>IF(A610="","",YEAR(A610))</f>
        <v/>
      </c>
    </row>
    <row r="611" ht="15" customHeight="1" s="21">
      <c r="A611" s="34" t="n"/>
      <c r="B611" s="30" t="n"/>
      <c r="C611" s="30" t="n"/>
      <c r="D611" s="30" t="n"/>
      <c r="E611" s="33">
        <f>IF(B611="","",IFERROR(INDEX(Productos!$B$2:$B$501,MATCH(B611,Productos!$A$2:$A$501,0)),"¿Código?"))</f>
        <v/>
      </c>
      <c r="F611" s="32">
        <f>IF(C611&lt;&gt;"Venta","",D611*IFERROR(INDEX(Productos!$D$2:$D$501,MATCH(B611,Productos!$A$2:$A$501,0)),0))</f>
        <v/>
      </c>
      <c r="G611" s="32">
        <f>IF(C611&lt;&gt;"Venta","",D611*IFERROR(INDEX(Productos!$E$2:$E$501,MATCH(B611,Productos!$A$2:$A$501,0)),0))</f>
        <v/>
      </c>
      <c r="H611" s="33">
        <f>IF(A611="","",MONTH(A611))</f>
        <v/>
      </c>
      <c r="I611" s="33">
        <f>IF(A611="","",YEAR(A611))</f>
        <v/>
      </c>
    </row>
    <row r="612" ht="15" customHeight="1" s="21">
      <c r="A612" s="34" t="n"/>
      <c r="B612" s="30" t="n"/>
      <c r="C612" s="30" t="n"/>
      <c r="D612" s="30" t="n"/>
      <c r="E612" s="33">
        <f>IF(B612="","",IFERROR(INDEX(Productos!$B$2:$B$501,MATCH(B612,Productos!$A$2:$A$501,0)),"¿Código?"))</f>
        <v/>
      </c>
      <c r="F612" s="32">
        <f>IF(C612&lt;&gt;"Venta","",D612*IFERROR(INDEX(Productos!$D$2:$D$501,MATCH(B612,Productos!$A$2:$A$501,0)),0))</f>
        <v/>
      </c>
      <c r="G612" s="32">
        <f>IF(C612&lt;&gt;"Venta","",D612*IFERROR(INDEX(Productos!$E$2:$E$501,MATCH(B612,Productos!$A$2:$A$501,0)),0))</f>
        <v/>
      </c>
      <c r="H612" s="33">
        <f>IF(A612="","",MONTH(A612))</f>
        <v/>
      </c>
      <c r="I612" s="33">
        <f>IF(A612="","",YEAR(A612))</f>
        <v/>
      </c>
    </row>
    <row r="613" ht="15" customHeight="1" s="21">
      <c r="A613" s="34" t="n"/>
      <c r="B613" s="30" t="n"/>
      <c r="C613" s="30" t="n"/>
      <c r="D613" s="30" t="n"/>
      <c r="E613" s="33">
        <f>IF(B613="","",IFERROR(INDEX(Productos!$B$2:$B$501,MATCH(B613,Productos!$A$2:$A$501,0)),"¿Código?"))</f>
        <v/>
      </c>
      <c r="F613" s="32">
        <f>IF(C613&lt;&gt;"Venta","",D613*IFERROR(INDEX(Productos!$D$2:$D$501,MATCH(B613,Productos!$A$2:$A$501,0)),0))</f>
        <v/>
      </c>
      <c r="G613" s="32">
        <f>IF(C613&lt;&gt;"Venta","",D613*IFERROR(INDEX(Productos!$E$2:$E$501,MATCH(B613,Productos!$A$2:$A$501,0)),0))</f>
        <v/>
      </c>
      <c r="H613" s="33">
        <f>IF(A613="","",MONTH(A613))</f>
        <v/>
      </c>
      <c r="I613" s="33">
        <f>IF(A613="","",YEAR(A613))</f>
        <v/>
      </c>
    </row>
    <row r="614" ht="15" customHeight="1" s="21">
      <c r="A614" s="34" t="n"/>
      <c r="B614" s="30" t="n"/>
      <c r="C614" s="30" t="n"/>
      <c r="D614" s="30" t="n"/>
      <c r="E614" s="33">
        <f>IF(B614="","",IFERROR(INDEX(Productos!$B$2:$B$501,MATCH(B614,Productos!$A$2:$A$501,0)),"¿Código?"))</f>
        <v/>
      </c>
      <c r="F614" s="32">
        <f>IF(C614&lt;&gt;"Venta","",D614*IFERROR(INDEX(Productos!$D$2:$D$501,MATCH(B614,Productos!$A$2:$A$501,0)),0))</f>
        <v/>
      </c>
      <c r="G614" s="32">
        <f>IF(C614&lt;&gt;"Venta","",D614*IFERROR(INDEX(Productos!$E$2:$E$501,MATCH(B614,Productos!$A$2:$A$501,0)),0))</f>
        <v/>
      </c>
      <c r="H614" s="33">
        <f>IF(A614="","",MONTH(A614))</f>
        <v/>
      </c>
      <c r="I614" s="33">
        <f>IF(A614="","",YEAR(A614))</f>
        <v/>
      </c>
    </row>
    <row r="615" ht="15" customHeight="1" s="21">
      <c r="A615" s="34" t="n"/>
      <c r="B615" s="30" t="n"/>
      <c r="C615" s="30" t="n"/>
      <c r="D615" s="30" t="n"/>
      <c r="E615" s="33">
        <f>IF(B615="","",IFERROR(INDEX(Productos!$B$2:$B$501,MATCH(B615,Productos!$A$2:$A$501,0)),"¿Código?"))</f>
        <v/>
      </c>
      <c r="F615" s="32">
        <f>IF(C615&lt;&gt;"Venta","",D615*IFERROR(INDEX(Productos!$D$2:$D$501,MATCH(B615,Productos!$A$2:$A$501,0)),0))</f>
        <v/>
      </c>
      <c r="G615" s="32">
        <f>IF(C615&lt;&gt;"Venta","",D615*IFERROR(INDEX(Productos!$E$2:$E$501,MATCH(B615,Productos!$A$2:$A$501,0)),0))</f>
        <v/>
      </c>
      <c r="H615" s="33">
        <f>IF(A615="","",MONTH(A615))</f>
        <v/>
      </c>
      <c r="I615" s="33">
        <f>IF(A615="","",YEAR(A615))</f>
        <v/>
      </c>
    </row>
    <row r="616" ht="15" customHeight="1" s="21">
      <c r="A616" s="34" t="n"/>
      <c r="B616" s="30" t="n"/>
      <c r="C616" s="30" t="n"/>
      <c r="D616" s="30" t="n"/>
      <c r="E616" s="33">
        <f>IF(B616="","",IFERROR(INDEX(Productos!$B$2:$B$501,MATCH(B616,Productos!$A$2:$A$501,0)),"¿Código?"))</f>
        <v/>
      </c>
      <c r="F616" s="32">
        <f>IF(C616&lt;&gt;"Venta","",D616*IFERROR(INDEX(Productos!$D$2:$D$501,MATCH(B616,Productos!$A$2:$A$501,0)),0))</f>
        <v/>
      </c>
      <c r="G616" s="32">
        <f>IF(C616&lt;&gt;"Venta","",D616*IFERROR(INDEX(Productos!$E$2:$E$501,MATCH(B616,Productos!$A$2:$A$501,0)),0))</f>
        <v/>
      </c>
      <c r="H616" s="33">
        <f>IF(A616="","",MONTH(A616))</f>
        <v/>
      </c>
      <c r="I616" s="33">
        <f>IF(A616="","",YEAR(A616))</f>
        <v/>
      </c>
    </row>
    <row r="617" ht="15" customHeight="1" s="21">
      <c r="A617" s="34" t="n"/>
      <c r="B617" s="30" t="n"/>
      <c r="C617" s="30" t="n"/>
      <c r="D617" s="30" t="n"/>
      <c r="E617" s="33">
        <f>IF(B617="","",IFERROR(INDEX(Productos!$B$2:$B$501,MATCH(B617,Productos!$A$2:$A$501,0)),"¿Código?"))</f>
        <v/>
      </c>
      <c r="F617" s="32">
        <f>IF(C617&lt;&gt;"Venta","",D617*IFERROR(INDEX(Productos!$D$2:$D$501,MATCH(B617,Productos!$A$2:$A$501,0)),0))</f>
        <v/>
      </c>
      <c r="G617" s="32">
        <f>IF(C617&lt;&gt;"Venta","",D617*IFERROR(INDEX(Productos!$E$2:$E$501,MATCH(B617,Productos!$A$2:$A$501,0)),0))</f>
        <v/>
      </c>
      <c r="H617" s="33">
        <f>IF(A617="","",MONTH(A617))</f>
        <v/>
      </c>
      <c r="I617" s="33">
        <f>IF(A617="","",YEAR(A617))</f>
        <v/>
      </c>
    </row>
    <row r="618" ht="15" customHeight="1" s="21">
      <c r="A618" s="34" t="n"/>
      <c r="B618" s="30" t="n"/>
      <c r="C618" s="30" t="n"/>
      <c r="D618" s="30" t="n"/>
      <c r="E618" s="33">
        <f>IF(B618="","",IFERROR(INDEX(Productos!$B$2:$B$501,MATCH(B618,Productos!$A$2:$A$501,0)),"¿Código?"))</f>
        <v/>
      </c>
      <c r="F618" s="32">
        <f>IF(C618&lt;&gt;"Venta","",D618*IFERROR(INDEX(Productos!$D$2:$D$501,MATCH(B618,Productos!$A$2:$A$501,0)),0))</f>
        <v/>
      </c>
      <c r="G618" s="32">
        <f>IF(C618&lt;&gt;"Venta","",D618*IFERROR(INDEX(Productos!$E$2:$E$501,MATCH(B618,Productos!$A$2:$A$501,0)),0))</f>
        <v/>
      </c>
      <c r="H618" s="33">
        <f>IF(A618="","",MONTH(A618))</f>
        <v/>
      </c>
      <c r="I618" s="33">
        <f>IF(A618="","",YEAR(A618))</f>
        <v/>
      </c>
    </row>
    <row r="619" ht="15" customHeight="1" s="21">
      <c r="A619" s="34" t="n"/>
      <c r="B619" s="30" t="n"/>
      <c r="C619" s="30" t="n"/>
      <c r="D619" s="30" t="n"/>
      <c r="E619" s="33">
        <f>IF(B619="","",IFERROR(INDEX(Productos!$B$2:$B$501,MATCH(B619,Productos!$A$2:$A$501,0)),"¿Código?"))</f>
        <v/>
      </c>
      <c r="F619" s="32">
        <f>IF(C619&lt;&gt;"Venta","",D619*IFERROR(INDEX(Productos!$D$2:$D$501,MATCH(B619,Productos!$A$2:$A$501,0)),0))</f>
        <v/>
      </c>
      <c r="G619" s="32">
        <f>IF(C619&lt;&gt;"Venta","",D619*IFERROR(INDEX(Productos!$E$2:$E$501,MATCH(B619,Productos!$A$2:$A$501,0)),0))</f>
        <v/>
      </c>
      <c r="H619" s="33">
        <f>IF(A619="","",MONTH(A619))</f>
        <v/>
      </c>
      <c r="I619" s="33">
        <f>IF(A619="","",YEAR(A619))</f>
        <v/>
      </c>
    </row>
    <row r="620" ht="15" customHeight="1" s="21">
      <c r="A620" s="34" t="n"/>
      <c r="B620" s="30" t="n"/>
      <c r="C620" s="30" t="n"/>
      <c r="D620" s="30" t="n"/>
      <c r="E620" s="33">
        <f>IF(B620="","",IFERROR(INDEX(Productos!$B$2:$B$501,MATCH(B620,Productos!$A$2:$A$501,0)),"¿Código?"))</f>
        <v/>
      </c>
      <c r="F620" s="32">
        <f>IF(C620&lt;&gt;"Venta","",D620*IFERROR(INDEX(Productos!$D$2:$D$501,MATCH(B620,Productos!$A$2:$A$501,0)),0))</f>
        <v/>
      </c>
      <c r="G620" s="32">
        <f>IF(C620&lt;&gt;"Venta","",D620*IFERROR(INDEX(Productos!$E$2:$E$501,MATCH(B620,Productos!$A$2:$A$501,0)),0))</f>
        <v/>
      </c>
      <c r="H620" s="33">
        <f>IF(A620="","",MONTH(A620))</f>
        <v/>
      </c>
      <c r="I620" s="33">
        <f>IF(A620="","",YEAR(A620))</f>
        <v/>
      </c>
    </row>
    <row r="621" ht="15" customHeight="1" s="21">
      <c r="A621" s="34" t="n"/>
      <c r="B621" s="30" t="n"/>
      <c r="C621" s="30" t="n"/>
      <c r="D621" s="30" t="n"/>
      <c r="E621" s="33">
        <f>IF(B621="","",IFERROR(INDEX(Productos!$B$2:$B$501,MATCH(B621,Productos!$A$2:$A$501,0)),"¿Código?"))</f>
        <v/>
      </c>
      <c r="F621" s="32">
        <f>IF(C621&lt;&gt;"Venta","",D621*IFERROR(INDEX(Productos!$D$2:$D$501,MATCH(B621,Productos!$A$2:$A$501,0)),0))</f>
        <v/>
      </c>
      <c r="G621" s="32">
        <f>IF(C621&lt;&gt;"Venta","",D621*IFERROR(INDEX(Productos!$E$2:$E$501,MATCH(B621,Productos!$A$2:$A$501,0)),0))</f>
        <v/>
      </c>
      <c r="H621" s="33">
        <f>IF(A621="","",MONTH(A621))</f>
        <v/>
      </c>
      <c r="I621" s="33">
        <f>IF(A621="","",YEAR(A621))</f>
        <v/>
      </c>
    </row>
    <row r="622" ht="15" customHeight="1" s="21">
      <c r="A622" s="34" t="n"/>
      <c r="B622" s="30" t="n"/>
      <c r="C622" s="30" t="n"/>
      <c r="D622" s="30" t="n"/>
      <c r="E622" s="33">
        <f>IF(B622="","",IFERROR(INDEX(Productos!$B$2:$B$501,MATCH(B622,Productos!$A$2:$A$501,0)),"¿Código?"))</f>
        <v/>
      </c>
      <c r="F622" s="32">
        <f>IF(C622&lt;&gt;"Venta","",D622*IFERROR(INDEX(Productos!$D$2:$D$501,MATCH(B622,Productos!$A$2:$A$501,0)),0))</f>
        <v/>
      </c>
      <c r="G622" s="32">
        <f>IF(C622&lt;&gt;"Venta","",D622*IFERROR(INDEX(Productos!$E$2:$E$501,MATCH(B622,Productos!$A$2:$A$501,0)),0))</f>
        <v/>
      </c>
      <c r="H622" s="33">
        <f>IF(A622="","",MONTH(A622))</f>
        <v/>
      </c>
      <c r="I622" s="33">
        <f>IF(A622="","",YEAR(A622))</f>
        <v/>
      </c>
    </row>
    <row r="623" ht="15" customHeight="1" s="21">
      <c r="A623" s="34" t="n"/>
      <c r="B623" s="30" t="n"/>
      <c r="C623" s="30" t="n"/>
      <c r="D623" s="30" t="n"/>
      <c r="E623" s="33">
        <f>IF(B623="","",IFERROR(INDEX(Productos!$B$2:$B$501,MATCH(B623,Productos!$A$2:$A$501,0)),"¿Código?"))</f>
        <v/>
      </c>
      <c r="F623" s="32">
        <f>IF(C623&lt;&gt;"Venta","",D623*IFERROR(INDEX(Productos!$D$2:$D$501,MATCH(B623,Productos!$A$2:$A$501,0)),0))</f>
        <v/>
      </c>
      <c r="G623" s="32">
        <f>IF(C623&lt;&gt;"Venta","",D623*IFERROR(INDEX(Productos!$E$2:$E$501,MATCH(B623,Productos!$A$2:$A$501,0)),0))</f>
        <v/>
      </c>
      <c r="H623" s="33">
        <f>IF(A623="","",MONTH(A623))</f>
        <v/>
      </c>
      <c r="I623" s="33">
        <f>IF(A623="","",YEAR(A623))</f>
        <v/>
      </c>
    </row>
    <row r="624" ht="15" customHeight="1" s="21">
      <c r="A624" s="34" t="n"/>
      <c r="B624" s="30" t="n"/>
      <c r="C624" s="30" t="n"/>
      <c r="D624" s="30" t="n"/>
      <c r="E624" s="33">
        <f>IF(B624="","",IFERROR(INDEX(Productos!$B$2:$B$501,MATCH(B624,Productos!$A$2:$A$501,0)),"¿Código?"))</f>
        <v/>
      </c>
      <c r="F624" s="32">
        <f>IF(C624&lt;&gt;"Venta","",D624*IFERROR(INDEX(Productos!$D$2:$D$501,MATCH(B624,Productos!$A$2:$A$501,0)),0))</f>
        <v/>
      </c>
      <c r="G624" s="32">
        <f>IF(C624&lt;&gt;"Venta","",D624*IFERROR(INDEX(Productos!$E$2:$E$501,MATCH(B624,Productos!$A$2:$A$501,0)),0))</f>
        <v/>
      </c>
      <c r="H624" s="33">
        <f>IF(A624="","",MONTH(A624))</f>
        <v/>
      </c>
      <c r="I624" s="33">
        <f>IF(A624="","",YEAR(A624))</f>
        <v/>
      </c>
    </row>
    <row r="625" ht="15" customHeight="1" s="21">
      <c r="A625" s="34" t="n"/>
      <c r="B625" s="30" t="n"/>
      <c r="C625" s="30" t="n"/>
      <c r="D625" s="30" t="n"/>
      <c r="E625" s="33">
        <f>IF(B625="","",IFERROR(INDEX(Productos!$B$2:$B$501,MATCH(B625,Productos!$A$2:$A$501,0)),"¿Código?"))</f>
        <v/>
      </c>
      <c r="F625" s="32">
        <f>IF(C625&lt;&gt;"Venta","",D625*IFERROR(INDEX(Productos!$D$2:$D$501,MATCH(B625,Productos!$A$2:$A$501,0)),0))</f>
        <v/>
      </c>
      <c r="G625" s="32">
        <f>IF(C625&lt;&gt;"Venta","",D625*IFERROR(INDEX(Productos!$E$2:$E$501,MATCH(B625,Productos!$A$2:$A$501,0)),0))</f>
        <v/>
      </c>
      <c r="H625" s="33">
        <f>IF(A625="","",MONTH(A625))</f>
        <v/>
      </c>
      <c r="I625" s="33">
        <f>IF(A625="","",YEAR(A625))</f>
        <v/>
      </c>
    </row>
    <row r="626" ht="15" customHeight="1" s="21">
      <c r="A626" s="34" t="n"/>
      <c r="B626" s="30" t="n"/>
      <c r="C626" s="30" t="n"/>
      <c r="D626" s="30" t="n"/>
      <c r="E626" s="33">
        <f>IF(B626="","",IFERROR(INDEX(Productos!$B$2:$B$501,MATCH(B626,Productos!$A$2:$A$501,0)),"¿Código?"))</f>
        <v/>
      </c>
      <c r="F626" s="32">
        <f>IF(C626&lt;&gt;"Venta","",D626*IFERROR(INDEX(Productos!$D$2:$D$501,MATCH(B626,Productos!$A$2:$A$501,0)),0))</f>
        <v/>
      </c>
      <c r="G626" s="32">
        <f>IF(C626&lt;&gt;"Venta","",D626*IFERROR(INDEX(Productos!$E$2:$E$501,MATCH(B626,Productos!$A$2:$A$501,0)),0))</f>
        <v/>
      </c>
      <c r="H626" s="33">
        <f>IF(A626="","",MONTH(A626))</f>
        <v/>
      </c>
      <c r="I626" s="33">
        <f>IF(A626="","",YEAR(A626))</f>
        <v/>
      </c>
    </row>
    <row r="627" ht="15" customHeight="1" s="21">
      <c r="A627" s="34" t="n"/>
      <c r="B627" s="30" t="n"/>
      <c r="C627" s="30" t="n"/>
      <c r="D627" s="30" t="n"/>
      <c r="E627" s="33">
        <f>IF(B627="","",IFERROR(INDEX(Productos!$B$2:$B$501,MATCH(B627,Productos!$A$2:$A$501,0)),"¿Código?"))</f>
        <v/>
      </c>
      <c r="F627" s="32">
        <f>IF(C627&lt;&gt;"Venta","",D627*IFERROR(INDEX(Productos!$D$2:$D$501,MATCH(B627,Productos!$A$2:$A$501,0)),0))</f>
        <v/>
      </c>
      <c r="G627" s="32">
        <f>IF(C627&lt;&gt;"Venta","",D627*IFERROR(INDEX(Productos!$E$2:$E$501,MATCH(B627,Productos!$A$2:$A$501,0)),0))</f>
        <v/>
      </c>
      <c r="H627" s="33">
        <f>IF(A627="","",MONTH(A627))</f>
        <v/>
      </c>
      <c r="I627" s="33">
        <f>IF(A627="","",YEAR(A627))</f>
        <v/>
      </c>
    </row>
    <row r="628" ht="15" customHeight="1" s="21">
      <c r="A628" s="34" t="n"/>
      <c r="B628" s="30" t="n"/>
      <c r="C628" s="30" t="n"/>
      <c r="D628" s="30" t="n"/>
      <c r="E628" s="33">
        <f>IF(B628="","",IFERROR(INDEX(Productos!$B$2:$B$501,MATCH(B628,Productos!$A$2:$A$501,0)),"¿Código?"))</f>
        <v/>
      </c>
      <c r="F628" s="32">
        <f>IF(C628&lt;&gt;"Venta","",D628*IFERROR(INDEX(Productos!$D$2:$D$501,MATCH(B628,Productos!$A$2:$A$501,0)),0))</f>
        <v/>
      </c>
      <c r="G628" s="32">
        <f>IF(C628&lt;&gt;"Venta","",D628*IFERROR(INDEX(Productos!$E$2:$E$501,MATCH(B628,Productos!$A$2:$A$501,0)),0))</f>
        <v/>
      </c>
      <c r="H628" s="33">
        <f>IF(A628="","",MONTH(A628))</f>
        <v/>
      </c>
      <c r="I628" s="33">
        <f>IF(A628="","",YEAR(A628))</f>
        <v/>
      </c>
    </row>
    <row r="629" ht="15" customHeight="1" s="21">
      <c r="A629" s="34" t="n"/>
      <c r="B629" s="30" t="n"/>
      <c r="C629" s="30" t="n"/>
      <c r="D629" s="30" t="n"/>
      <c r="E629" s="33">
        <f>IF(B629="","",IFERROR(INDEX(Productos!$B$2:$B$501,MATCH(B629,Productos!$A$2:$A$501,0)),"¿Código?"))</f>
        <v/>
      </c>
      <c r="F629" s="32">
        <f>IF(C629&lt;&gt;"Venta","",D629*IFERROR(INDEX(Productos!$D$2:$D$501,MATCH(B629,Productos!$A$2:$A$501,0)),0))</f>
        <v/>
      </c>
      <c r="G629" s="32">
        <f>IF(C629&lt;&gt;"Venta","",D629*IFERROR(INDEX(Productos!$E$2:$E$501,MATCH(B629,Productos!$A$2:$A$501,0)),0))</f>
        <v/>
      </c>
      <c r="H629" s="33">
        <f>IF(A629="","",MONTH(A629))</f>
        <v/>
      </c>
      <c r="I629" s="33">
        <f>IF(A629="","",YEAR(A629))</f>
        <v/>
      </c>
    </row>
    <row r="630" ht="15" customHeight="1" s="21">
      <c r="A630" s="34" t="n"/>
      <c r="B630" s="30" t="n"/>
      <c r="C630" s="30" t="n"/>
      <c r="D630" s="30" t="n"/>
      <c r="E630" s="33">
        <f>IF(B630="","",IFERROR(INDEX(Productos!$B$2:$B$501,MATCH(B630,Productos!$A$2:$A$501,0)),"¿Código?"))</f>
        <v/>
      </c>
      <c r="F630" s="32">
        <f>IF(C630&lt;&gt;"Venta","",D630*IFERROR(INDEX(Productos!$D$2:$D$501,MATCH(B630,Productos!$A$2:$A$501,0)),0))</f>
        <v/>
      </c>
      <c r="G630" s="32">
        <f>IF(C630&lt;&gt;"Venta","",D630*IFERROR(INDEX(Productos!$E$2:$E$501,MATCH(B630,Productos!$A$2:$A$501,0)),0))</f>
        <v/>
      </c>
      <c r="H630" s="33">
        <f>IF(A630="","",MONTH(A630))</f>
        <v/>
      </c>
      <c r="I630" s="33">
        <f>IF(A630="","",YEAR(A630))</f>
        <v/>
      </c>
    </row>
    <row r="631" ht="15" customHeight="1" s="21">
      <c r="A631" s="34" t="n"/>
      <c r="B631" s="30" t="n"/>
      <c r="C631" s="30" t="n"/>
      <c r="D631" s="30" t="n"/>
      <c r="E631" s="33">
        <f>IF(B631="","",IFERROR(INDEX(Productos!$B$2:$B$501,MATCH(B631,Productos!$A$2:$A$501,0)),"¿Código?"))</f>
        <v/>
      </c>
      <c r="F631" s="32">
        <f>IF(C631&lt;&gt;"Venta","",D631*IFERROR(INDEX(Productos!$D$2:$D$501,MATCH(B631,Productos!$A$2:$A$501,0)),0))</f>
        <v/>
      </c>
      <c r="G631" s="32">
        <f>IF(C631&lt;&gt;"Venta","",D631*IFERROR(INDEX(Productos!$E$2:$E$501,MATCH(B631,Productos!$A$2:$A$501,0)),0))</f>
        <v/>
      </c>
      <c r="H631" s="33">
        <f>IF(A631="","",MONTH(A631))</f>
        <v/>
      </c>
      <c r="I631" s="33">
        <f>IF(A631="","",YEAR(A631))</f>
        <v/>
      </c>
    </row>
    <row r="632" ht="15" customHeight="1" s="21">
      <c r="A632" s="34" t="n"/>
      <c r="B632" s="30" t="n"/>
      <c r="C632" s="30" t="n"/>
      <c r="D632" s="30" t="n"/>
      <c r="E632" s="33">
        <f>IF(B632="","",IFERROR(INDEX(Productos!$B$2:$B$501,MATCH(B632,Productos!$A$2:$A$501,0)),"¿Código?"))</f>
        <v/>
      </c>
      <c r="F632" s="32">
        <f>IF(C632&lt;&gt;"Venta","",D632*IFERROR(INDEX(Productos!$D$2:$D$501,MATCH(B632,Productos!$A$2:$A$501,0)),0))</f>
        <v/>
      </c>
      <c r="G632" s="32">
        <f>IF(C632&lt;&gt;"Venta","",D632*IFERROR(INDEX(Productos!$E$2:$E$501,MATCH(B632,Productos!$A$2:$A$501,0)),0))</f>
        <v/>
      </c>
      <c r="H632" s="33">
        <f>IF(A632="","",MONTH(A632))</f>
        <v/>
      </c>
      <c r="I632" s="33">
        <f>IF(A632="","",YEAR(A632))</f>
        <v/>
      </c>
    </row>
    <row r="633" ht="15" customHeight="1" s="21">
      <c r="A633" s="34" t="n"/>
      <c r="B633" s="30" t="n"/>
      <c r="C633" s="30" t="n"/>
      <c r="D633" s="30" t="n"/>
      <c r="E633" s="33">
        <f>IF(B633="","",IFERROR(INDEX(Productos!$B$2:$B$501,MATCH(B633,Productos!$A$2:$A$501,0)),"¿Código?"))</f>
        <v/>
      </c>
      <c r="F633" s="32">
        <f>IF(C633&lt;&gt;"Venta","",D633*IFERROR(INDEX(Productos!$D$2:$D$501,MATCH(B633,Productos!$A$2:$A$501,0)),0))</f>
        <v/>
      </c>
      <c r="G633" s="32">
        <f>IF(C633&lt;&gt;"Venta","",D633*IFERROR(INDEX(Productos!$E$2:$E$501,MATCH(B633,Productos!$A$2:$A$501,0)),0))</f>
        <v/>
      </c>
      <c r="H633" s="33">
        <f>IF(A633="","",MONTH(A633))</f>
        <v/>
      </c>
      <c r="I633" s="33">
        <f>IF(A633="","",YEAR(A633))</f>
        <v/>
      </c>
    </row>
    <row r="634" ht="15" customHeight="1" s="21">
      <c r="A634" s="34" t="n"/>
      <c r="B634" s="30" t="n"/>
      <c r="C634" s="30" t="n"/>
      <c r="D634" s="30" t="n"/>
      <c r="E634" s="33">
        <f>IF(B634="","",IFERROR(INDEX(Productos!$B$2:$B$501,MATCH(B634,Productos!$A$2:$A$501,0)),"¿Código?"))</f>
        <v/>
      </c>
      <c r="F634" s="32">
        <f>IF(C634&lt;&gt;"Venta","",D634*IFERROR(INDEX(Productos!$D$2:$D$501,MATCH(B634,Productos!$A$2:$A$501,0)),0))</f>
        <v/>
      </c>
      <c r="G634" s="32">
        <f>IF(C634&lt;&gt;"Venta","",D634*IFERROR(INDEX(Productos!$E$2:$E$501,MATCH(B634,Productos!$A$2:$A$501,0)),0))</f>
        <v/>
      </c>
      <c r="H634" s="33">
        <f>IF(A634="","",MONTH(A634))</f>
        <v/>
      </c>
      <c r="I634" s="33">
        <f>IF(A634="","",YEAR(A634))</f>
        <v/>
      </c>
    </row>
    <row r="635" ht="15" customHeight="1" s="21">
      <c r="A635" s="34" t="n"/>
      <c r="B635" s="30" t="n"/>
      <c r="C635" s="30" t="n"/>
      <c r="D635" s="30" t="n"/>
      <c r="E635" s="33">
        <f>IF(B635="","",IFERROR(INDEX(Productos!$B$2:$B$501,MATCH(B635,Productos!$A$2:$A$501,0)),"¿Código?"))</f>
        <v/>
      </c>
      <c r="F635" s="32">
        <f>IF(C635&lt;&gt;"Venta","",D635*IFERROR(INDEX(Productos!$D$2:$D$501,MATCH(B635,Productos!$A$2:$A$501,0)),0))</f>
        <v/>
      </c>
      <c r="G635" s="32">
        <f>IF(C635&lt;&gt;"Venta","",D635*IFERROR(INDEX(Productos!$E$2:$E$501,MATCH(B635,Productos!$A$2:$A$501,0)),0))</f>
        <v/>
      </c>
      <c r="H635" s="33">
        <f>IF(A635="","",MONTH(A635))</f>
        <v/>
      </c>
      <c r="I635" s="33">
        <f>IF(A635="","",YEAR(A635))</f>
        <v/>
      </c>
    </row>
    <row r="636" ht="15" customHeight="1" s="21">
      <c r="A636" s="34" t="n"/>
      <c r="B636" s="30" t="n"/>
      <c r="C636" s="30" t="n"/>
      <c r="D636" s="30" t="n"/>
      <c r="E636" s="33">
        <f>IF(B636="","",IFERROR(INDEX(Productos!$B$2:$B$501,MATCH(B636,Productos!$A$2:$A$501,0)),"¿Código?"))</f>
        <v/>
      </c>
      <c r="F636" s="32">
        <f>IF(C636&lt;&gt;"Venta","",D636*IFERROR(INDEX(Productos!$D$2:$D$501,MATCH(B636,Productos!$A$2:$A$501,0)),0))</f>
        <v/>
      </c>
      <c r="G636" s="32">
        <f>IF(C636&lt;&gt;"Venta","",D636*IFERROR(INDEX(Productos!$E$2:$E$501,MATCH(B636,Productos!$A$2:$A$501,0)),0))</f>
        <v/>
      </c>
      <c r="H636" s="33">
        <f>IF(A636="","",MONTH(A636))</f>
        <v/>
      </c>
      <c r="I636" s="33">
        <f>IF(A636="","",YEAR(A636))</f>
        <v/>
      </c>
    </row>
    <row r="637" ht="15" customHeight="1" s="21">
      <c r="A637" s="34" t="n"/>
      <c r="B637" s="30" t="n"/>
      <c r="C637" s="30" t="n"/>
      <c r="D637" s="30" t="n"/>
      <c r="E637" s="33">
        <f>IF(B637="","",IFERROR(INDEX(Productos!$B$2:$B$501,MATCH(B637,Productos!$A$2:$A$501,0)),"¿Código?"))</f>
        <v/>
      </c>
      <c r="F637" s="32">
        <f>IF(C637&lt;&gt;"Venta","",D637*IFERROR(INDEX(Productos!$D$2:$D$501,MATCH(B637,Productos!$A$2:$A$501,0)),0))</f>
        <v/>
      </c>
      <c r="G637" s="32">
        <f>IF(C637&lt;&gt;"Venta","",D637*IFERROR(INDEX(Productos!$E$2:$E$501,MATCH(B637,Productos!$A$2:$A$501,0)),0))</f>
        <v/>
      </c>
      <c r="H637" s="33">
        <f>IF(A637="","",MONTH(A637))</f>
        <v/>
      </c>
      <c r="I637" s="33">
        <f>IF(A637="","",YEAR(A637))</f>
        <v/>
      </c>
    </row>
    <row r="638" ht="15" customHeight="1" s="21">
      <c r="A638" s="34" t="n"/>
      <c r="B638" s="30" t="n"/>
      <c r="C638" s="30" t="n"/>
      <c r="D638" s="30" t="n"/>
      <c r="E638" s="33">
        <f>IF(B638="","",IFERROR(INDEX(Productos!$B$2:$B$501,MATCH(B638,Productos!$A$2:$A$501,0)),"¿Código?"))</f>
        <v/>
      </c>
      <c r="F638" s="32">
        <f>IF(C638&lt;&gt;"Venta","",D638*IFERROR(INDEX(Productos!$D$2:$D$501,MATCH(B638,Productos!$A$2:$A$501,0)),0))</f>
        <v/>
      </c>
      <c r="G638" s="32">
        <f>IF(C638&lt;&gt;"Venta","",D638*IFERROR(INDEX(Productos!$E$2:$E$501,MATCH(B638,Productos!$A$2:$A$501,0)),0))</f>
        <v/>
      </c>
      <c r="H638" s="33">
        <f>IF(A638="","",MONTH(A638))</f>
        <v/>
      </c>
      <c r="I638" s="33">
        <f>IF(A638="","",YEAR(A638))</f>
        <v/>
      </c>
    </row>
    <row r="639" ht="15" customHeight="1" s="21">
      <c r="A639" s="34" t="n"/>
      <c r="B639" s="30" t="n"/>
      <c r="C639" s="30" t="n"/>
      <c r="D639" s="30" t="n"/>
      <c r="E639" s="33">
        <f>IF(B639="","",IFERROR(INDEX(Productos!$B$2:$B$501,MATCH(B639,Productos!$A$2:$A$501,0)),"¿Código?"))</f>
        <v/>
      </c>
      <c r="F639" s="32">
        <f>IF(C639&lt;&gt;"Venta","",D639*IFERROR(INDEX(Productos!$D$2:$D$501,MATCH(B639,Productos!$A$2:$A$501,0)),0))</f>
        <v/>
      </c>
      <c r="G639" s="32">
        <f>IF(C639&lt;&gt;"Venta","",D639*IFERROR(INDEX(Productos!$E$2:$E$501,MATCH(B639,Productos!$A$2:$A$501,0)),0))</f>
        <v/>
      </c>
      <c r="H639" s="33">
        <f>IF(A639="","",MONTH(A639))</f>
        <v/>
      </c>
      <c r="I639" s="33">
        <f>IF(A639="","",YEAR(A639))</f>
        <v/>
      </c>
    </row>
    <row r="640" ht="15" customHeight="1" s="21">
      <c r="A640" s="34" t="n"/>
      <c r="B640" s="30" t="n"/>
      <c r="C640" s="30" t="n"/>
      <c r="D640" s="30" t="n"/>
      <c r="E640" s="33">
        <f>IF(B640="","",IFERROR(INDEX(Productos!$B$2:$B$501,MATCH(B640,Productos!$A$2:$A$501,0)),"¿Código?"))</f>
        <v/>
      </c>
      <c r="F640" s="32">
        <f>IF(C640&lt;&gt;"Venta","",D640*IFERROR(INDEX(Productos!$D$2:$D$501,MATCH(B640,Productos!$A$2:$A$501,0)),0))</f>
        <v/>
      </c>
      <c r="G640" s="32">
        <f>IF(C640&lt;&gt;"Venta","",D640*IFERROR(INDEX(Productos!$E$2:$E$501,MATCH(B640,Productos!$A$2:$A$501,0)),0))</f>
        <v/>
      </c>
      <c r="H640" s="33">
        <f>IF(A640="","",MONTH(A640))</f>
        <v/>
      </c>
      <c r="I640" s="33">
        <f>IF(A640="","",YEAR(A640))</f>
        <v/>
      </c>
    </row>
    <row r="641" ht="15" customHeight="1" s="21">
      <c r="A641" s="34" t="n"/>
      <c r="B641" s="30" t="n"/>
      <c r="C641" s="30" t="n"/>
      <c r="D641" s="30" t="n"/>
      <c r="E641" s="33">
        <f>IF(B641="","",IFERROR(INDEX(Productos!$B$2:$B$501,MATCH(B641,Productos!$A$2:$A$501,0)),"¿Código?"))</f>
        <v/>
      </c>
      <c r="F641" s="32">
        <f>IF(C641&lt;&gt;"Venta","",D641*IFERROR(INDEX(Productos!$D$2:$D$501,MATCH(B641,Productos!$A$2:$A$501,0)),0))</f>
        <v/>
      </c>
      <c r="G641" s="32">
        <f>IF(C641&lt;&gt;"Venta","",D641*IFERROR(INDEX(Productos!$E$2:$E$501,MATCH(B641,Productos!$A$2:$A$501,0)),0))</f>
        <v/>
      </c>
      <c r="H641" s="33">
        <f>IF(A641="","",MONTH(A641))</f>
        <v/>
      </c>
      <c r="I641" s="33">
        <f>IF(A641="","",YEAR(A641))</f>
        <v/>
      </c>
    </row>
    <row r="642" ht="15" customHeight="1" s="21">
      <c r="A642" s="34" t="n"/>
      <c r="B642" s="30" t="n"/>
      <c r="C642" s="30" t="n"/>
      <c r="D642" s="30" t="n"/>
      <c r="E642" s="33">
        <f>IF(B642="","",IFERROR(INDEX(Productos!$B$2:$B$501,MATCH(B642,Productos!$A$2:$A$501,0)),"¿Código?"))</f>
        <v/>
      </c>
      <c r="F642" s="32">
        <f>IF(C642&lt;&gt;"Venta","",D642*IFERROR(INDEX(Productos!$D$2:$D$501,MATCH(B642,Productos!$A$2:$A$501,0)),0))</f>
        <v/>
      </c>
      <c r="G642" s="32">
        <f>IF(C642&lt;&gt;"Venta","",D642*IFERROR(INDEX(Productos!$E$2:$E$501,MATCH(B642,Productos!$A$2:$A$501,0)),0))</f>
        <v/>
      </c>
      <c r="H642" s="33">
        <f>IF(A642="","",MONTH(A642))</f>
        <v/>
      </c>
      <c r="I642" s="33">
        <f>IF(A642="","",YEAR(A642))</f>
        <v/>
      </c>
    </row>
    <row r="643" ht="15" customHeight="1" s="21">
      <c r="A643" s="34" t="n"/>
      <c r="B643" s="30" t="n"/>
      <c r="C643" s="30" t="n"/>
      <c r="D643" s="30" t="n"/>
      <c r="E643" s="33">
        <f>IF(B643="","",IFERROR(INDEX(Productos!$B$2:$B$501,MATCH(B643,Productos!$A$2:$A$501,0)),"¿Código?"))</f>
        <v/>
      </c>
      <c r="F643" s="32">
        <f>IF(C643&lt;&gt;"Venta","",D643*IFERROR(INDEX(Productos!$D$2:$D$501,MATCH(B643,Productos!$A$2:$A$501,0)),0))</f>
        <v/>
      </c>
      <c r="G643" s="32">
        <f>IF(C643&lt;&gt;"Venta","",D643*IFERROR(INDEX(Productos!$E$2:$E$501,MATCH(B643,Productos!$A$2:$A$501,0)),0))</f>
        <v/>
      </c>
      <c r="H643" s="33">
        <f>IF(A643="","",MONTH(A643))</f>
        <v/>
      </c>
      <c r="I643" s="33">
        <f>IF(A643="","",YEAR(A643))</f>
        <v/>
      </c>
    </row>
    <row r="644" ht="15" customHeight="1" s="21">
      <c r="A644" s="34" t="n"/>
      <c r="B644" s="30" t="n"/>
      <c r="C644" s="30" t="n"/>
      <c r="D644" s="30" t="n"/>
      <c r="E644" s="33">
        <f>IF(B644="","",IFERROR(INDEX(Productos!$B$2:$B$501,MATCH(B644,Productos!$A$2:$A$501,0)),"¿Código?"))</f>
        <v/>
      </c>
      <c r="F644" s="32">
        <f>IF(C644&lt;&gt;"Venta","",D644*IFERROR(INDEX(Productos!$D$2:$D$501,MATCH(B644,Productos!$A$2:$A$501,0)),0))</f>
        <v/>
      </c>
      <c r="G644" s="32">
        <f>IF(C644&lt;&gt;"Venta","",D644*IFERROR(INDEX(Productos!$E$2:$E$501,MATCH(B644,Productos!$A$2:$A$501,0)),0))</f>
        <v/>
      </c>
      <c r="H644" s="33">
        <f>IF(A644="","",MONTH(A644))</f>
        <v/>
      </c>
      <c r="I644" s="33">
        <f>IF(A644="","",YEAR(A644))</f>
        <v/>
      </c>
    </row>
    <row r="645" ht="15" customHeight="1" s="21">
      <c r="A645" s="34" t="n"/>
      <c r="B645" s="30" t="n"/>
      <c r="C645" s="30" t="n"/>
      <c r="D645" s="30" t="n"/>
      <c r="E645" s="33">
        <f>IF(B645="","",IFERROR(INDEX(Productos!$B$2:$B$501,MATCH(B645,Productos!$A$2:$A$501,0)),"¿Código?"))</f>
        <v/>
      </c>
      <c r="F645" s="32">
        <f>IF(C645&lt;&gt;"Venta","",D645*IFERROR(INDEX(Productos!$D$2:$D$501,MATCH(B645,Productos!$A$2:$A$501,0)),0))</f>
        <v/>
      </c>
      <c r="G645" s="32">
        <f>IF(C645&lt;&gt;"Venta","",D645*IFERROR(INDEX(Productos!$E$2:$E$501,MATCH(B645,Productos!$A$2:$A$501,0)),0))</f>
        <v/>
      </c>
      <c r="H645" s="33">
        <f>IF(A645="","",MONTH(A645))</f>
        <v/>
      </c>
      <c r="I645" s="33">
        <f>IF(A645="","",YEAR(A645))</f>
        <v/>
      </c>
    </row>
    <row r="646" ht="15" customHeight="1" s="21">
      <c r="A646" s="34" t="n"/>
      <c r="B646" s="30" t="n"/>
      <c r="C646" s="30" t="n"/>
      <c r="D646" s="30" t="n"/>
      <c r="E646" s="33">
        <f>IF(B646="","",IFERROR(INDEX(Productos!$B$2:$B$501,MATCH(B646,Productos!$A$2:$A$501,0)),"¿Código?"))</f>
        <v/>
      </c>
      <c r="F646" s="32">
        <f>IF(C646&lt;&gt;"Venta","",D646*IFERROR(INDEX(Productos!$D$2:$D$501,MATCH(B646,Productos!$A$2:$A$501,0)),0))</f>
        <v/>
      </c>
      <c r="G646" s="32">
        <f>IF(C646&lt;&gt;"Venta","",D646*IFERROR(INDEX(Productos!$E$2:$E$501,MATCH(B646,Productos!$A$2:$A$501,0)),0))</f>
        <v/>
      </c>
      <c r="H646" s="33">
        <f>IF(A646="","",MONTH(A646))</f>
        <v/>
      </c>
      <c r="I646" s="33">
        <f>IF(A646="","",YEAR(A646))</f>
        <v/>
      </c>
    </row>
    <row r="647" ht="15" customHeight="1" s="21">
      <c r="A647" s="34" t="n"/>
      <c r="B647" s="30" t="n"/>
      <c r="C647" s="30" t="n"/>
      <c r="D647" s="30" t="n"/>
      <c r="E647" s="33">
        <f>IF(B647="","",IFERROR(INDEX(Productos!$B$2:$B$501,MATCH(B647,Productos!$A$2:$A$501,0)),"¿Código?"))</f>
        <v/>
      </c>
      <c r="F647" s="32">
        <f>IF(C647&lt;&gt;"Venta","",D647*IFERROR(INDEX(Productos!$D$2:$D$501,MATCH(B647,Productos!$A$2:$A$501,0)),0))</f>
        <v/>
      </c>
      <c r="G647" s="32">
        <f>IF(C647&lt;&gt;"Venta","",D647*IFERROR(INDEX(Productos!$E$2:$E$501,MATCH(B647,Productos!$A$2:$A$501,0)),0))</f>
        <v/>
      </c>
      <c r="H647" s="33">
        <f>IF(A647="","",MONTH(A647))</f>
        <v/>
      </c>
      <c r="I647" s="33">
        <f>IF(A647="","",YEAR(A647))</f>
        <v/>
      </c>
    </row>
    <row r="648" ht="15" customHeight="1" s="21">
      <c r="A648" s="34" t="n"/>
      <c r="B648" s="30" t="n"/>
      <c r="C648" s="30" t="n"/>
      <c r="D648" s="30" t="n"/>
      <c r="E648" s="33">
        <f>IF(B648="","",IFERROR(INDEX(Productos!$B$2:$B$501,MATCH(B648,Productos!$A$2:$A$501,0)),"¿Código?"))</f>
        <v/>
      </c>
      <c r="F648" s="32">
        <f>IF(C648&lt;&gt;"Venta","",D648*IFERROR(INDEX(Productos!$D$2:$D$501,MATCH(B648,Productos!$A$2:$A$501,0)),0))</f>
        <v/>
      </c>
      <c r="G648" s="32">
        <f>IF(C648&lt;&gt;"Venta","",D648*IFERROR(INDEX(Productos!$E$2:$E$501,MATCH(B648,Productos!$A$2:$A$501,0)),0))</f>
        <v/>
      </c>
      <c r="H648" s="33">
        <f>IF(A648="","",MONTH(A648))</f>
        <v/>
      </c>
      <c r="I648" s="33">
        <f>IF(A648="","",YEAR(A648))</f>
        <v/>
      </c>
    </row>
    <row r="649" ht="15" customHeight="1" s="21">
      <c r="A649" s="34" t="n"/>
      <c r="B649" s="30" t="n"/>
      <c r="C649" s="30" t="n"/>
      <c r="D649" s="30" t="n"/>
      <c r="E649" s="33">
        <f>IF(B649="","",IFERROR(INDEX(Productos!$B$2:$B$501,MATCH(B649,Productos!$A$2:$A$501,0)),"¿Código?"))</f>
        <v/>
      </c>
      <c r="F649" s="32">
        <f>IF(C649&lt;&gt;"Venta","",D649*IFERROR(INDEX(Productos!$D$2:$D$501,MATCH(B649,Productos!$A$2:$A$501,0)),0))</f>
        <v/>
      </c>
      <c r="G649" s="32">
        <f>IF(C649&lt;&gt;"Venta","",D649*IFERROR(INDEX(Productos!$E$2:$E$501,MATCH(B649,Productos!$A$2:$A$501,0)),0))</f>
        <v/>
      </c>
      <c r="H649" s="33">
        <f>IF(A649="","",MONTH(A649))</f>
        <v/>
      </c>
      <c r="I649" s="33">
        <f>IF(A649="","",YEAR(A649))</f>
        <v/>
      </c>
    </row>
    <row r="650" ht="15" customHeight="1" s="21">
      <c r="A650" s="34" t="n"/>
      <c r="B650" s="30" t="n"/>
      <c r="C650" s="30" t="n"/>
      <c r="D650" s="30" t="n"/>
      <c r="E650" s="33">
        <f>IF(B650="","",IFERROR(INDEX(Productos!$B$2:$B$501,MATCH(B650,Productos!$A$2:$A$501,0)),"¿Código?"))</f>
        <v/>
      </c>
      <c r="F650" s="32">
        <f>IF(C650&lt;&gt;"Venta","",D650*IFERROR(INDEX(Productos!$D$2:$D$501,MATCH(B650,Productos!$A$2:$A$501,0)),0))</f>
        <v/>
      </c>
      <c r="G650" s="32">
        <f>IF(C650&lt;&gt;"Venta","",D650*IFERROR(INDEX(Productos!$E$2:$E$501,MATCH(B650,Productos!$A$2:$A$501,0)),0))</f>
        <v/>
      </c>
      <c r="H650" s="33">
        <f>IF(A650="","",MONTH(A650))</f>
        <v/>
      </c>
      <c r="I650" s="33">
        <f>IF(A650="","",YEAR(A650))</f>
        <v/>
      </c>
    </row>
    <row r="651" ht="15" customHeight="1" s="21">
      <c r="A651" s="34" t="n"/>
      <c r="B651" s="30" t="n"/>
      <c r="C651" s="30" t="n"/>
      <c r="D651" s="30" t="n"/>
      <c r="E651" s="33">
        <f>IF(B651="","",IFERROR(INDEX(Productos!$B$2:$B$501,MATCH(B651,Productos!$A$2:$A$501,0)),"¿Código?"))</f>
        <v/>
      </c>
      <c r="F651" s="32">
        <f>IF(C651&lt;&gt;"Venta","",D651*IFERROR(INDEX(Productos!$D$2:$D$501,MATCH(B651,Productos!$A$2:$A$501,0)),0))</f>
        <v/>
      </c>
      <c r="G651" s="32">
        <f>IF(C651&lt;&gt;"Venta","",D651*IFERROR(INDEX(Productos!$E$2:$E$501,MATCH(B651,Productos!$A$2:$A$501,0)),0))</f>
        <v/>
      </c>
      <c r="H651" s="33">
        <f>IF(A651="","",MONTH(A651))</f>
        <v/>
      </c>
      <c r="I651" s="33">
        <f>IF(A651="","",YEAR(A651))</f>
        <v/>
      </c>
    </row>
    <row r="652" ht="15" customHeight="1" s="21">
      <c r="A652" s="34" t="n"/>
      <c r="B652" s="30" t="n"/>
      <c r="C652" s="30" t="n"/>
      <c r="D652" s="30" t="n"/>
      <c r="E652" s="33">
        <f>IF(B652="","",IFERROR(INDEX(Productos!$B$2:$B$501,MATCH(B652,Productos!$A$2:$A$501,0)),"¿Código?"))</f>
        <v/>
      </c>
      <c r="F652" s="32">
        <f>IF(C652&lt;&gt;"Venta","",D652*IFERROR(INDEX(Productos!$D$2:$D$501,MATCH(B652,Productos!$A$2:$A$501,0)),0))</f>
        <v/>
      </c>
      <c r="G652" s="32">
        <f>IF(C652&lt;&gt;"Venta","",D652*IFERROR(INDEX(Productos!$E$2:$E$501,MATCH(B652,Productos!$A$2:$A$501,0)),0))</f>
        <v/>
      </c>
      <c r="H652" s="33">
        <f>IF(A652="","",MONTH(A652))</f>
        <v/>
      </c>
      <c r="I652" s="33">
        <f>IF(A652="","",YEAR(A652))</f>
        <v/>
      </c>
    </row>
    <row r="653" ht="15" customHeight="1" s="21">
      <c r="A653" s="34" t="n"/>
      <c r="B653" s="30" t="n"/>
      <c r="C653" s="30" t="n"/>
      <c r="D653" s="30" t="n"/>
      <c r="E653" s="33">
        <f>IF(B653="","",IFERROR(INDEX(Productos!$B$2:$B$501,MATCH(B653,Productos!$A$2:$A$501,0)),"¿Código?"))</f>
        <v/>
      </c>
      <c r="F653" s="32">
        <f>IF(C653&lt;&gt;"Venta","",D653*IFERROR(INDEX(Productos!$D$2:$D$501,MATCH(B653,Productos!$A$2:$A$501,0)),0))</f>
        <v/>
      </c>
      <c r="G653" s="32">
        <f>IF(C653&lt;&gt;"Venta","",D653*IFERROR(INDEX(Productos!$E$2:$E$501,MATCH(B653,Productos!$A$2:$A$501,0)),0))</f>
        <v/>
      </c>
      <c r="H653" s="33">
        <f>IF(A653="","",MONTH(A653))</f>
        <v/>
      </c>
      <c r="I653" s="33">
        <f>IF(A653="","",YEAR(A653))</f>
        <v/>
      </c>
    </row>
    <row r="654" ht="15" customHeight="1" s="21">
      <c r="A654" s="34" t="n"/>
      <c r="B654" s="30" t="n"/>
      <c r="C654" s="30" t="n"/>
      <c r="D654" s="30" t="n"/>
      <c r="E654" s="33">
        <f>IF(B654="","",IFERROR(INDEX(Productos!$B$2:$B$501,MATCH(B654,Productos!$A$2:$A$501,0)),"¿Código?"))</f>
        <v/>
      </c>
      <c r="F654" s="32">
        <f>IF(C654&lt;&gt;"Venta","",D654*IFERROR(INDEX(Productos!$D$2:$D$501,MATCH(B654,Productos!$A$2:$A$501,0)),0))</f>
        <v/>
      </c>
      <c r="G654" s="32">
        <f>IF(C654&lt;&gt;"Venta","",D654*IFERROR(INDEX(Productos!$E$2:$E$501,MATCH(B654,Productos!$A$2:$A$501,0)),0))</f>
        <v/>
      </c>
      <c r="H654" s="33">
        <f>IF(A654="","",MONTH(A654))</f>
        <v/>
      </c>
      <c r="I654" s="33">
        <f>IF(A654="","",YEAR(A654))</f>
        <v/>
      </c>
    </row>
    <row r="655" ht="15" customHeight="1" s="21">
      <c r="A655" s="34" t="n"/>
      <c r="B655" s="30" t="n"/>
      <c r="C655" s="30" t="n"/>
      <c r="D655" s="30" t="n"/>
      <c r="E655" s="33">
        <f>IF(B655="","",IFERROR(INDEX(Productos!$B$2:$B$501,MATCH(B655,Productos!$A$2:$A$501,0)),"¿Código?"))</f>
        <v/>
      </c>
      <c r="F655" s="32">
        <f>IF(C655&lt;&gt;"Venta","",D655*IFERROR(INDEX(Productos!$D$2:$D$501,MATCH(B655,Productos!$A$2:$A$501,0)),0))</f>
        <v/>
      </c>
      <c r="G655" s="32">
        <f>IF(C655&lt;&gt;"Venta","",D655*IFERROR(INDEX(Productos!$E$2:$E$501,MATCH(B655,Productos!$A$2:$A$501,0)),0))</f>
        <v/>
      </c>
      <c r="H655" s="33">
        <f>IF(A655="","",MONTH(A655))</f>
        <v/>
      </c>
      <c r="I655" s="33">
        <f>IF(A655="","",YEAR(A655))</f>
        <v/>
      </c>
    </row>
    <row r="656" ht="15" customHeight="1" s="21">
      <c r="A656" s="34" t="n"/>
      <c r="B656" s="30" t="n"/>
      <c r="C656" s="30" t="n"/>
      <c r="D656" s="30" t="n"/>
      <c r="E656" s="33">
        <f>IF(B656="","",IFERROR(INDEX(Productos!$B$2:$B$501,MATCH(B656,Productos!$A$2:$A$501,0)),"¿Código?"))</f>
        <v/>
      </c>
      <c r="F656" s="32">
        <f>IF(C656&lt;&gt;"Venta","",D656*IFERROR(INDEX(Productos!$D$2:$D$501,MATCH(B656,Productos!$A$2:$A$501,0)),0))</f>
        <v/>
      </c>
      <c r="G656" s="32">
        <f>IF(C656&lt;&gt;"Venta","",D656*IFERROR(INDEX(Productos!$E$2:$E$501,MATCH(B656,Productos!$A$2:$A$501,0)),0))</f>
        <v/>
      </c>
      <c r="H656" s="33">
        <f>IF(A656="","",MONTH(A656))</f>
        <v/>
      </c>
      <c r="I656" s="33">
        <f>IF(A656="","",YEAR(A656))</f>
        <v/>
      </c>
    </row>
    <row r="657" ht="15" customHeight="1" s="21">
      <c r="A657" s="34" t="n"/>
      <c r="B657" s="30" t="n"/>
      <c r="C657" s="30" t="n"/>
      <c r="D657" s="30" t="n"/>
      <c r="E657" s="33">
        <f>IF(B657="","",IFERROR(INDEX(Productos!$B$2:$B$501,MATCH(B657,Productos!$A$2:$A$501,0)),"¿Código?"))</f>
        <v/>
      </c>
      <c r="F657" s="32">
        <f>IF(C657&lt;&gt;"Venta","",D657*IFERROR(INDEX(Productos!$D$2:$D$501,MATCH(B657,Productos!$A$2:$A$501,0)),0))</f>
        <v/>
      </c>
      <c r="G657" s="32">
        <f>IF(C657&lt;&gt;"Venta","",D657*IFERROR(INDEX(Productos!$E$2:$E$501,MATCH(B657,Productos!$A$2:$A$501,0)),0))</f>
        <v/>
      </c>
      <c r="H657" s="33">
        <f>IF(A657="","",MONTH(A657))</f>
        <v/>
      </c>
      <c r="I657" s="33">
        <f>IF(A657="","",YEAR(A657))</f>
        <v/>
      </c>
    </row>
    <row r="658" ht="15" customHeight="1" s="21">
      <c r="A658" s="34" t="n"/>
      <c r="B658" s="30" t="n"/>
      <c r="C658" s="30" t="n"/>
      <c r="D658" s="30" t="n"/>
      <c r="E658" s="33">
        <f>IF(B658="","",IFERROR(INDEX(Productos!$B$2:$B$501,MATCH(B658,Productos!$A$2:$A$501,0)),"¿Código?"))</f>
        <v/>
      </c>
      <c r="F658" s="32">
        <f>IF(C658&lt;&gt;"Venta","",D658*IFERROR(INDEX(Productos!$D$2:$D$501,MATCH(B658,Productos!$A$2:$A$501,0)),0))</f>
        <v/>
      </c>
      <c r="G658" s="32">
        <f>IF(C658&lt;&gt;"Venta","",D658*IFERROR(INDEX(Productos!$E$2:$E$501,MATCH(B658,Productos!$A$2:$A$501,0)),0))</f>
        <v/>
      </c>
      <c r="H658" s="33">
        <f>IF(A658="","",MONTH(A658))</f>
        <v/>
      </c>
      <c r="I658" s="33">
        <f>IF(A658="","",YEAR(A658))</f>
        <v/>
      </c>
    </row>
    <row r="659" ht="15" customHeight="1" s="21">
      <c r="A659" s="34" t="n"/>
      <c r="B659" s="30" t="n"/>
      <c r="C659" s="30" t="n"/>
      <c r="D659" s="30" t="n"/>
      <c r="E659" s="33">
        <f>IF(B659="","",IFERROR(INDEX(Productos!$B$2:$B$501,MATCH(B659,Productos!$A$2:$A$501,0)),"¿Código?"))</f>
        <v/>
      </c>
      <c r="F659" s="32">
        <f>IF(C659&lt;&gt;"Venta","",D659*IFERROR(INDEX(Productos!$D$2:$D$501,MATCH(B659,Productos!$A$2:$A$501,0)),0))</f>
        <v/>
      </c>
      <c r="G659" s="32">
        <f>IF(C659&lt;&gt;"Venta","",D659*IFERROR(INDEX(Productos!$E$2:$E$501,MATCH(B659,Productos!$A$2:$A$501,0)),0))</f>
        <v/>
      </c>
      <c r="H659" s="33">
        <f>IF(A659="","",MONTH(A659))</f>
        <v/>
      </c>
      <c r="I659" s="33">
        <f>IF(A659="","",YEAR(A659))</f>
        <v/>
      </c>
    </row>
    <row r="660" ht="15" customHeight="1" s="21">
      <c r="A660" s="34" t="n"/>
      <c r="B660" s="30" t="n"/>
      <c r="C660" s="30" t="n"/>
      <c r="D660" s="30" t="n"/>
      <c r="E660" s="33">
        <f>IF(B660="","",IFERROR(INDEX(Productos!$B$2:$B$501,MATCH(B660,Productos!$A$2:$A$501,0)),"¿Código?"))</f>
        <v/>
      </c>
      <c r="F660" s="32">
        <f>IF(C660&lt;&gt;"Venta","",D660*IFERROR(INDEX(Productos!$D$2:$D$501,MATCH(B660,Productos!$A$2:$A$501,0)),0))</f>
        <v/>
      </c>
      <c r="G660" s="32">
        <f>IF(C660&lt;&gt;"Venta","",D660*IFERROR(INDEX(Productos!$E$2:$E$501,MATCH(B660,Productos!$A$2:$A$501,0)),0))</f>
        <v/>
      </c>
      <c r="H660" s="33">
        <f>IF(A660="","",MONTH(A660))</f>
        <v/>
      </c>
      <c r="I660" s="33">
        <f>IF(A660="","",YEAR(A660))</f>
        <v/>
      </c>
    </row>
    <row r="661" ht="15" customHeight="1" s="21">
      <c r="A661" s="34" t="n"/>
      <c r="B661" s="30" t="n"/>
      <c r="C661" s="30" t="n"/>
      <c r="D661" s="30" t="n"/>
      <c r="E661" s="33">
        <f>IF(B661="","",IFERROR(INDEX(Productos!$B$2:$B$501,MATCH(B661,Productos!$A$2:$A$501,0)),"¿Código?"))</f>
        <v/>
      </c>
      <c r="F661" s="32">
        <f>IF(C661&lt;&gt;"Venta","",D661*IFERROR(INDEX(Productos!$D$2:$D$501,MATCH(B661,Productos!$A$2:$A$501,0)),0))</f>
        <v/>
      </c>
      <c r="G661" s="32">
        <f>IF(C661&lt;&gt;"Venta","",D661*IFERROR(INDEX(Productos!$E$2:$E$501,MATCH(B661,Productos!$A$2:$A$501,0)),0))</f>
        <v/>
      </c>
      <c r="H661" s="33">
        <f>IF(A661="","",MONTH(A661))</f>
        <v/>
      </c>
      <c r="I661" s="33">
        <f>IF(A661="","",YEAR(A661))</f>
        <v/>
      </c>
    </row>
    <row r="662" ht="15" customHeight="1" s="21">
      <c r="A662" s="34" t="n"/>
      <c r="B662" s="30" t="n"/>
      <c r="C662" s="30" t="n"/>
      <c r="D662" s="30" t="n"/>
      <c r="E662" s="33">
        <f>IF(B662="","",IFERROR(INDEX(Productos!$B$2:$B$501,MATCH(B662,Productos!$A$2:$A$501,0)),"¿Código?"))</f>
        <v/>
      </c>
      <c r="F662" s="32">
        <f>IF(C662&lt;&gt;"Venta","",D662*IFERROR(INDEX(Productos!$D$2:$D$501,MATCH(B662,Productos!$A$2:$A$501,0)),0))</f>
        <v/>
      </c>
      <c r="G662" s="32">
        <f>IF(C662&lt;&gt;"Venta","",D662*IFERROR(INDEX(Productos!$E$2:$E$501,MATCH(B662,Productos!$A$2:$A$501,0)),0))</f>
        <v/>
      </c>
      <c r="H662" s="33">
        <f>IF(A662="","",MONTH(A662))</f>
        <v/>
      </c>
      <c r="I662" s="33">
        <f>IF(A662="","",YEAR(A662))</f>
        <v/>
      </c>
    </row>
    <row r="663" ht="15" customHeight="1" s="21">
      <c r="A663" s="34" t="n"/>
      <c r="B663" s="30" t="n"/>
      <c r="C663" s="30" t="n"/>
      <c r="D663" s="30" t="n"/>
      <c r="E663" s="33">
        <f>IF(B663="","",IFERROR(INDEX(Productos!$B$2:$B$501,MATCH(B663,Productos!$A$2:$A$501,0)),"¿Código?"))</f>
        <v/>
      </c>
      <c r="F663" s="32">
        <f>IF(C663&lt;&gt;"Venta","",D663*IFERROR(INDEX(Productos!$D$2:$D$501,MATCH(B663,Productos!$A$2:$A$501,0)),0))</f>
        <v/>
      </c>
      <c r="G663" s="32">
        <f>IF(C663&lt;&gt;"Venta","",D663*IFERROR(INDEX(Productos!$E$2:$E$501,MATCH(B663,Productos!$A$2:$A$501,0)),0))</f>
        <v/>
      </c>
      <c r="H663" s="33">
        <f>IF(A663="","",MONTH(A663))</f>
        <v/>
      </c>
      <c r="I663" s="33">
        <f>IF(A663="","",YEAR(A663))</f>
        <v/>
      </c>
    </row>
    <row r="664" ht="15" customHeight="1" s="21">
      <c r="A664" s="34" t="n"/>
      <c r="B664" s="30" t="n"/>
      <c r="C664" s="30" t="n"/>
      <c r="D664" s="30" t="n"/>
      <c r="E664" s="33">
        <f>IF(B664="","",IFERROR(INDEX(Productos!$B$2:$B$501,MATCH(B664,Productos!$A$2:$A$501,0)),"¿Código?"))</f>
        <v/>
      </c>
      <c r="F664" s="32">
        <f>IF(C664&lt;&gt;"Venta","",D664*IFERROR(INDEX(Productos!$D$2:$D$501,MATCH(B664,Productos!$A$2:$A$501,0)),0))</f>
        <v/>
      </c>
      <c r="G664" s="32">
        <f>IF(C664&lt;&gt;"Venta","",D664*IFERROR(INDEX(Productos!$E$2:$E$501,MATCH(B664,Productos!$A$2:$A$501,0)),0))</f>
        <v/>
      </c>
      <c r="H664" s="33">
        <f>IF(A664="","",MONTH(A664))</f>
        <v/>
      </c>
      <c r="I664" s="33">
        <f>IF(A664="","",YEAR(A664))</f>
        <v/>
      </c>
    </row>
    <row r="665" ht="15" customHeight="1" s="21">
      <c r="A665" s="34" t="n"/>
      <c r="B665" s="30" t="n"/>
      <c r="C665" s="30" t="n"/>
      <c r="D665" s="30" t="n"/>
      <c r="E665" s="33">
        <f>IF(B665="","",IFERROR(INDEX(Productos!$B$2:$B$501,MATCH(B665,Productos!$A$2:$A$501,0)),"¿Código?"))</f>
        <v/>
      </c>
      <c r="F665" s="32">
        <f>IF(C665&lt;&gt;"Venta","",D665*IFERROR(INDEX(Productos!$D$2:$D$501,MATCH(B665,Productos!$A$2:$A$501,0)),0))</f>
        <v/>
      </c>
      <c r="G665" s="32">
        <f>IF(C665&lt;&gt;"Venta","",D665*IFERROR(INDEX(Productos!$E$2:$E$501,MATCH(B665,Productos!$A$2:$A$501,0)),0))</f>
        <v/>
      </c>
      <c r="H665" s="33">
        <f>IF(A665="","",MONTH(A665))</f>
        <v/>
      </c>
      <c r="I665" s="33">
        <f>IF(A665="","",YEAR(A665))</f>
        <v/>
      </c>
    </row>
    <row r="666" ht="15" customHeight="1" s="21">
      <c r="A666" s="34" t="n"/>
      <c r="B666" s="30" t="n"/>
      <c r="C666" s="30" t="n"/>
      <c r="D666" s="30" t="n"/>
      <c r="E666" s="33">
        <f>IF(B666="","",IFERROR(INDEX(Productos!$B$2:$B$501,MATCH(B666,Productos!$A$2:$A$501,0)),"¿Código?"))</f>
        <v/>
      </c>
      <c r="F666" s="32">
        <f>IF(C666&lt;&gt;"Venta","",D666*IFERROR(INDEX(Productos!$D$2:$D$501,MATCH(B666,Productos!$A$2:$A$501,0)),0))</f>
        <v/>
      </c>
      <c r="G666" s="32">
        <f>IF(C666&lt;&gt;"Venta","",D666*IFERROR(INDEX(Productos!$E$2:$E$501,MATCH(B666,Productos!$A$2:$A$501,0)),0))</f>
        <v/>
      </c>
      <c r="H666" s="33">
        <f>IF(A666="","",MONTH(A666))</f>
        <v/>
      </c>
      <c r="I666" s="33">
        <f>IF(A666="","",YEAR(A666))</f>
        <v/>
      </c>
    </row>
    <row r="667" ht="15" customHeight="1" s="21">
      <c r="A667" s="34" t="n"/>
      <c r="B667" s="30" t="n"/>
      <c r="C667" s="30" t="n"/>
      <c r="D667" s="30" t="n"/>
      <c r="E667" s="33">
        <f>IF(B667="","",IFERROR(INDEX(Productos!$B$2:$B$501,MATCH(B667,Productos!$A$2:$A$501,0)),"¿Código?"))</f>
        <v/>
      </c>
      <c r="F667" s="32">
        <f>IF(C667&lt;&gt;"Venta","",D667*IFERROR(INDEX(Productos!$D$2:$D$501,MATCH(B667,Productos!$A$2:$A$501,0)),0))</f>
        <v/>
      </c>
      <c r="G667" s="32">
        <f>IF(C667&lt;&gt;"Venta","",D667*IFERROR(INDEX(Productos!$E$2:$E$501,MATCH(B667,Productos!$A$2:$A$501,0)),0))</f>
        <v/>
      </c>
      <c r="H667" s="33">
        <f>IF(A667="","",MONTH(A667))</f>
        <v/>
      </c>
      <c r="I667" s="33">
        <f>IF(A667="","",YEAR(A667))</f>
        <v/>
      </c>
    </row>
    <row r="668" ht="15" customHeight="1" s="21">
      <c r="A668" s="34" t="n"/>
      <c r="B668" s="30" t="n"/>
      <c r="C668" s="30" t="n"/>
      <c r="D668" s="30" t="n"/>
      <c r="E668" s="33">
        <f>IF(B668="","",IFERROR(INDEX(Productos!$B$2:$B$501,MATCH(B668,Productos!$A$2:$A$501,0)),"¿Código?"))</f>
        <v/>
      </c>
      <c r="F668" s="32">
        <f>IF(C668&lt;&gt;"Venta","",D668*IFERROR(INDEX(Productos!$D$2:$D$501,MATCH(B668,Productos!$A$2:$A$501,0)),0))</f>
        <v/>
      </c>
      <c r="G668" s="32">
        <f>IF(C668&lt;&gt;"Venta","",D668*IFERROR(INDEX(Productos!$E$2:$E$501,MATCH(B668,Productos!$A$2:$A$501,0)),0))</f>
        <v/>
      </c>
      <c r="H668" s="33">
        <f>IF(A668="","",MONTH(A668))</f>
        <v/>
      </c>
      <c r="I668" s="33">
        <f>IF(A668="","",YEAR(A668))</f>
        <v/>
      </c>
    </row>
    <row r="669" ht="15" customHeight="1" s="21">
      <c r="A669" s="34" t="n"/>
      <c r="B669" s="30" t="n"/>
      <c r="C669" s="30" t="n"/>
      <c r="D669" s="30" t="n"/>
      <c r="E669" s="33">
        <f>IF(B669="","",IFERROR(INDEX(Productos!$B$2:$B$501,MATCH(B669,Productos!$A$2:$A$501,0)),"¿Código?"))</f>
        <v/>
      </c>
      <c r="F669" s="32">
        <f>IF(C669&lt;&gt;"Venta","",D669*IFERROR(INDEX(Productos!$D$2:$D$501,MATCH(B669,Productos!$A$2:$A$501,0)),0))</f>
        <v/>
      </c>
      <c r="G669" s="32">
        <f>IF(C669&lt;&gt;"Venta","",D669*IFERROR(INDEX(Productos!$E$2:$E$501,MATCH(B669,Productos!$A$2:$A$501,0)),0))</f>
        <v/>
      </c>
      <c r="H669" s="33">
        <f>IF(A669="","",MONTH(A669))</f>
        <v/>
      </c>
      <c r="I669" s="33">
        <f>IF(A669="","",YEAR(A669))</f>
        <v/>
      </c>
    </row>
    <row r="670" ht="15" customHeight="1" s="21">
      <c r="A670" s="34" t="n"/>
      <c r="B670" s="30" t="n"/>
      <c r="C670" s="30" t="n"/>
      <c r="D670" s="30" t="n"/>
      <c r="E670" s="33">
        <f>IF(B670="","",IFERROR(INDEX(Productos!$B$2:$B$501,MATCH(B670,Productos!$A$2:$A$501,0)),"¿Código?"))</f>
        <v/>
      </c>
      <c r="F670" s="32">
        <f>IF(C670&lt;&gt;"Venta","",D670*IFERROR(INDEX(Productos!$D$2:$D$501,MATCH(B670,Productos!$A$2:$A$501,0)),0))</f>
        <v/>
      </c>
      <c r="G670" s="32">
        <f>IF(C670&lt;&gt;"Venta","",D670*IFERROR(INDEX(Productos!$E$2:$E$501,MATCH(B670,Productos!$A$2:$A$501,0)),0))</f>
        <v/>
      </c>
      <c r="H670" s="33">
        <f>IF(A670="","",MONTH(A670))</f>
        <v/>
      </c>
      <c r="I670" s="33">
        <f>IF(A670="","",YEAR(A670))</f>
        <v/>
      </c>
    </row>
    <row r="671" ht="15" customHeight="1" s="21">
      <c r="A671" s="34" t="n"/>
      <c r="B671" s="30" t="n"/>
      <c r="C671" s="30" t="n"/>
      <c r="D671" s="30" t="n"/>
      <c r="E671" s="33">
        <f>IF(B671="","",IFERROR(INDEX(Productos!$B$2:$B$501,MATCH(B671,Productos!$A$2:$A$501,0)),"¿Código?"))</f>
        <v/>
      </c>
      <c r="F671" s="32">
        <f>IF(C671&lt;&gt;"Venta","",D671*IFERROR(INDEX(Productos!$D$2:$D$501,MATCH(B671,Productos!$A$2:$A$501,0)),0))</f>
        <v/>
      </c>
      <c r="G671" s="32">
        <f>IF(C671&lt;&gt;"Venta","",D671*IFERROR(INDEX(Productos!$E$2:$E$501,MATCH(B671,Productos!$A$2:$A$501,0)),0))</f>
        <v/>
      </c>
      <c r="H671" s="33">
        <f>IF(A671="","",MONTH(A671))</f>
        <v/>
      </c>
      <c r="I671" s="33">
        <f>IF(A671="","",YEAR(A671))</f>
        <v/>
      </c>
    </row>
    <row r="672" ht="15" customHeight="1" s="21">
      <c r="A672" s="34" t="n"/>
      <c r="B672" s="30" t="n"/>
      <c r="C672" s="30" t="n"/>
      <c r="D672" s="30" t="n"/>
      <c r="E672" s="33">
        <f>IF(B672="","",IFERROR(INDEX(Productos!$B$2:$B$501,MATCH(B672,Productos!$A$2:$A$501,0)),"¿Código?"))</f>
        <v/>
      </c>
      <c r="F672" s="32">
        <f>IF(C672&lt;&gt;"Venta","",D672*IFERROR(INDEX(Productos!$D$2:$D$501,MATCH(B672,Productos!$A$2:$A$501,0)),0))</f>
        <v/>
      </c>
      <c r="G672" s="32">
        <f>IF(C672&lt;&gt;"Venta","",D672*IFERROR(INDEX(Productos!$E$2:$E$501,MATCH(B672,Productos!$A$2:$A$501,0)),0))</f>
        <v/>
      </c>
      <c r="H672" s="33">
        <f>IF(A672="","",MONTH(A672))</f>
        <v/>
      </c>
      <c r="I672" s="33">
        <f>IF(A672="","",YEAR(A672))</f>
        <v/>
      </c>
    </row>
    <row r="673" ht="15" customHeight="1" s="21">
      <c r="A673" s="34" t="n"/>
      <c r="B673" s="30" t="n"/>
      <c r="C673" s="30" t="n"/>
      <c r="D673" s="30" t="n"/>
      <c r="E673" s="33">
        <f>IF(B673="","",IFERROR(INDEX(Productos!$B$2:$B$501,MATCH(B673,Productos!$A$2:$A$501,0)),"¿Código?"))</f>
        <v/>
      </c>
      <c r="F673" s="32">
        <f>IF(C673&lt;&gt;"Venta","",D673*IFERROR(INDEX(Productos!$D$2:$D$501,MATCH(B673,Productos!$A$2:$A$501,0)),0))</f>
        <v/>
      </c>
      <c r="G673" s="32">
        <f>IF(C673&lt;&gt;"Venta","",D673*IFERROR(INDEX(Productos!$E$2:$E$501,MATCH(B673,Productos!$A$2:$A$501,0)),0))</f>
        <v/>
      </c>
      <c r="H673" s="33">
        <f>IF(A673="","",MONTH(A673))</f>
        <v/>
      </c>
      <c r="I673" s="33">
        <f>IF(A673="","",YEAR(A673))</f>
        <v/>
      </c>
    </row>
    <row r="674" ht="15" customHeight="1" s="21">
      <c r="A674" s="34" t="n"/>
      <c r="B674" s="30" t="n"/>
      <c r="C674" s="30" t="n"/>
      <c r="D674" s="30" t="n"/>
      <c r="E674" s="33">
        <f>IF(B674="","",IFERROR(INDEX(Productos!$B$2:$B$501,MATCH(B674,Productos!$A$2:$A$501,0)),"¿Código?"))</f>
        <v/>
      </c>
      <c r="F674" s="32">
        <f>IF(C674&lt;&gt;"Venta","",D674*IFERROR(INDEX(Productos!$D$2:$D$501,MATCH(B674,Productos!$A$2:$A$501,0)),0))</f>
        <v/>
      </c>
      <c r="G674" s="32">
        <f>IF(C674&lt;&gt;"Venta","",D674*IFERROR(INDEX(Productos!$E$2:$E$501,MATCH(B674,Productos!$A$2:$A$501,0)),0))</f>
        <v/>
      </c>
      <c r="H674" s="33">
        <f>IF(A674="","",MONTH(A674))</f>
        <v/>
      </c>
      <c r="I674" s="33">
        <f>IF(A674="","",YEAR(A674))</f>
        <v/>
      </c>
    </row>
    <row r="675" ht="15" customHeight="1" s="21">
      <c r="A675" s="34" t="n"/>
      <c r="B675" s="30" t="n"/>
      <c r="C675" s="30" t="n"/>
      <c r="D675" s="30" t="n"/>
      <c r="E675" s="33">
        <f>IF(B675="","",IFERROR(INDEX(Productos!$B$2:$B$501,MATCH(B675,Productos!$A$2:$A$501,0)),"¿Código?"))</f>
        <v/>
      </c>
      <c r="F675" s="32">
        <f>IF(C675&lt;&gt;"Venta","",D675*IFERROR(INDEX(Productos!$D$2:$D$501,MATCH(B675,Productos!$A$2:$A$501,0)),0))</f>
        <v/>
      </c>
      <c r="G675" s="32">
        <f>IF(C675&lt;&gt;"Venta","",D675*IFERROR(INDEX(Productos!$E$2:$E$501,MATCH(B675,Productos!$A$2:$A$501,0)),0))</f>
        <v/>
      </c>
      <c r="H675" s="33">
        <f>IF(A675="","",MONTH(A675))</f>
        <v/>
      </c>
      <c r="I675" s="33">
        <f>IF(A675="","",YEAR(A675))</f>
        <v/>
      </c>
    </row>
    <row r="676" ht="15" customHeight="1" s="21">
      <c r="A676" s="34" t="n"/>
      <c r="B676" s="30" t="n"/>
      <c r="C676" s="30" t="n"/>
      <c r="D676" s="30" t="n"/>
      <c r="E676" s="33">
        <f>IF(B676="","",IFERROR(INDEX(Productos!$B$2:$B$501,MATCH(B676,Productos!$A$2:$A$501,0)),"¿Código?"))</f>
        <v/>
      </c>
      <c r="F676" s="32">
        <f>IF(C676&lt;&gt;"Venta","",D676*IFERROR(INDEX(Productos!$D$2:$D$501,MATCH(B676,Productos!$A$2:$A$501,0)),0))</f>
        <v/>
      </c>
      <c r="G676" s="32">
        <f>IF(C676&lt;&gt;"Venta","",D676*IFERROR(INDEX(Productos!$E$2:$E$501,MATCH(B676,Productos!$A$2:$A$501,0)),0))</f>
        <v/>
      </c>
      <c r="H676" s="33">
        <f>IF(A676="","",MONTH(A676))</f>
        <v/>
      </c>
      <c r="I676" s="33">
        <f>IF(A676="","",YEAR(A676))</f>
        <v/>
      </c>
    </row>
    <row r="677" ht="15" customHeight="1" s="21">
      <c r="A677" s="34" t="n"/>
      <c r="B677" s="30" t="n"/>
      <c r="C677" s="30" t="n"/>
      <c r="D677" s="30" t="n"/>
      <c r="E677" s="33">
        <f>IF(B677="","",IFERROR(INDEX(Productos!$B$2:$B$501,MATCH(B677,Productos!$A$2:$A$501,0)),"¿Código?"))</f>
        <v/>
      </c>
      <c r="F677" s="32">
        <f>IF(C677&lt;&gt;"Venta","",D677*IFERROR(INDEX(Productos!$D$2:$D$501,MATCH(B677,Productos!$A$2:$A$501,0)),0))</f>
        <v/>
      </c>
      <c r="G677" s="32">
        <f>IF(C677&lt;&gt;"Venta","",D677*IFERROR(INDEX(Productos!$E$2:$E$501,MATCH(B677,Productos!$A$2:$A$501,0)),0))</f>
        <v/>
      </c>
      <c r="H677" s="33">
        <f>IF(A677="","",MONTH(A677))</f>
        <v/>
      </c>
      <c r="I677" s="33">
        <f>IF(A677="","",YEAR(A677))</f>
        <v/>
      </c>
    </row>
    <row r="678" ht="15" customHeight="1" s="21">
      <c r="A678" s="34" t="n"/>
      <c r="B678" s="30" t="n"/>
      <c r="C678" s="30" t="n"/>
      <c r="D678" s="30" t="n"/>
      <c r="E678" s="33">
        <f>IF(B678="","",IFERROR(INDEX(Productos!$B$2:$B$501,MATCH(B678,Productos!$A$2:$A$501,0)),"¿Código?"))</f>
        <v/>
      </c>
      <c r="F678" s="32">
        <f>IF(C678&lt;&gt;"Venta","",D678*IFERROR(INDEX(Productos!$D$2:$D$501,MATCH(B678,Productos!$A$2:$A$501,0)),0))</f>
        <v/>
      </c>
      <c r="G678" s="32">
        <f>IF(C678&lt;&gt;"Venta","",D678*IFERROR(INDEX(Productos!$E$2:$E$501,MATCH(B678,Productos!$A$2:$A$501,0)),0))</f>
        <v/>
      </c>
      <c r="H678" s="33">
        <f>IF(A678="","",MONTH(A678))</f>
        <v/>
      </c>
      <c r="I678" s="33">
        <f>IF(A678="","",YEAR(A678))</f>
        <v/>
      </c>
    </row>
    <row r="679" ht="15" customHeight="1" s="21">
      <c r="A679" s="34" t="n"/>
      <c r="B679" s="30" t="n"/>
      <c r="C679" s="30" t="n"/>
      <c r="D679" s="30" t="n"/>
      <c r="E679" s="33">
        <f>IF(B679="","",IFERROR(INDEX(Productos!$B$2:$B$501,MATCH(B679,Productos!$A$2:$A$501,0)),"¿Código?"))</f>
        <v/>
      </c>
      <c r="F679" s="32">
        <f>IF(C679&lt;&gt;"Venta","",D679*IFERROR(INDEX(Productos!$D$2:$D$501,MATCH(B679,Productos!$A$2:$A$501,0)),0))</f>
        <v/>
      </c>
      <c r="G679" s="32">
        <f>IF(C679&lt;&gt;"Venta","",D679*IFERROR(INDEX(Productos!$E$2:$E$501,MATCH(B679,Productos!$A$2:$A$501,0)),0))</f>
        <v/>
      </c>
      <c r="H679" s="33">
        <f>IF(A679="","",MONTH(A679))</f>
        <v/>
      </c>
      <c r="I679" s="33">
        <f>IF(A679="","",YEAR(A679))</f>
        <v/>
      </c>
    </row>
    <row r="680" ht="15" customHeight="1" s="21">
      <c r="A680" s="34" t="n"/>
      <c r="B680" s="30" t="n"/>
      <c r="C680" s="30" t="n"/>
      <c r="D680" s="30" t="n"/>
      <c r="E680" s="33">
        <f>IF(B680="","",IFERROR(INDEX(Productos!$B$2:$B$501,MATCH(B680,Productos!$A$2:$A$501,0)),"¿Código?"))</f>
        <v/>
      </c>
      <c r="F680" s="32">
        <f>IF(C680&lt;&gt;"Venta","",D680*IFERROR(INDEX(Productos!$D$2:$D$501,MATCH(B680,Productos!$A$2:$A$501,0)),0))</f>
        <v/>
      </c>
      <c r="G680" s="32">
        <f>IF(C680&lt;&gt;"Venta","",D680*IFERROR(INDEX(Productos!$E$2:$E$501,MATCH(B680,Productos!$A$2:$A$501,0)),0))</f>
        <v/>
      </c>
      <c r="H680" s="33">
        <f>IF(A680="","",MONTH(A680))</f>
        <v/>
      </c>
      <c r="I680" s="33">
        <f>IF(A680="","",YEAR(A680))</f>
        <v/>
      </c>
    </row>
    <row r="681" ht="15" customHeight="1" s="21">
      <c r="A681" s="34" t="n"/>
      <c r="B681" s="30" t="n"/>
      <c r="C681" s="30" t="n"/>
      <c r="D681" s="30" t="n"/>
      <c r="E681" s="33">
        <f>IF(B681="","",IFERROR(INDEX(Productos!$B$2:$B$501,MATCH(B681,Productos!$A$2:$A$501,0)),"¿Código?"))</f>
        <v/>
      </c>
      <c r="F681" s="32">
        <f>IF(C681&lt;&gt;"Venta","",D681*IFERROR(INDEX(Productos!$D$2:$D$501,MATCH(B681,Productos!$A$2:$A$501,0)),0))</f>
        <v/>
      </c>
      <c r="G681" s="32">
        <f>IF(C681&lt;&gt;"Venta","",D681*IFERROR(INDEX(Productos!$E$2:$E$501,MATCH(B681,Productos!$A$2:$A$501,0)),0))</f>
        <v/>
      </c>
      <c r="H681" s="33">
        <f>IF(A681="","",MONTH(A681))</f>
        <v/>
      </c>
      <c r="I681" s="33">
        <f>IF(A681="","",YEAR(A681))</f>
        <v/>
      </c>
    </row>
    <row r="682" ht="15" customHeight="1" s="21">
      <c r="A682" s="34" t="n"/>
      <c r="B682" s="30" t="n"/>
      <c r="C682" s="30" t="n"/>
      <c r="D682" s="30" t="n"/>
      <c r="E682" s="33">
        <f>IF(B682="","",IFERROR(INDEX(Productos!$B$2:$B$501,MATCH(B682,Productos!$A$2:$A$501,0)),"¿Código?"))</f>
        <v/>
      </c>
      <c r="F682" s="32">
        <f>IF(C682&lt;&gt;"Venta","",D682*IFERROR(INDEX(Productos!$D$2:$D$501,MATCH(B682,Productos!$A$2:$A$501,0)),0))</f>
        <v/>
      </c>
      <c r="G682" s="32">
        <f>IF(C682&lt;&gt;"Venta","",D682*IFERROR(INDEX(Productos!$E$2:$E$501,MATCH(B682,Productos!$A$2:$A$501,0)),0))</f>
        <v/>
      </c>
      <c r="H682" s="33">
        <f>IF(A682="","",MONTH(A682))</f>
        <v/>
      </c>
      <c r="I682" s="33">
        <f>IF(A682="","",YEAR(A682))</f>
        <v/>
      </c>
    </row>
    <row r="683" ht="15" customHeight="1" s="21">
      <c r="A683" s="34" t="n"/>
      <c r="B683" s="30" t="n"/>
      <c r="C683" s="30" t="n"/>
      <c r="D683" s="30" t="n"/>
      <c r="E683" s="33">
        <f>IF(B683="","",IFERROR(INDEX(Productos!$B$2:$B$501,MATCH(B683,Productos!$A$2:$A$501,0)),"¿Código?"))</f>
        <v/>
      </c>
      <c r="F683" s="32">
        <f>IF(C683&lt;&gt;"Venta","",D683*IFERROR(INDEX(Productos!$D$2:$D$501,MATCH(B683,Productos!$A$2:$A$501,0)),0))</f>
        <v/>
      </c>
      <c r="G683" s="32">
        <f>IF(C683&lt;&gt;"Venta","",D683*IFERROR(INDEX(Productos!$E$2:$E$501,MATCH(B683,Productos!$A$2:$A$501,0)),0))</f>
        <v/>
      </c>
      <c r="H683" s="33">
        <f>IF(A683="","",MONTH(A683))</f>
        <v/>
      </c>
      <c r="I683" s="33">
        <f>IF(A683="","",YEAR(A683))</f>
        <v/>
      </c>
    </row>
    <row r="684" ht="15" customHeight="1" s="21">
      <c r="A684" s="34" t="n"/>
      <c r="B684" s="30" t="n"/>
      <c r="C684" s="30" t="n"/>
      <c r="D684" s="30" t="n"/>
      <c r="E684" s="33">
        <f>IF(B684="","",IFERROR(INDEX(Productos!$B$2:$B$501,MATCH(B684,Productos!$A$2:$A$501,0)),"¿Código?"))</f>
        <v/>
      </c>
      <c r="F684" s="32">
        <f>IF(C684&lt;&gt;"Venta","",D684*IFERROR(INDEX(Productos!$D$2:$D$501,MATCH(B684,Productos!$A$2:$A$501,0)),0))</f>
        <v/>
      </c>
      <c r="G684" s="32">
        <f>IF(C684&lt;&gt;"Venta","",D684*IFERROR(INDEX(Productos!$E$2:$E$501,MATCH(B684,Productos!$A$2:$A$501,0)),0))</f>
        <v/>
      </c>
      <c r="H684" s="33">
        <f>IF(A684="","",MONTH(A684))</f>
        <v/>
      </c>
      <c r="I684" s="33">
        <f>IF(A684="","",YEAR(A684))</f>
        <v/>
      </c>
    </row>
    <row r="685" ht="15" customHeight="1" s="21">
      <c r="A685" s="34" t="n"/>
      <c r="B685" s="30" t="n"/>
      <c r="C685" s="30" t="n"/>
      <c r="D685" s="30" t="n"/>
      <c r="E685" s="33">
        <f>IF(B685="","",IFERROR(INDEX(Productos!$B$2:$B$501,MATCH(B685,Productos!$A$2:$A$501,0)),"¿Código?"))</f>
        <v/>
      </c>
      <c r="F685" s="32">
        <f>IF(C685&lt;&gt;"Venta","",D685*IFERROR(INDEX(Productos!$D$2:$D$501,MATCH(B685,Productos!$A$2:$A$501,0)),0))</f>
        <v/>
      </c>
      <c r="G685" s="32">
        <f>IF(C685&lt;&gt;"Venta","",D685*IFERROR(INDEX(Productos!$E$2:$E$501,MATCH(B685,Productos!$A$2:$A$501,0)),0))</f>
        <v/>
      </c>
      <c r="H685" s="33">
        <f>IF(A685="","",MONTH(A685))</f>
        <v/>
      </c>
      <c r="I685" s="33">
        <f>IF(A685="","",YEAR(A685))</f>
        <v/>
      </c>
    </row>
    <row r="686" ht="15" customHeight="1" s="21">
      <c r="A686" s="34" t="n"/>
      <c r="B686" s="30" t="n"/>
      <c r="C686" s="30" t="n"/>
      <c r="D686" s="30" t="n"/>
      <c r="E686" s="33">
        <f>IF(B686="","",IFERROR(INDEX(Productos!$B$2:$B$501,MATCH(B686,Productos!$A$2:$A$501,0)),"¿Código?"))</f>
        <v/>
      </c>
      <c r="F686" s="32">
        <f>IF(C686&lt;&gt;"Venta","",D686*IFERROR(INDEX(Productos!$D$2:$D$501,MATCH(B686,Productos!$A$2:$A$501,0)),0))</f>
        <v/>
      </c>
      <c r="G686" s="32">
        <f>IF(C686&lt;&gt;"Venta","",D686*IFERROR(INDEX(Productos!$E$2:$E$501,MATCH(B686,Productos!$A$2:$A$501,0)),0))</f>
        <v/>
      </c>
      <c r="H686" s="33">
        <f>IF(A686="","",MONTH(A686))</f>
        <v/>
      </c>
      <c r="I686" s="33">
        <f>IF(A686="","",YEAR(A686))</f>
        <v/>
      </c>
    </row>
    <row r="687" ht="15" customHeight="1" s="21">
      <c r="A687" s="34" t="n"/>
      <c r="B687" s="30" t="n"/>
      <c r="C687" s="30" t="n"/>
      <c r="D687" s="30" t="n"/>
      <c r="E687" s="33">
        <f>IF(B687="","",IFERROR(INDEX(Productos!$B$2:$B$501,MATCH(B687,Productos!$A$2:$A$501,0)),"¿Código?"))</f>
        <v/>
      </c>
      <c r="F687" s="32">
        <f>IF(C687&lt;&gt;"Venta","",D687*IFERROR(INDEX(Productos!$D$2:$D$501,MATCH(B687,Productos!$A$2:$A$501,0)),0))</f>
        <v/>
      </c>
      <c r="G687" s="32">
        <f>IF(C687&lt;&gt;"Venta","",D687*IFERROR(INDEX(Productos!$E$2:$E$501,MATCH(B687,Productos!$A$2:$A$501,0)),0))</f>
        <v/>
      </c>
      <c r="H687" s="33">
        <f>IF(A687="","",MONTH(A687))</f>
        <v/>
      </c>
      <c r="I687" s="33">
        <f>IF(A687="","",YEAR(A687))</f>
        <v/>
      </c>
    </row>
    <row r="688" ht="15" customHeight="1" s="21">
      <c r="A688" s="34" t="n"/>
      <c r="B688" s="30" t="n"/>
      <c r="C688" s="30" t="n"/>
      <c r="D688" s="30" t="n"/>
      <c r="E688" s="33">
        <f>IF(B688="","",IFERROR(INDEX(Productos!$B$2:$B$501,MATCH(B688,Productos!$A$2:$A$501,0)),"¿Código?"))</f>
        <v/>
      </c>
      <c r="F688" s="32">
        <f>IF(C688&lt;&gt;"Venta","",D688*IFERROR(INDEX(Productos!$D$2:$D$501,MATCH(B688,Productos!$A$2:$A$501,0)),0))</f>
        <v/>
      </c>
      <c r="G688" s="32">
        <f>IF(C688&lt;&gt;"Venta","",D688*IFERROR(INDEX(Productos!$E$2:$E$501,MATCH(B688,Productos!$A$2:$A$501,0)),0))</f>
        <v/>
      </c>
      <c r="H688" s="33">
        <f>IF(A688="","",MONTH(A688))</f>
        <v/>
      </c>
      <c r="I688" s="33">
        <f>IF(A688="","",YEAR(A688))</f>
        <v/>
      </c>
    </row>
    <row r="689" ht="15" customHeight="1" s="21">
      <c r="A689" s="34" t="n"/>
      <c r="B689" s="30" t="n"/>
      <c r="C689" s="30" t="n"/>
      <c r="D689" s="30" t="n"/>
      <c r="E689" s="33">
        <f>IF(B689="","",IFERROR(INDEX(Productos!$B$2:$B$501,MATCH(B689,Productos!$A$2:$A$501,0)),"¿Código?"))</f>
        <v/>
      </c>
      <c r="F689" s="32">
        <f>IF(C689&lt;&gt;"Venta","",D689*IFERROR(INDEX(Productos!$D$2:$D$501,MATCH(B689,Productos!$A$2:$A$501,0)),0))</f>
        <v/>
      </c>
      <c r="G689" s="32">
        <f>IF(C689&lt;&gt;"Venta","",D689*IFERROR(INDEX(Productos!$E$2:$E$501,MATCH(B689,Productos!$A$2:$A$501,0)),0))</f>
        <v/>
      </c>
      <c r="H689" s="33">
        <f>IF(A689="","",MONTH(A689))</f>
        <v/>
      </c>
      <c r="I689" s="33">
        <f>IF(A689="","",YEAR(A689))</f>
        <v/>
      </c>
    </row>
    <row r="690" ht="15" customHeight="1" s="21">
      <c r="A690" s="34" t="n"/>
      <c r="B690" s="30" t="n"/>
      <c r="C690" s="30" t="n"/>
      <c r="D690" s="30" t="n"/>
      <c r="E690" s="33">
        <f>IF(B690="","",IFERROR(INDEX(Productos!$B$2:$B$501,MATCH(B690,Productos!$A$2:$A$501,0)),"¿Código?"))</f>
        <v/>
      </c>
      <c r="F690" s="32">
        <f>IF(C690&lt;&gt;"Venta","",D690*IFERROR(INDEX(Productos!$D$2:$D$501,MATCH(B690,Productos!$A$2:$A$501,0)),0))</f>
        <v/>
      </c>
      <c r="G690" s="32">
        <f>IF(C690&lt;&gt;"Venta","",D690*IFERROR(INDEX(Productos!$E$2:$E$501,MATCH(B690,Productos!$A$2:$A$501,0)),0))</f>
        <v/>
      </c>
      <c r="H690" s="33">
        <f>IF(A690="","",MONTH(A690))</f>
        <v/>
      </c>
      <c r="I690" s="33">
        <f>IF(A690="","",YEAR(A690))</f>
        <v/>
      </c>
    </row>
    <row r="691" ht="15" customHeight="1" s="21">
      <c r="A691" s="34" t="n"/>
      <c r="B691" s="30" t="n"/>
      <c r="C691" s="30" t="n"/>
      <c r="D691" s="30" t="n"/>
      <c r="E691" s="33">
        <f>IF(B691="","",IFERROR(INDEX(Productos!$B$2:$B$501,MATCH(B691,Productos!$A$2:$A$501,0)),"¿Código?"))</f>
        <v/>
      </c>
      <c r="F691" s="32">
        <f>IF(C691&lt;&gt;"Venta","",D691*IFERROR(INDEX(Productos!$D$2:$D$501,MATCH(B691,Productos!$A$2:$A$501,0)),0))</f>
        <v/>
      </c>
      <c r="G691" s="32">
        <f>IF(C691&lt;&gt;"Venta","",D691*IFERROR(INDEX(Productos!$E$2:$E$501,MATCH(B691,Productos!$A$2:$A$501,0)),0))</f>
        <v/>
      </c>
      <c r="H691" s="33">
        <f>IF(A691="","",MONTH(A691))</f>
        <v/>
      </c>
      <c r="I691" s="33">
        <f>IF(A691="","",YEAR(A691))</f>
        <v/>
      </c>
    </row>
    <row r="692" ht="15" customHeight="1" s="21">
      <c r="A692" s="34" t="n"/>
      <c r="B692" s="30" t="n"/>
      <c r="C692" s="30" t="n"/>
      <c r="D692" s="30" t="n"/>
      <c r="E692" s="33">
        <f>IF(B692="","",IFERROR(INDEX(Productos!$B$2:$B$501,MATCH(B692,Productos!$A$2:$A$501,0)),"¿Código?"))</f>
        <v/>
      </c>
      <c r="F692" s="32">
        <f>IF(C692&lt;&gt;"Venta","",D692*IFERROR(INDEX(Productos!$D$2:$D$501,MATCH(B692,Productos!$A$2:$A$501,0)),0))</f>
        <v/>
      </c>
      <c r="G692" s="32">
        <f>IF(C692&lt;&gt;"Venta","",D692*IFERROR(INDEX(Productos!$E$2:$E$501,MATCH(B692,Productos!$A$2:$A$501,0)),0))</f>
        <v/>
      </c>
      <c r="H692" s="33">
        <f>IF(A692="","",MONTH(A692))</f>
        <v/>
      </c>
      <c r="I692" s="33">
        <f>IF(A692="","",YEAR(A692))</f>
        <v/>
      </c>
    </row>
    <row r="693" ht="15" customHeight="1" s="21">
      <c r="A693" s="34" t="n"/>
      <c r="B693" s="30" t="n"/>
      <c r="C693" s="30" t="n"/>
      <c r="D693" s="30" t="n"/>
      <c r="E693" s="33">
        <f>IF(B693="","",IFERROR(INDEX(Productos!$B$2:$B$501,MATCH(B693,Productos!$A$2:$A$501,0)),"¿Código?"))</f>
        <v/>
      </c>
      <c r="F693" s="32">
        <f>IF(C693&lt;&gt;"Venta","",D693*IFERROR(INDEX(Productos!$D$2:$D$501,MATCH(B693,Productos!$A$2:$A$501,0)),0))</f>
        <v/>
      </c>
      <c r="G693" s="32">
        <f>IF(C693&lt;&gt;"Venta","",D693*IFERROR(INDEX(Productos!$E$2:$E$501,MATCH(B693,Productos!$A$2:$A$501,0)),0))</f>
        <v/>
      </c>
      <c r="H693" s="33">
        <f>IF(A693="","",MONTH(A693))</f>
        <v/>
      </c>
      <c r="I693" s="33">
        <f>IF(A693="","",YEAR(A693))</f>
        <v/>
      </c>
    </row>
    <row r="694" ht="15" customHeight="1" s="21">
      <c r="A694" s="34" t="n"/>
      <c r="B694" s="30" t="n"/>
      <c r="C694" s="30" t="n"/>
      <c r="D694" s="30" t="n"/>
      <c r="E694" s="33">
        <f>IF(B694="","",IFERROR(INDEX(Productos!$B$2:$B$501,MATCH(B694,Productos!$A$2:$A$501,0)),"¿Código?"))</f>
        <v/>
      </c>
      <c r="F694" s="32">
        <f>IF(C694&lt;&gt;"Venta","",D694*IFERROR(INDEX(Productos!$D$2:$D$501,MATCH(B694,Productos!$A$2:$A$501,0)),0))</f>
        <v/>
      </c>
      <c r="G694" s="32">
        <f>IF(C694&lt;&gt;"Venta","",D694*IFERROR(INDEX(Productos!$E$2:$E$501,MATCH(B694,Productos!$A$2:$A$501,0)),0))</f>
        <v/>
      </c>
      <c r="H694" s="33">
        <f>IF(A694="","",MONTH(A694))</f>
        <v/>
      </c>
      <c r="I694" s="33">
        <f>IF(A694="","",YEAR(A694))</f>
        <v/>
      </c>
    </row>
    <row r="695" ht="15" customHeight="1" s="21">
      <c r="A695" s="34" t="n"/>
      <c r="B695" s="30" t="n"/>
      <c r="C695" s="30" t="n"/>
      <c r="D695" s="30" t="n"/>
      <c r="E695" s="33">
        <f>IF(B695="","",IFERROR(INDEX(Productos!$B$2:$B$501,MATCH(B695,Productos!$A$2:$A$501,0)),"¿Código?"))</f>
        <v/>
      </c>
      <c r="F695" s="32">
        <f>IF(C695&lt;&gt;"Venta","",D695*IFERROR(INDEX(Productos!$D$2:$D$501,MATCH(B695,Productos!$A$2:$A$501,0)),0))</f>
        <v/>
      </c>
      <c r="G695" s="32">
        <f>IF(C695&lt;&gt;"Venta","",D695*IFERROR(INDEX(Productos!$E$2:$E$501,MATCH(B695,Productos!$A$2:$A$501,0)),0))</f>
        <v/>
      </c>
      <c r="H695" s="33">
        <f>IF(A695="","",MONTH(A695))</f>
        <v/>
      </c>
      <c r="I695" s="33">
        <f>IF(A695="","",YEAR(A695))</f>
        <v/>
      </c>
    </row>
    <row r="696" ht="15" customHeight="1" s="21">
      <c r="A696" s="34" t="n"/>
      <c r="B696" s="30" t="n"/>
      <c r="C696" s="30" t="n"/>
      <c r="D696" s="30" t="n"/>
      <c r="E696" s="33">
        <f>IF(B696="","",IFERROR(INDEX(Productos!$B$2:$B$501,MATCH(B696,Productos!$A$2:$A$501,0)),"¿Código?"))</f>
        <v/>
      </c>
      <c r="F696" s="32">
        <f>IF(C696&lt;&gt;"Venta","",D696*IFERROR(INDEX(Productos!$D$2:$D$501,MATCH(B696,Productos!$A$2:$A$501,0)),0))</f>
        <v/>
      </c>
      <c r="G696" s="32">
        <f>IF(C696&lt;&gt;"Venta","",D696*IFERROR(INDEX(Productos!$E$2:$E$501,MATCH(B696,Productos!$A$2:$A$501,0)),0))</f>
        <v/>
      </c>
      <c r="H696" s="33">
        <f>IF(A696="","",MONTH(A696))</f>
        <v/>
      </c>
      <c r="I696" s="33">
        <f>IF(A696="","",YEAR(A696))</f>
        <v/>
      </c>
    </row>
    <row r="697" ht="15" customHeight="1" s="21">
      <c r="A697" s="34" t="n"/>
      <c r="B697" s="30" t="n"/>
      <c r="C697" s="30" t="n"/>
      <c r="D697" s="30" t="n"/>
      <c r="E697" s="33">
        <f>IF(B697="","",IFERROR(INDEX(Productos!$B$2:$B$501,MATCH(B697,Productos!$A$2:$A$501,0)),"¿Código?"))</f>
        <v/>
      </c>
      <c r="F697" s="32">
        <f>IF(C697&lt;&gt;"Venta","",D697*IFERROR(INDEX(Productos!$D$2:$D$501,MATCH(B697,Productos!$A$2:$A$501,0)),0))</f>
        <v/>
      </c>
      <c r="G697" s="32">
        <f>IF(C697&lt;&gt;"Venta","",D697*IFERROR(INDEX(Productos!$E$2:$E$501,MATCH(B697,Productos!$A$2:$A$501,0)),0))</f>
        <v/>
      </c>
      <c r="H697" s="33">
        <f>IF(A697="","",MONTH(A697))</f>
        <v/>
      </c>
      <c r="I697" s="33">
        <f>IF(A697="","",YEAR(A697))</f>
        <v/>
      </c>
    </row>
    <row r="698" ht="15" customHeight="1" s="21">
      <c r="A698" s="34" t="n"/>
      <c r="B698" s="30" t="n"/>
      <c r="C698" s="30" t="n"/>
      <c r="D698" s="30" t="n"/>
      <c r="E698" s="33">
        <f>IF(B698="","",IFERROR(INDEX(Productos!$B$2:$B$501,MATCH(B698,Productos!$A$2:$A$501,0)),"¿Código?"))</f>
        <v/>
      </c>
      <c r="F698" s="32">
        <f>IF(C698&lt;&gt;"Venta","",D698*IFERROR(INDEX(Productos!$D$2:$D$501,MATCH(B698,Productos!$A$2:$A$501,0)),0))</f>
        <v/>
      </c>
      <c r="G698" s="32">
        <f>IF(C698&lt;&gt;"Venta","",D698*IFERROR(INDEX(Productos!$E$2:$E$501,MATCH(B698,Productos!$A$2:$A$501,0)),0))</f>
        <v/>
      </c>
      <c r="H698" s="33">
        <f>IF(A698="","",MONTH(A698))</f>
        <v/>
      </c>
      <c r="I698" s="33">
        <f>IF(A698="","",YEAR(A698))</f>
        <v/>
      </c>
    </row>
    <row r="699" ht="15" customHeight="1" s="21">
      <c r="A699" s="34" t="n"/>
      <c r="B699" s="30" t="n"/>
      <c r="C699" s="30" t="n"/>
      <c r="D699" s="30" t="n"/>
      <c r="E699" s="33">
        <f>IF(B699="","",IFERROR(INDEX(Productos!$B$2:$B$501,MATCH(B699,Productos!$A$2:$A$501,0)),"¿Código?"))</f>
        <v/>
      </c>
      <c r="F699" s="32">
        <f>IF(C699&lt;&gt;"Venta","",D699*IFERROR(INDEX(Productos!$D$2:$D$501,MATCH(B699,Productos!$A$2:$A$501,0)),0))</f>
        <v/>
      </c>
      <c r="G699" s="32">
        <f>IF(C699&lt;&gt;"Venta","",D699*IFERROR(INDEX(Productos!$E$2:$E$501,MATCH(B699,Productos!$A$2:$A$501,0)),0))</f>
        <v/>
      </c>
      <c r="H699" s="33">
        <f>IF(A699="","",MONTH(A699))</f>
        <v/>
      </c>
      <c r="I699" s="33">
        <f>IF(A699="","",YEAR(A699))</f>
        <v/>
      </c>
    </row>
    <row r="700" ht="15" customHeight="1" s="21">
      <c r="A700" s="34" t="n"/>
      <c r="B700" s="30" t="n"/>
      <c r="C700" s="30" t="n"/>
      <c r="D700" s="30" t="n"/>
      <c r="E700" s="33">
        <f>IF(B700="","",IFERROR(INDEX(Productos!$B$2:$B$501,MATCH(B700,Productos!$A$2:$A$501,0)),"¿Código?"))</f>
        <v/>
      </c>
      <c r="F700" s="32">
        <f>IF(C700&lt;&gt;"Venta","",D700*IFERROR(INDEX(Productos!$D$2:$D$501,MATCH(B700,Productos!$A$2:$A$501,0)),0))</f>
        <v/>
      </c>
      <c r="G700" s="32">
        <f>IF(C700&lt;&gt;"Venta","",D700*IFERROR(INDEX(Productos!$E$2:$E$501,MATCH(B700,Productos!$A$2:$A$501,0)),0))</f>
        <v/>
      </c>
      <c r="H700" s="33">
        <f>IF(A700="","",MONTH(A700))</f>
        <v/>
      </c>
      <c r="I700" s="33">
        <f>IF(A700="","",YEAR(A700))</f>
        <v/>
      </c>
    </row>
    <row r="701" ht="15" customHeight="1" s="21">
      <c r="A701" s="34" t="n"/>
      <c r="B701" s="30" t="n"/>
      <c r="C701" s="30" t="n"/>
      <c r="D701" s="30" t="n"/>
      <c r="E701" s="33">
        <f>IF(B701="","",IFERROR(INDEX(Productos!$B$2:$B$501,MATCH(B701,Productos!$A$2:$A$501,0)),"¿Código?"))</f>
        <v/>
      </c>
      <c r="F701" s="32">
        <f>IF(C701&lt;&gt;"Venta","",D701*IFERROR(INDEX(Productos!$D$2:$D$501,MATCH(B701,Productos!$A$2:$A$501,0)),0))</f>
        <v/>
      </c>
      <c r="G701" s="32">
        <f>IF(C701&lt;&gt;"Venta","",D701*IFERROR(INDEX(Productos!$E$2:$E$501,MATCH(B701,Productos!$A$2:$A$501,0)),0))</f>
        <v/>
      </c>
      <c r="H701" s="33">
        <f>IF(A701="","",MONTH(A701))</f>
        <v/>
      </c>
      <c r="I701" s="33">
        <f>IF(A701="","",YEAR(A701))</f>
        <v/>
      </c>
    </row>
    <row r="702" ht="15" customHeight="1" s="21">
      <c r="A702" s="34" t="n"/>
      <c r="B702" s="30" t="n"/>
      <c r="C702" s="30" t="n"/>
      <c r="D702" s="30" t="n"/>
      <c r="E702" s="33">
        <f>IF(B702="","",IFERROR(INDEX(Productos!$B$2:$B$501,MATCH(B702,Productos!$A$2:$A$501,0)),"¿Código?"))</f>
        <v/>
      </c>
      <c r="F702" s="32">
        <f>IF(C702&lt;&gt;"Venta","",D702*IFERROR(INDEX(Productos!$D$2:$D$501,MATCH(B702,Productos!$A$2:$A$501,0)),0))</f>
        <v/>
      </c>
      <c r="G702" s="32">
        <f>IF(C702&lt;&gt;"Venta","",D702*IFERROR(INDEX(Productos!$E$2:$E$501,MATCH(B702,Productos!$A$2:$A$501,0)),0))</f>
        <v/>
      </c>
      <c r="H702" s="33">
        <f>IF(A702="","",MONTH(A702))</f>
        <v/>
      </c>
      <c r="I702" s="33">
        <f>IF(A702="","",YEAR(A702))</f>
        <v/>
      </c>
    </row>
    <row r="703" ht="15" customHeight="1" s="21">
      <c r="A703" s="34" t="n"/>
      <c r="B703" s="30" t="n"/>
      <c r="C703" s="30" t="n"/>
      <c r="D703" s="30" t="n"/>
      <c r="E703" s="33">
        <f>IF(B703="","",IFERROR(INDEX(Productos!$B$2:$B$501,MATCH(B703,Productos!$A$2:$A$501,0)),"¿Código?"))</f>
        <v/>
      </c>
      <c r="F703" s="32">
        <f>IF(C703&lt;&gt;"Venta","",D703*IFERROR(INDEX(Productos!$D$2:$D$501,MATCH(B703,Productos!$A$2:$A$501,0)),0))</f>
        <v/>
      </c>
      <c r="G703" s="32">
        <f>IF(C703&lt;&gt;"Venta","",D703*IFERROR(INDEX(Productos!$E$2:$E$501,MATCH(B703,Productos!$A$2:$A$501,0)),0))</f>
        <v/>
      </c>
      <c r="H703" s="33">
        <f>IF(A703="","",MONTH(A703))</f>
        <v/>
      </c>
      <c r="I703" s="33">
        <f>IF(A703="","",YEAR(A703))</f>
        <v/>
      </c>
    </row>
    <row r="704" ht="15" customHeight="1" s="21">
      <c r="A704" s="34" t="n"/>
      <c r="B704" s="30" t="n"/>
      <c r="C704" s="30" t="n"/>
      <c r="D704" s="30" t="n"/>
      <c r="E704" s="33">
        <f>IF(B704="","",IFERROR(INDEX(Productos!$B$2:$B$501,MATCH(B704,Productos!$A$2:$A$501,0)),"¿Código?"))</f>
        <v/>
      </c>
      <c r="F704" s="32">
        <f>IF(C704&lt;&gt;"Venta","",D704*IFERROR(INDEX(Productos!$D$2:$D$501,MATCH(B704,Productos!$A$2:$A$501,0)),0))</f>
        <v/>
      </c>
      <c r="G704" s="32">
        <f>IF(C704&lt;&gt;"Venta","",D704*IFERROR(INDEX(Productos!$E$2:$E$501,MATCH(B704,Productos!$A$2:$A$501,0)),0))</f>
        <v/>
      </c>
      <c r="H704" s="33">
        <f>IF(A704="","",MONTH(A704))</f>
        <v/>
      </c>
      <c r="I704" s="33">
        <f>IF(A704="","",YEAR(A704))</f>
        <v/>
      </c>
    </row>
    <row r="705" ht="15" customHeight="1" s="21">
      <c r="A705" s="34" t="n"/>
      <c r="B705" s="30" t="n"/>
      <c r="C705" s="30" t="n"/>
      <c r="D705" s="30" t="n"/>
      <c r="E705" s="33">
        <f>IF(B705="","",IFERROR(INDEX(Productos!$B$2:$B$501,MATCH(B705,Productos!$A$2:$A$501,0)),"¿Código?"))</f>
        <v/>
      </c>
      <c r="F705" s="32">
        <f>IF(C705&lt;&gt;"Venta","",D705*IFERROR(INDEX(Productos!$D$2:$D$501,MATCH(B705,Productos!$A$2:$A$501,0)),0))</f>
        <v/>
      </c>
      <c r="G705" s="32">
        <f>IF(C705&lt;&gt;"Venta","",D705*IFERROR(INDEX(Productos!$E$2:$E$501,MATCH(B705,Productos!$A$2:$A$501,0)),0))</f>
        <v/>
      </c>
      <c r="H705" s="33">
        <f>IF(A705="","",MONTH(A705))</f>
        <v/>
      </c>
      <c r="I705" s="33">
        <f>IF(A705="","",YEAR(A705))</f>
        <v/>
      </c>
    </row>
    <row r="706" ht="15" customHeight="1" s="21">
      <c r="A706" s="34" t="n"/>
      <c r="B706" s="30" t="n"/>
      <c r="C706" s="30" t="n"/>
      <c r="D706" s="30" t="n"/>
      <c r="E706" s="33">
        <f>IF(B706="","",IFERROR(INDEX(Productos!$B$2:$B$501,MATCH(B706,Productos!$A$2:$A$501,0)),"¿Código?"))</f>
        <v/>
      </c>
      <c r="F706" s="32">
        <f>IF(C706&lt;&gt;"Venta","",D706*IFERROR(INDEX(Productos!$D$2:$D$501,MATCH(B706,Productos!$A$2:$A$501,0)),0))</f>
        <v/>
      </c>
      <c r="G706" s="32">
        <f>IF(C706&lt;&gt;"Venta","",D706*IFERROR(INDEX(Productos!$E$2:$E$501,MATCH(B706,Productos!$A$2:$A$501,0)),0))</f>
        <v/>
      </c>
      <c r="H706" s="33">
        <f>IF(A706="","",MONTH(A706))</f>
        <v/>
      </c>
      <c r="I706" s="33">
        <f>IF(A706="","",YEAR(A706))</f>
        <v/>
      </c>
    </row>
    <row r="707" ht="15" customHeight="1" s="21">
      <c r="A707" s="34" t="n"/>
      <c r="B707" s="30" t="n"/>
      <c r="C707" s="30" t="n"/>
      <c r="D707" s="30" t="n"/>
      <c r="E707" s="33">
        <f>IF(B707="","",IFERROR(INDEX(Productos!$B$2:$B$501,MATCH(B707,Productos!$A$2:$A$501,0)),"¿Código?"))</f>
        <v/>
      </c>
      <c r="F707" s="32">
        <f>IF(C707&lt;&gt;"Venta","",D707*IFERROR(INDEX(Productos!$D$2:$D$501,MATCH(B707,Productos!$A$2:$A$501,0)),0))</f>
        <v/>
      </c>
      <c r="G707" s="32">
        <f>IF(C707&lt;&gt;"Venta","",D707*IFERROR(INDEX(Productos!$E$2:$E$501,MATCH(B707,Productos!$A$2:$A$501,0)),0))</f>
        <v/>
      </c>
      <c r="H707" s="33">
        <f>IF(A707="","",MONTH(A707))</f>
        <v/>
      </c>
      <c r="I707" s="33">
        <f>IF(A707="","",YEAR(A707))</f>
        <v/>
      </c>
    </row>
    <row r="708" ht="15" customHeight="1" s="21">
      <c r="A708" s="34" t="n"/>
      <c r="B708" s="30" t="n"/>
      <c r="C708" s="30" t="n"/>
      <c r="D708" s="30" t="n"/>
      <c r="E708" s="33">
        <f>IF(B708="","",IFERROR(INDEX(Productos!$B$2:$B$501,MATCH(B708,Productos!$A$2:$A$501,0)),"¿Código?"))</f>
        <v/>
      </c>
      <c r="F708" s="32">
        <f>IF(C708&lt;&gt;"Venta","",D708*IFERROR(INDEX(Productos!$D$2:$D$501,MATCH(B708,Productos!$A$2:$A$501,0)),0))</f>
        <v/>
      </c>
      <c r="G708" s="32">
        <f>IF(C708&lt;&gt;"Venta","",D708*IFERROR(INDEX(Productos!$E$2:$E$501,MATCH(B708,Productos!$A$2:$A$501,0)),0))</f>
        <v/>
      </c>
      <c r="H708" s="33">
        <f>IF(A708="","",MONTH(A708))</f>
        <v/>
      </c>
      <c r="I708" s="33">
        <f>IF(A708="","",YEAR(A708))</f>
        <v/>
      </c>
    </row>
    <row r="709" ht="15" customHeight="1" s="21">
      <c r="A709" s="34" t="n"/>
      <c r="B709" s="30" t="n"/>
      <c r="C709" s="30" t="n"/>
      <c r="D709" s="30" t="n"/>
      <c r="E709" s="33">
        <f>IF(B709="","",IFERROR(INDEX(Productos!$B$2:$B$501,MATCH(B709,Productos!$A$2:$A$501,0)),"¿Código?"))</f>
        <v/>
      </c>
      <c r="F709" s="32">
        <f>IF(C709&lt;&gt;"Venta","",D709*IFERROR(INDEX(Productos!$D$2:$D$501,MATCH(B709,Productos!$A$2:$A$501,0)),0))</f>
        <v/>
      </c>
      <c r="G709" s="32">
        <f>IF(C709&lt;&gt;"Venta","",D709*IFERROR(INDEX(Productos!$E$2:$E$501,MATCH(B709,Productos!$A$2:$A$501,0)),0))</f>
        <v/>
      </c>
      <c r="H709" s="33">
        <f>IF(A709="","",MONTH(A709))</f>
        <v/>
      </c>
      <c r="I709" s="33">
        <f>IF(A709="","",YEAR(A709))</f>
        <v/>
      </c>
    </row>
    <row r="710" ht="15" customHeight="1" s="21">
      <c r="A710" s="34" t="n"/>
      <c r="B710" s="30" t="n"/>
      <c r="C710" s="30" t="n"/>
      <c r="D710" s="30" t="n"/>
      <c r="E710" s="33">
        <f>IF(B710="","",IFERROR(INDEX(Productos!$B$2:$B$501,MATCH(B710,Productos!$A$2:$A$501,0)),"¿Código?"))</f>
        <v/>
      </c>
      <c r="F710" s="32">
        <f>IF(C710&lt;&gt;"Venta","",D710*IFERROR(INDEX(Productos!$D$2:$D$501,MATCH(B710,Productos!$A$2:$A$501,0)),0))</f>
        <v/>
      </c>
      <c r="G710" s="32">
        <f>IF(C710&lt;&gt;"Venta","",D710*IFERROR(INDEX(Productos!$E$2:$E$501,MATCH(B710,Productos!$A$2:$A$501,0)),0))</f>
        <v/>
      </c>
      <c r="H710" s="33">
        <f>IF(A710="","",MONTH(A710))</f>
        <v/>
      </c>
      <c r="I710" s="33">
        <f>IF(A710="","",YEAR(A710))</f>
        <v/>
      </c>
    </row>
    <row r="711" ht="15" customHeight="1" s="21">
      <c r="A711" s="34" t="n"/>
      <c r="B711" s="30" t="n"/>
      <c r="C711" s="30" t="n"/>
      <c r="D711" s="30" t="n"/>
      <c r="E711" s="33">
        <f>IF(B711="","",IFERROR(INDEX(Productos!$B$2:$B$501,MATCH(B711,Productos!$A$2:$A$501,0)),"¿Código?"))</f>
        <v/>
      </c>
      <c r="F711" s="32">
        <f>IF(C711&lt;&gt;"Venta","",D711*IFERROR(INDEX(Productos!$D$2:$D$501,MATCH(B711,Productos!$A$2:$A$501,0)),0))</f>
        <v/>
      </c>
      <c r="G711" s="32">
        <f>IF(C711&lt;&gt;"Venta","",D711*IFERROR(INDEX(Productos!$E$2:$E$501,MATCH(B711,Productos!$A$2:$A$501,0)),0))</f>
        <v/>
      </c>
      <c r="H711" s="33">
        <f>IF(A711="","",MONTH(A711))</f>
        <v/>
      </c>
      <c r="I711" s="33">
        <f>IF(A711="","",YEAR(A711))</f>
        <v/>
      </c>
    </row>
    <row r="712" ht="15" customHeight="1" s="21">
      <c r="A712" s="34" t="n"/>
      <c r="B712" s="30" t="n"/>
      <c r="C712" s="30" t="n"/>
      <c r="D712" s="30" t="n"/>
      <c r="E712" s="33">
        <f>IF(B712="","",IFERROR(INDEX(Productos!$B$2:$B$501,MATCH(B712,Productos!$A$2:$A$501,0)),"¿Código?"))</f>
        <v/>
      </c>
      <c r="F712" s="32">
        <f>IF(C712&lt;&gt;"Venta","",D712*IFERROR(INDEX(Productos!$D$2:$D$501,MATCH(B712,Productos!$A$2:$A$501,0)),0))</f>
        <v/>
      </c>
      <c r="G712" s="32">
        <f>IF(C712&lt;&gt;"Venta","",D712*IFERROR(INDEX(Productos!$E$2:$E$501,MATCH(B712,Productos!$A$2:$A$501,0)),0))</f>
        <v/>
      </c>
      <c r="H712" s="33">
        <f>IF(A712="","",MONTH(A712))</f>
        <v/>
      </c>
      <c r="I712" s="33">
        <f>IF(A712="","",YEAR(A712))</f>
        <v/>
      </c>
    </row>
    <row r="713" ht="15" customHeight="1" s="21">
      <c r="A713" s="34" t="n"/>
      <c r="B713" s="30" t="n"/>
      <c r="C713" s="30" t="n"/>
      <c r="D713" s="30" t="n"/>
      <c r="E713" s="33">
        <f>IF(B713="","",IFERROR(INDEX(Productos!$B$2:$B$501,MATCH(B713,Productos!$A$2:$A$501,0)),"¿Código?"))</f>
        <v/>
      </c>
      <c r="F713" s="32">
        <f>IF(C713&lt;&gt;"Venta","",D713*IFERROR(INDEX(Productos!$D$2:$D$501,MATCH(B713,Productos!$A$2:$A$501,0)),0))</f>
        <v/>
      </c>
      <c r="G713" s="32">
        <f>IF(C713&lt;&gt;"Venta","",D713*IFERROR(INDEX(Productos!$E$2:$E$501,MATCH(B713,Productos!$A$2:$A$501,0)),0))</f>
        <v/>
      </c>
      <c r="H713" s="33">
        <f>IF(A713="","",MONTH(A713))</f>
        <v/>
      </c>
      <c r="I713" s="33">
        <f>IF(A713="","",YEAR(A713))</f>
        <v/>
      </c>
    </row>
    <row r="714" ht="15" customHeight="1" s="21">
      <c r="A714" s="34" t="n"/>
      <c r="B714" s="30" t="n"/>
      <c r="C714" s="30" t="n"/>
      <c r="D714" s="30" t="n"/>
      <c r="E714" s="33">
        <f>IF(B714="","",IFERROR(INDEX(Productos!$B$2:$B$501,MATCH(B714,Productos!$A$2:$A$501,0)),"¿Código?"))</f>
        <v/>
      </c>
      <c r="F714" s="32">
        <f>IF(C714&lt;&gt;"Venta","",D714*IFERROR(INDEX(Productos!$D$2:$D$501,MATCH(B714,Productos!$A$2:$A$501,0)),0))</f>
        <v/>
      </c>
      <c r="G714" s="32">
        <f>IF(C714&lt;&gt;"Venta","",D714*IFERROR(INDEX(Productos!$E$2:$E$501,MATCH(B714,Productos!$A$2:$A$501,0)),0))</f>
        <v/>
      </c>
      <c r="H714" s="33">
        <f>IF(A714="","",MONTH(A714))</f>
        <v/>
      </c>
      <c r="I714" s="33">
        <f>IF(A714="","",YEAR(A714))</f>
        <v/>
      </c>
    </row>
    <row r="715" ht="15" customHeight="1" s="21">
      <c r="A715" s="34" t="n"/>
      <c r="B715" s="30" t="n"/>
      <c r="C715" s="30" t="n"/>
      <c r="D715" s="30" t="n"/>
      <c r="E715" s="33">
        <f>IF(B715="","",IFERROR(INDEX(Productos!$B$2:$B$501,MATCH(B715,Productos!$A$2:$A$501,0)),"¿Código?"))</f>
        <v/>
      </c>
      <c r="F715" s="32">
        <f>IF(C715&lt;&gt;"Venta","",D715*IFERROR(INDEX(Productos!$D$2:$D$501,MATCH(B715,Productos!$A$2:$A$501,0)),0))</f>
        <v/>
      </c>
      <c r="G715" s="32">
        <f>IF(C715&lt;&gt;"Venta","",D715*IFERROR(INDEX(Productos!$E$2:$E$501,MATCH(B715,Productos!$A$2:$A$501,0)),0))</f>
        <v/>
      </c>
      <c r="H715" s="33">
        <f>IF(A715="","",MONTH(A715))</f>
        <v/>
      </c>
      <c r="I715" s="33">
        <f>IF(A715="","",YEAR(A715))</f>
        <v/>
      </c>
    </row>
    <row r="716" ht="15" customHeight="1" s="21">
      <c r="A716" s="34" t="n"/>
      <c r="B716" s="30" t="n"/>
      <c r="C716" s="30" t="n"/>
      <c r="D716" s="30" t="n"/>
      <c r="E716" s="33">
        <f>IF(B716="","",IFERROR(INDEX(Productos!$B$2:$B$501,MATCH(B716,Productos!$A$2:$A$501,0)),"¿Código?"))</f>
        <v/>
      </c>
      <c r="F716" s="32">
        <f>IF(C716&lt;&gt;"Venta","",D716*IFERROR(INDEX(Productos!$D$2:$D$501,MATCH(B716,Productos!$A$2:$A$501,0)),0))</f>
        <v/>
      </c>
      <c r="G716" s="32">
        <f>IF(C716&lt;&gt;"Venta","",D716*IFERROR(INDEX(Productos!$E$2:$E$501,MATCH(B716,Productos!$A$2:$A$501,0)),0))</f>
        <v/>
      </c>
      <c r="H716" s="33">
        <f>IF(A716="","",MONTH(A716))</f>
        <v/>
      </c>
      <c r="I716" s="33">
        <f>IF(A716="","",YEAR(A716))</f>
        <v/>
      </c>
    </row>
    <row r="717" ht="15" customHeight="1" s="21">
      <c r="A717" s="34" t="n"/>
      <c r="B717" s="30" t="n"/>
      <c r="C717" s="30" t="n"/>
      <c r="D717" s="30" t="n"/>
      <c r="E717" s="33">
        <f>IF(B717="","",IFERROR(INDEX(Productos!$B$2:$B$501,MATCH(B717,Productos!$A$2:$A$501,0)),"¿Código?"))</f>
        <v/>
      </c>
      <c r="F717" s="32">
        <f>IF(C717&lt;&gt;"Venta","",D717*IFERROR(INDEX(Productos!$D$2:$D$501,MATCH(B717,Productos!$A$2:$A$501,0)),0))</f>
        <v/>
      </c>
      <c r="G717" s="32">
        <f>IF(C717&lt;&gt;"Venta","",D717*IFERROR(INDEX(Productos!$E$2:$E$501,MATCH(B717,Productos!$A$2:$A$501,0)),0))</f>
        <v/>
      </c>
      <c r="H717" s="33">
        <f>IF(A717="","",MONTH(A717))</f>
        <v/>
      </c>
      <c r="I717" s="33">
        <f>IF(A717="","",YEAR(A717))</f>
        <v/>
      </c>
    </row>
    <row r="718" ht="15" customHeight="1" s="21">
      <c r="A718" s="34" t="n"/>
      <c r="B718" s="30" t="n"/>
      <c r="C718" s="30" t="n"/>
      <c r="D718" s="30" t="n"/>
      <c r="E718" s="33">
        <f>IF(B718="","",IFERROR(INDEX(Productos!$B$2:$B$501,MATCH(B718,Productos!$A$2:$A$501,0)),"¿Código?"))</f>
        <v/>
      </c>
      <c r="F718" s="32">
        <f>IF(C718&lt;&gt;"Venta","",D718*IFERROR(INDEX(Productos!$D$2:$D$501,MATCH(B718,Productos!$A$2:$A$501,0)),0))</f>
        <v/>
      </c>
      <c r="G718" s="32">
        <f>IF(C718&lt;&gt;"Venta","",D718*IFERROR(INDEX(Productos!$E$2:$E$501,MATCH(B718,Productos!$A$2:$A$501,0)),0))</f>
        <v/>
      </c>
      <c r="H718" s="33">
        <f>IF(A718="","",MONTH(A718))</f>
        <v/>
      </c>
      <c r="I718" s="33">
        <f>IF(A718="","",YEAR(A718))</f>
        <v/>
      </c>
    </row>
    <row r="719" ht="15" customHeight="1" s="21">
      <c r="A719" s="34" t="n"/>
      <c r="B719" s="30" t="n"/>
      <c r="C719" s="30" t="n"/>
      <c r="D719" s="30" t="n"/>
      <c r="E719" s="33">
        <f>IF(B719="","",IFERROR(INDEX(Productos!$B$2:$B$501,MATCH(B719,Productos!$A$2:$A$501,0)),"¿Código?"))</f>
        <v/>
      </c>
      <c r="F719" s="32">
        <f>IF(C719&lt;&gt;"Venta","",D719*IFERROR(INDEX(Productos!$D$2:$D$501,MATCH(B719,Productos!$A$2:$A$501,0)),0))</f>
        <v/>
      </c>
      <c r="G719" s="32">
        <f>IF(C719&lt;&gt;"Venta","",D719*IFERROR(INDEX(Productos!$E$2:$E$501,MATCH(B719,Productos!$A$2:$A$501,0)),0))</f>
        <v/>
      </c>
      <c r="H719" s="33">
        <f>IF(A719="","",MONTH(A719))</f>
        <v/>
      </c>
      <c r="I719" s="33">
        <f>IF(A719="","",YEAR(A719))</f>
        <v/>
      </c>
    </row>
    <row r="720" ht="15" customHeight="1" s="21">
      <c r="A720" s="34" t="n"/>
      <c r="B720" s="30" t="n"/>
      <c r="C720" s="30" t="n"/>
      <c r="D720" s="30" t="n"/>
      <c r="E720" s="33">
        <f>IF(B720="","",IFERROR(INDEX(Productos!$B$2:$B$501,MATCH(B720,Productos!$A$2:$A$501,0)),"¿Código?"))</f>
        <v/>
      </c>
      <c r="F720" s="32">
        <f>IF(C720&lt;&gt;"Venta","",D720*IFERROR(INDEX(Productos!$D$2:$D$501,MATCH(B720,Productos!$A$2:$A$501,0)),0))</f>
        <v/>
      </c>
      <c r="G720" s="32">
        <f>IF(C720&lt;&gt;"Venta","",D720*IFERROR(INDEX(Productos!$E$2:$E$501,MATCH(B720,Productos!$A$2:$A$501,0)),0))</f>
        <v/>
      </c>
      <c r="H720" s="33">
        <f>IF(A720="","",MONTH(A720))</f>
        <v/>
      </c>
      <c r="I720" s="33">
        <f>IF(A720="","",YEAR(A720))</f>
        <v/>
      </c>
    </row>
    <row r="721" ht="15" customHeight="1" s="21">
      <c r="A721" s="34" t="n"/>
      <c r="B721" s="30" t="n"/>
      <c r="C721" s="30" t="n"/>
      <c r="D721" s="30" t="n"/>
      <c r="E721" s="33">
        <f>IF(B721="","",IFERROR(INDEX(Productos!$B$2:$B$501,MATCH(B721,Productos!$A$2:$A$501,0)),"¿Código?"))</f>
        <v/>
      </c>
      <c r="F721" s="32">
        <f>IF(C721&lt;&gt;"Venta","",D721*IFERROR(INDEX(Productos!$D$2:$D$501,MATCH(B721,Productos!$A$2:$A$501,0)),0))</f>
        <v/>
      </c>
      <c r="G721" s="32">
        <f>IF(C721&lt;&gt;"Venta","",D721*IFERROR(INDEX(Productos!$E$2:$E$501,MATCH(B721,Productos!$A$2:$A$501,0)),0))</f>
        <v/>
      </c>
      <c r="H721" s="33">
        <f>IF(A721="","",MONTH(A721))</f>
        <v/>
      </c>
      <c r="I721" s="33">
        <f>IF(A721="","",YEAR(A721))</f>
        <v/>
      </c>
    </row>
    <row r="722" ht="15" customHeight="1" s="21">
      <c r="A722" s="34" t="n"/>
      <c r="B722" s="30" t="n"/>
      <c r="C722" s="30" t="n"/>
      <c r="D722" s="30" t="n"/>
      <c r="E722" s="33">
        <f>IF(B722="","",IFERROR(INDEX(Productos!$B$2:$B$501,MATCH(B722,Productos!$A$2:$A$501,0)),"¿Código?"))</f>
        <v/>
      </c>
      <c r="F722" s="32">
        <f>IF(C722&lt;&gt;"Venta","",D722*IFERROR(INDEX(Productos!$D$2:$D$501,MATCH(B722,Productos!$A$2:$A$501,0)),0))</f>
        <v/>
      </c>
      <c r="G722" s="32">
        <f>IF(C722&lt;&gt;"Venta","",D722*IFERROR(INDEX(Productos!$E$2:$E$501,MATCH(B722,Productos!$A$2:$A$501,0)),0))</f>
        <v/>
      </c>
      <c r="H722" s="33">
        <f>IF(A722="","",MONTH(A722))</f>
        <v/>
      </c>
      <c r="I722" s="33">
        <f>IF(A722="","",YEAR(A722))</f>
        <v/>
      </c>
    </row>
    <row r="723" ht="15" customHeight="1" s="21">
      <c r="A723" s="34" t="n"/>
      <c r="B723" s="30" t="n"/>
      <c r="C723" s="30" t="n"/>
      <c r="D723" s="30" t="n"/>
      <c r="E723" s="33">
        <f>IF(B723="","",IFERROR(INDEX(Productos!$B$2:$B$501,MATCH(B723,Productos!$A$2:$A$501,0)),"¿Código?"))</f>
        <v/>
      </c>
      <c r="F723" s="32">
        <f>IF(C723&lt;&gt;"Venta","",D723*IFERROR(INDEX(Productos!$D$2:$D$501,MATCH(B723,Productos!$A$2:$A$501,0)),0))</f>
        <v/>
      </c>
      <c r="G723" s="32">
        <f>IF(C723&lt;&gt;"Venta","",D723*IFERROR(INDEX(Productos!$E$2:$E$501,MATCH(B723,Productos!$A$2:$A$501,0)),0))</f>
        <v/>
      </c>
      <c r="H723" s="33">
        <f>IF(A723="","",MONTH(A723))</f>
        <v/>
      </c>
      <c r="I723" s="33">
        <f>IF(A723="","",YEAR(A723))</f>
        <v/>
      </c>
    </row>
    <row r="724" ht="15" customHeight="1" s="21">
      <c r="A724" s="34" t="n"/>
      <c r="B724" s="30" t="n"/>
      <c r="C724" s="30" t="n"/>
      <c r="D724" s="30" t="n"/>
      <c r="E724" s="33">
        <f>IF(B724="","",IFERROR(INDEX(Productos!$B$2:$B$501,MATCH(B724,Productos!$A$2:$A$501,0)),"¿Código?"))</f>
        <v/>
      </c>
      <c r="F724" s="32">
        <f>IF(C724&lt;&gt;"Venta","",D724*IFERROR(INDEX(Productos!$D$2:$D$501,MATCH(B724,Productos!$A$2:$A$501,0)),0))</f>
        <v/>
      </c>
      <c r="G724" s="32">
        <f>IF(C724&lt;&gt;"Venta","",D724*IFERROR(INDEX(Productos!$E$2:$E$501,MATCH(B724,Productos!$A$2:$A$501,0)),0))</f>
        <v/>
      </c>
      <c r="H724" s="33">
        <f>IF(A724="","",MONTH(A724))</f>
        <v/>
      </c>
      <c r="I724" s="33">
        <f>IF(A724="","",YEAR(A724))</f>
        <v/>
      </c>
    </row>
    <row r="725" ht="15" customHeight="1" s="21">
      <c r="A725" s="34" t="n"/>
      <c r="B725" s="30" t="n"/>
      <c r="C725" s="30" t="n"/>
      <c r="D725" s="30" t="n"/>
      <c r="E725" s="33">
        <f>IF(B725="","",IFERROR(INDEX(Productos!$B$2:$B$501,MATCH(B725,Productos!$A$2:$A$501,0)),"¿Código?"))</f>
        <v/>
      </c>
      <c r="F725" s="32">
        <f>IF(C725&lt;&gt;"Venta","",D725*IFERROR(INDEX(Productos!$D$2:$D$501,MATCH(B725,Productos!$A$2:$A$501,0)),0))</f>
        <v/>
      </c>
      <c r="G725" s="32">
        <f>IF(C725&lt;&gt;"Venta","",D725*IFERROR(INDEX(Productos!$E$2:$E$501,MATCH(B725,Productos!$A$2:$A$501,0)),0))</f>
        <v/>
      </c>
      <c r="H725" s="33">
        <f>IF(A725="","",MONTH(A725))</f>
        <v/>
      </c>
      <c r="I725" s="33">
        <f>IF(A725="","",YEAR(A725))</f>
        <v/>
      </c>
    </row>
    <row r="726" ht="15" customHeight="1" s="21">
      <c r="A726" s="34" t="n"/>
      <c r="B726" s="30" t="n"/>
      <c r="C726" s="30" t="n"/>
      <c r="D726" s="30" t="n"/>
      <c r="E726" s="33">
        <f>IF(B726="","",IFERROR(INDEX(Productos!$B$2:$B$501,MATCH(B726,Productos!$A$2:$A$501,0)),"¿Código?"))</f>
        <v/>
      </c>
      <c r="F726" s="32">
        <f>IF(C726&lt;&gt;"Venta","",D726*IFERROR(INDEX(Productos!$D$2:$D$501,MATCH(B726,Productos!$A$2:$A$501,0)),0))</f>
        <v/>
      </c>
      <c r="G726" s="32">
        <f>IF(C726&lt;&gt;"Venta","",D726*IFERROR(INDEX(Productos!$E$2:$E$501,MATCH(B726,Productos!$A$2:$A$501,0)),0))</f>
        <v/>
      </c>
      <c r="H726" s="33">
        <f>IF(A726="","",MONTH(A726))</f>
        <v/>
      </c>
      <c r="I726" s="33">
        <f>IF(A726="","",YEAR(A726))</f>
        <v/>
      </c>
    </row>
    <row r="727" ht="15" customHeight="1" s="21">
      <c r="A727" s="34" t="n"/>
      <c r="B727" s="30" t="n"/>
      <c r="C727" s="30" t="n"/>
      <c r="D727" s="30" t="n"/>
      <c r="E727" s="33">
        <f>IF(B727="","",IFERROR(INDEX(Productos!$B$2:$B$501,MATCH(B727,Productos!$A$2:$A$501,0)),"¿Código?"))</f>
        <v/>
      </c>
      <c r="F727" s="32">
        <f>IF(C727&lt;&gt;"Venta","",D727*IFERROR(INDEX(Productos!$D$2:$D$501,MATCH(B727,Productos!$A$2:$A$501,0)),0))</f>
        <v/>
      </c>
      <c r="G727" s="32">
        <f>IF(C727&lt;&gt;"Venta","",D727*IFERROR(INDEX(Productos!$E$2:$E$501,MATCH(B727,Productos!$A$2:$A$501,0)),0))</f>
        <v/>
      </c>
      <c r="H727" s="33">
        <f>IF(A727="","",MONTH(A727))</f>
        <v/>
      </c>
      <c r="I727" s="33">
        <f>IF(A727="","",YEAR(A727))</f>
        <v/>
      </c>
    </row>
    <row r="728" ht="15" customHeight="1" s="21">
      <c r="A728" s="34" t="n"/>
      <c r="B728" s="30" t="n"/>
      <c r="C728" s="30" t="n"/>
      <c r="D728" s="30" t="n"/>
      <c r="E728" s="33">
        <f>IF(B728="","",IFERROR(INDEX(Productos!$B$2:$B$501,MATCH(B728,Productos!$A$2:$A$501,0)),"¿Código?"))</f>
        <v/>
      </c>
      <c r="F728" s="32">
        <f>IF(C728&lt;&gt;"Venta","",D728*IFERROR(INDEX(Productos!$D$2:$D$501,MATCH(B728,Productos!$A$2:$A$501,0)),0))</f>
        <v/>
      </c>
      <c r="G728" s="32">
        <f>IF(C728&lt;&gt;"Venta","",D728*IFERROR(INDEX(Productos!$E$2:$E$501,MATCH(B728,Productos!$A$2:$A$501,0)),0))</f>
        <v/>
      </c>
      <c r="H728" s="33">
        <f>IF(A728="","",MONTH(A728))</f>
        <v/>
      </c>
      <c r="I728" s="33">
        <f>IF(A728="","",YEAR(A728))</f>
        <v/>
      </c>
    </row>
    <row r="729" ht="15" customHeight="1" s="21">
      <c r="A729" s="34" t="n"/>
      <c r="B729" s="30" t="n"/>
      <c r="C729" s="30" t="n"/>
      <c r="D729" s="30" t="n"/>
      <c r="E729" s="33">
        <f>IF(B729="","",IFERROR(INDEX(Productos!$B$2:$B$501,MATCH(B729,Productos!$A$2:$A$501,0)),"¿Código?"))</f>
        <v/>
      </c>
      <c r="F729" s="32">
        <f>IF(C729&lt;&gt;"Venta","",D729*IFERROR(INDEX(Productos!$D$2:$D$501,MATCH(B729,Productos!$A$2:$A$501,0)),0))</f>
        <v/>
      </c>
      <c r="G729" s="32">
        <f>IF(C729&lt;&gt;"Venta","",D729*IFERROR(INDEX(Productos!$E$2:$E$501,MATCH(B729,Productos!$A$2:$A$501,0)),0))</f>
        <v/>
      </c>
      <c r="H729" s="33">
        <f>IF(A729="","",MONTH(A729))</f>
        <v/>
      </c>
      <c r="I729" s="33">
        <f>IF(A729="","",YEAR(A729))</f>
        <v/>
      </c>
    </row>
    <row r="730" ht="15" customHeight="1" s="21">
      <c r="A730" s="34" t="n"/>
      <c r="B730" s="30" t="n"/>
      <c r="C730" s="30" t="n"/>
      <c r="D730" s="30" t="n"/>
      <c r="E730" s="33">
        <f>IF(B730="","",IFERROR(INDEX(Productos!$B$2:$B$501,MATCH(B730,Productos!$A$2:$A$501,0)),"¿Código?"))</f>
        <v/>
      </c>
      <c r="F730" s="32">
        <f>IF(C730&lt;&gt;"Venta","",D730*IFERROR(INDEX(Productos!$D$2:$D$501,MATCH(B730,Productos!$A$2:$A$501,0)),0))</f>
        <v/>
      </c>
      <c r="G730" s="32">
        <f>IF(C730&lt;&gt;"Venta","",D730*IFERROR(INDEX(Productos!$E$2:$E$501,MATCH(B730,Productos!$A$2:$A$501,0)),0))</f>
        <v/>
      </c>
      <c r="H730" s="33">
        <f>IF(A730="","",MONTH(A730))</f>
        <v/>
      </c>
      <c r="I730" s="33">
        <f>IF(A730="","",YEAR(A730))</f>
        <v/>
      </c>
    </row>
    <row r="731" ht="15" customHeight="1" s="21">
      <c r="A731" s="34" t="n"/>
      <c r="B731" s="30" t="n"/>
      <c r="C731" s="30" t="n"/>
      <c r="D731" s="30" t="n"/>
      <c r="E731" s="33">
        <f>IF(B731="","",IFERROR(INDEX(Productos!$B$2:$B$501,MATCH(B731,Productos!$A$2:$A$501,0)),"¿Código?"))</f>
        <v/>
      </c>
      <c r="F731" s="32">
        <f>IF(C731&lt;&gt;"Venta","",D731*IFERROR(INDEX(Productos!$D$2:$D$501,MATCH(B731,Productos!$A$2:$A$501,0)),0))</f>
        <v/>
      </c>
      <c r="G731" s="32">
        <f>IF(C731&lt;&gt;"Venta","",D731*IFERROR(INDEX(Productos!$E$2:$E$501,MATCH(B731,Productos!$A$2:$A$501,0)),0))</f>
        <v/>
      </c>
      <c r="H731" s="33">
        <f>IF(A731="","",MONTH(A731))</f>
        <v/>
      </c>
      <c r="I731" s="33">
        <f>IF(A731="","",YEAR(A731))</f>
        <v/>
      </c>
    </row>
    <row r="732" ht="15" customHeight="1" s="21">
      <c r="A732" s="34" t="n"/>
      <c r="B732" s="30" t="n"/>
      <c r="C732" s="30" t="n"/>
      <c r="D732" s="30" t="n"/>
      <c r="E732" s="33">
        <f>IF(B732="","",IFERROR(INDEX(Productos!$B$2:$B$501,MATCH(B732,Productos!$A$2:$A$501,0)),"¿Código?"))</f>
        <v/>
      </c>
      <c r="F732" s="32">
        <f>IF(C732&lt;&gt;"Venta","",D732*IFERROR(INDEX(Productos!$D$2:$D$501,MATCH(B732,Productos!$A$2:$A$501,0)),0))</f>
        <v/>
      </c>
      <c r="G732" s="32">
        <f>IF(C732&lt;&gt;"Venta","",D732*IFERROR(INDEX(Productos!$E$2:$E$501,MATCH(B732,Productos!$A$2:$A$501,0)),0))</f>
        <v/>
      </c>
      <c r="H732" s="33">
        <f>IF(A732="","",MONTH(A732))</f>
        <v/>
      </c>
      <c r="I732" s="33">
        <f>IF(A732="","",YEAR(A732))</f>
        <v/>
      </c>
    </row>
    <row r="733" ht="15" customHeight="1" s="21">
      <c r="A733" s="34" t="n"/>
      <c r="B733" s="30" t="n"/>
      <c r="C733" s="30" t="n"/>
      <c r="D733" s="30" t="n"/>
      <c r="E733" s="33">
        <f>IF(B733="","",IFERROR(INDEX(Productos!$B$2:$B$501,MATCH(B733,Productos!$A$2:$A$501,0)),"¿Código?"))</f>
        <v/>
      </c>
      <c r="F733" s="32">
        <f>IF(C733&lt;&gt;"Venta","",D733*IFERROR(INDEX(Productos!$D$2:$D$501,MATCH(B733,Productos!$A$2:$A$501,0)),0))</f>
        <v/>
      </c>
      <c r="G733" s="32">
        <f>IF(C733&lt;&gt;"Venta","",D733*IFERROR(INDEX(Productos!$E$2:$E$501,MATCH(B733,Productos!$A$2:$A$501,0)),0))</f>
        <v/>
      </c>
      <c r="H733" s="33">
        <f>IF(A733="","",MONTH(A733))</f>
        <v/>
      </c>
      <c r="I733" s="33">
        <f>IF(A733="","",YEAR(A733))</f>
        <v/>
      </c>
    </row>
    <row r="734" ht="15" customHeight="1" s="21">
      <c r="A734" s="34" t="n"/>
      <c r="B734" s="30" t="n"/>
      <c r="C734" s="30" t="n"/>
      <c r="D734" s="30" t="n"/>
      <c r="E734" s="33">
        <f>IF(B734="","",IFERROR(INDEX(Productos!$B$2:$B$501,MATCH(B734,Productos!$A$2:$A$501,0)),"¿Código?"))</f>
        <v/>
      </c>
      <c r="F734" s="32">
        <f>IF(C734&lt;&gt;"Venta","",D734*IFERROR(INDEX(Productos!$D$2:$D$501,MATCH(B734,Productos!$A$2:$A$501,0)),0))</f>
        <v/>
      </c>
      <c r="G734" s="32">
        <f>IF(C734&lt;&gt;"Venta","",D734*IFERROR(INDEX(Productos!$E$2:$E$501,MATCH(B734,Productos!$A$2:$A$501,0)),0))</f>
        <v/>
      </c>
      <c r="H734" s="33">
        <f>IF(A734="","",MONTH(A734))</f>
        <v/>
      </c>
      <c r="I734" s="33">
        <f>IF(A734="","",YEAR(A734))</f>
        <v/>
      </c>
    </row>
    <row r="735" ht="15" customHeight="1" s="21">
      <c r="A735" s="34" t="n"/>
      <c r="B735" s="30" t="n"/>
      <c r="C735" s="30" t="n"/>
      <c r="D735" s="30" t="n"/>
      <c r="E735" s="33">
        <f>IF(B735="","",IFERROR(INDEX(Productos!$B$2:$B$501,MATCH(B735,Productos!$A$2:$A$501,0)),"¿Código?"))</f>
        <v/>
      </c>
      <c r="F735" s="32">
        <f>IF(C735&lt;&gt;"Venta","",D735*IFERROR(INDEX(Productos!$D$2:$D$501,MATCH(B735,Productos!$A$2:$A$501,0)),0))</f>
        <v/>
      </c>
      <c r="G735" s="32">
        <f>IF(C735&lt;&gt;"Venta","",D735*IFERROR(INDEX(Productos!$E$2:$E$501,MATCH(B735,Productos!$A$2:$A$501,0)),0))</f>
        <v/>
      </c>
      <c r="H735" s="33">
        <f>IF(A735="","",MONTH(A735))</f>
        <v/>
      </c>
      <c r="I735" s="33">
        <f>IF(A735="","",YEAR(A735))</f>
        <v/>
      </c>
    </row>
    <row r="736" ht="15" customHeight="1" s="21">
      <c r="A736" s="34" t="n"/>
      <c r="B736" s="30" t="n"/>
      <c r="C736" s="30" t="n"/>
      <c r="D736" s="30" t="n"/>
      <c r="E736" s="33">
        <f>IF(B736="","",IFERROR(INDEX(Productos!$B$2:$B$501,MATCH(B736,Productos!$A$2:$A$501,0)),"¿Código?"))</f>
        <v/>
      </c>
      <c r="F736" s="32">
        <f>IF(C736&lt;&gt;"Venta","",D736*IFERROR(INDEX(Productos!$D$2:$D$501,MATCH(B736,Productos!$A$2:$A$501,0)),0))</f>
        <v/>
      </c>
      <c r="G736" s="32">
        <f>IF(C736&lt;&gt;"Venta","",D736*IFERROR(INDEX(Productos!$E$2:$E$501,MATCH(B736,Productos!$A$2:$A$501,0)),0))</f>
        <v/>
      </c>
      <c r="H736" s="33">
        <f>IF(A736="","",MONTH(A736))</f>
        <v/>
      </c>
      <c r="I736" s="33">
        <f>IF(A736="","",YEAR(A736))</f>
        <v/>
      </c>
    </row>
    <row r="737" ht="15" customHeight="1" s="21">
      <c r="A737" s="34" t="n"/>
      <c r="B737" s="30" t="n"/>
      <c r="C737" s="30" t="n"/>
      <c r="D737" s="30" t="n"/>
      <c r="E737" s="33">
        <f>IF(B737="","",IFERROR(INDEX(Productos!$B$2:$B$501,MATCH(B737,Productos!$A$2:$A$501,0)),"¿Código?"))</f>
        <v/>
      </c>
      <c r="F737" s="32">
        <f>IF(C737&lt;&gt;"Venta","",D737*IFERROR(INDEX(Productos!$D$2:$D$501,MATCH(B737,Productos!$A$2:$A$501,0)),0))</f>
        <v/>
      </c>
      <c r="G737" s="32">
        <f>IF(C737&lt;&gt;"Venta","",D737*IFERROR(INDEX(Productos!$E$2:$E$501,MATCH(B737,Productos!$A$2:$A$501,0)),0))</f>
        <v/>
      </c>
      <c r="H737" s="33">
        <f>IF(A737="","",MONTH(A737))</f>
        <v/>
      </c>
      <c r="I737" s="33">
        <f>IF(A737="","",YEAR(A737))</f>
        <v/>
      </c>
    </row>
    <row r="738" ht="15" customHeight="1" s="21">
      <c r="A738" s="34" t="n"/>
      <c r="B738" s="30" t="n"/>
      <c r="C738" s="30" t="n"/>
      <c r="D738" s="30" t="n"/>
      <c r="E738" s="33">
        <f>IF(B738="","",IFERROR(INDEX(Productos!$B$2:$B$501,MATCH(B738,Productos!$A$2:$A$501,0)),"¿Código?"))</f>
        <v/>
      </c>
      <c r="F738" s="32">
        <f>IF(C738&lt;&gt;"Venta","",D738*IFERROR(INDEX(Productos!$D$2:$D$501,MATCH(B738,Productos!$A$2:$A$501,0)),0))</f>
        <v/>
      </c>
      <c r="G738" s="32">
        <f>IF(C738&lt;&gt;"Venta","",D738*IFERROR(INDEX(Productos!$E$2:$E$501,MATCH(B738,Productos!$A$2:$A$501,0)),0))</f>
        <v/>
      </c>
      <c r="H738" s="33">
        <f>IF(A738="","",MONTH(A738))</f>
        <v/>
      </c>
      <c r="I738" s="33">
        <f>IF(A738="","",YEAR(A738))</f>
        <v/>
      </c>
    </row>
    <row r="739" ht="15" customHeight="1" s="21">
      <c r="A739" s="34" t="n"/>
      <c r="B739" s="30" t="n"/>
      <c r="C739" s="30" t="n"/>
      <c r="D739" s="30" t="n"/>
      <c r="E739" s="33">
        <f>IF(B739="","",IFERROR(INDEX(Productos!$B$2:$B$501,MATCH(B739,Productos!$A$2:$A$501,0)),"¿Código?"))</f>
        <v/>
      </c>
      <c r="F739" s="32">
        <f>IF(C739&lt;&gt;"Venta","",D739*IFERROR(INDEX(Productos!$D$2:$D$501,MATCH(B739,Productos!$A$2:$A$501,0)),0))</f>
        <v/>
      </c>
      <c r="G739" s="32">
        <f>IF(C739&lt;&gt;"Venta","",D739*IFERROR(INDEX(Productos!$E$2:$E$501,MATCH(B739,Productos!$A$2:$A$501,0)),0))</f>
        <v/>
      </c>
      <c r="H739" s="33">
        <f>IF(A739="","",MONTH(A739))</f>
        <v/>
      </c>
      <c r="I739" s="33">
        <f>IF(A739="","",YEAR(A739))</f>
        <v/>
      </c>
    </row>
    <row r="740" ht="15" customHeight="1" s="21">
      <c r="A740" s="34" t="n"/>
      <c r="B740" s="30" t="n"/>
      <c r="C740" s="30" t="n"/>
      <c r="D740" s="30" t="n"/>
      <c r="E740" s="33">
        <f>IF(B740="","",IFERROR(INDEX(Productos!$B$2:$B$501,MATCH(B740,Productos!$A$2:$A$501,0)),"¿Código?"))</f>
        <v/>
      </c>
      <c r="F740" s="32">
        <f>IF(C740&lt;&gt;"Venta","",D740*IFERROR(INDEX(Productos!$D$2:$D$501,MATCH(B740,Productos!$A$2:$A$501,0)),0))</f>
        <v/>
      </c>
      <c r="G740" s="32">
        <f>IF(C740&lt;&gt;"Venta","",D740*IFERROR(INDEX(Productos!$E$2:$E$501,MATCH(B740,Productos!$A$2:$A$501,0)),0))</f>
        <v/>
      </c>
      <c r="H740" s="33">
        <f>IF(A740="","",MONTH(A740))</f>
        <v/>
      </c>
      <c r="I740" s="33">
        <f>IF(A740="","",YEAR(A740))</f>
        <v/>
      </c>
    </row>
    <row r="741" ht="15" customHeight="1" s="21">
      <c r="A741" s="34" t="n"/>
      <c r="B741" s="30" t="n"/>
      <c r="C741" s="30" t="n"/>
      <c r="D741" s="30" t="n"/>
      <c r="E741" s="33">
        <f>IF(B741="","",IFERROR(INDEX(Productos!$B$2:$B$501,MATCH(B741,Productos!$A$2:$A$501,0)),"¿Código?"))</f>
        <v/>
      </c>
      <c r="F741" s="32">
        <f>IF(C741&lt;&gt;"Venta","",D741*IFERROR(INDEX(Productos!$D$2:$D$501,MATCH(B741,Productos!$A$2:$A$501,0)),0))</f>
        <v/>
      </c>
      <c r="G741" s="32">
        <f>IF(C741&lt;&gt;"Venta","",D741*IFERROR(INDEX(Productos!$E$2:$E$501,MATCH(B741,Productos!$A$2:$A$501,0)),0))</f>
        <v/>
      </c>
      <c r="H741" s="33">
        <f>IF(A741="","",MONTH(A741))</f>
        <v/>
      </c>
      <c r="I741" s="33">
        <f>IF(A741="","",YEAR(A741))</f>
        <v/>
      </c>
    </row>
    <row r="742" ht="15" customHeight="1" s="21">
      <c r="A742" s="34" t="n"/>
      <c r="B742" s="30" t="n"/>
      <c r="C742" s="30" t="n"/>
      <c r="D742" s="30" t="n"/>
      <c r="E742" s="33">
        <f>IF(B742="","",IFERROR(INDEX(Productos!$B$2:$B$501,MATCH(B742,Productos!$A$2:$A$501,0)),"¿Código?"))</f>
        <v/>
      </c>
      <c r="F742" s="32">
        <f>IF(C742&lt;&gt;"Venta","",D742*IFERROR(INDEX(Productos!$D$2:$D$501,MATCH(B742,Productos!$A$2:$A$501,0)),0))</f>
        <v/>
      </c>
      <c r="G742" s="32">
        <f>IF(C742&lt;&gt;"Venta","",D742*IFERROR(INDEX(Productos!$E$2:$E$501,MATCH(B742,Productos!$A$2:$A$501,0)),0))</f>
        <v/>
      </c>
      <c r="H742" s="33">
        <f>IF(A742="","",MONTH(A742))</f>
        <v/>
      </c>
      <c r="I742" s="33">
        <f>IF(A742="","",YEAR(A742))</f>
        <v/>
      </c>
    </row>
    <row r="743" ht="15" customHeight="1" s="21">
      <c r="A743" s="34" t="n"/>
      <c r="B743" s="30" t="n"/>
      <c r="C743" s="30" t="n"/>
      <c r="D743" s="30" t="n"/>
      <c r="E743" s="33">
        <f>IF(B743="","",IFERROR(INDEX(Productos!$B$2:$B$501,MATCH(B743,Productos!$A$2:$A$501,0)),"¿Código?"))</f>
        <v/>
      </c>
      <c r="F743" s="32">
        <f>IF(C743&lt;&gt;"Venta","",D743*IFERROR(INDEX(Productos!$D$2:$D$501,MATCH(B743,Productos!$A$2:$A$501,0)),0))</f>
        <v/>
      </c>
      <c r="G743" s="32">
        <f>IF(C743&lt;&gt;"Venta","",D743*IFERROR(INDEX(Productos!$E$2:$E$501,MATCH(B743,Productos!$A$2:$A$501,0)),0))</f>
        <v/>
      </c>
      <c r="H743" s="33">
        <f>IF(A743="","",MONTH(A743))</f>
        <v/>
      </c>
      <c r="I743" s="33">
        <f>IF(A743="","",YEAR(A743))</f>
        <v/>
      </c>
    </row>
    <row r="744" ht="15" customHeight="1" s="21">
      <c r="A744" s="34" t="n"/>
      <c r="B744" s="30" t="n"/>
      <c r="C744" s="30" t="n"/>
      <c r="D744" s="30" t="n"/>
      <c r="E744" s="33">
        <f>IF(B744="","",IFERROR(INDEX(Productos!$B$2:$B$501,MATCH(B744,Productos!$A$2:$A$501,0)),"¿Código?"))</f>
        <v/>
      </c>
      <c r="F744" s="32">
        <f>IF(C744&lt;&gt;"Venta","",D744*IFERROR(INDEX(Productos!$D$2:$D$501,MATCH(B744,Productos!$A$2:$A$501,0)),0))</f>
        <v/>
      </c>
      <c r="G744" s="32">
        <f>IF(C744&lt;&gt;"Venta","",D744*IFERROR(INDEX(Productos!$E$2:$E$501,MATCH(B744,Productos!$A$2:$A$501,0)),0))</f>
        <v/>
      </c>
      <c r="H744" s="33">
        <f>IF(A744="","",MONTH(A744))</f>
        <v/>
      </c>
      <c r="I744" s="33">
        <f>IF(A744="","",YEAR(A744))</f>
        <v/>
      </c>
    </row>
    <row r="745" ht="15" customHeight="1" s="21">
      <c r="A745" s="34" t="n"/>
      <c r="B745" s="30" t="n"/>
      <c r="C745" s="30" t="n"/>
      <c r="D745" s="30" t="n"/>
      <c r="E745" s="33">
        <f>IF(B745="","",IFERROR(INDEX(Productos!$B$2:$B$501,MATCH(B745,Productos!$A$2:$A$501,0)),"¿Código?"))</f>
        <v/>
      </c>
      <c r="F745" s="32">
        <f>IF(C745&lt;&gt;"Venta","",D745*IFERROR(INDEX(Productos!$D$2:$D$501,MATCH(B745,Productos!$A$2:$A$501,0)),0))</f>
        <v/>
      </c>
      <c r="G745" s="32">
        <f>IF(C745&lt;&gt;"Venta","",D745*IFERROR(INDEX(Productos!$E$2:$E$501,MATCH(B745,Productos!$A$2:$A$501,0)),0))</f>
        <v/>
      </c>
      <c r="H745" s="33">
        <f>IF(A745="","",MONTH(A745))</f>
        <v/>
      </c>
      <c r="I745" s="33">
        <f>IF(A745="","",YEAR(A745))</f>
        <v/>
      </c>
    </row>
    <row r="746" ht="15" customHeight="1" s="21">
      <c r="A746" s="34" t="n"/>
      <c r="B746" s="30" t="n"/>
      <c r="C746" s="30" t="n"/>
      <c r="D746" s="30" t="n"/>
      <c r="E746" s="33">
        <f>IF(B746="","",IFERROR(INDEX(Productos!$B$2:$B$501,MATCH(B746,Productos!$A$2:$A$501,0)),"¿Código?"))</f>
        <v/>
      </c>
      <c r="F746" s="32">
        <f>IF(C746&lt;&gt;"Venta","",D746*IFERROR(INDEX(Productos!$D$2:$D$501,MATCH(B746,Productos!$A$2:$A$501,0)),0))</f>
        <v/>
      </c>
      <c r="G746" s="32">
        <f>IF(C746&lt;&gt;"Venta","",D746*IFERROR(INDEX(Productos!$E$2:$E$501,MATCH(B746,Productos!$A$2:$A$501,0)),0))</f>
        <v/>
      </c>
      <c r="H746" s="33">
        <f>IF(A746="","",MONTH(A746))</f>
        <v/>
      </c>
      <c r="I746" s="33">
        <f>IF(A746="","",YEAR(A746))</f>
        <v/>
      </c>
    </row>
    <row r="747" ht="15" customHeight="1" s="21">
      <c r="A747" s="34" t="n"/>
      <c r="B747" s="30" t="n"/>
      <c r="C747" s="30" t="n"/>
      <c r="D747" s="30" t="n"/>
      <c r="E747" s="33">
        <f>IF(B747="","",IFERROR(INDEX(Productos!$B$2:$B$501,MATCH(B747,Productos!$A$2:$A$501,0)),"¿Código?"))</f>
        <v/>
      </c>
      <c r="F747" s="32">
        <f>IF(C747&lt;&gt;"Venta","",D747*IFERROR(INDEX(Productos!$D$2:$D$501,MATCH(B747,Productos!$A$2:$A$501,0)),0))</f>
        <v/>
      </c>
      <c r="G747" s="32">
        <f>IF(C747&lt;&gt;"Venta","",D747*IFERROR(INDEX(Productos!$E$2:$E$501,MATCH(B747,Productos!$A$2:$A$501,0)),0))</f>
        <v/>
      </c>
      <c r="H747" s="33">
        <f>IF(A747="","",MONTH(A747))</f>
        <v/>
      </c>
      <c r="I747" s="33">
        <f>IF(A747="","",YEAR(A747))</f>
        <v/>
      </c>
    </row>
    <row r="748" ht="15" customHeight="1" s="21">
      <c r="A748" s="34" t="n"/>
      <c r="B748" s="30" t="n"/>
      <c r="C748" s="30" t="n"/>
      <c r="D748" s="30" t="n"/>
      <c r="E748" s="33">
        <f>IF(B748="","",IFERROR(INDEX(Productos!$B$2:$B$501,MATCH(B748,Productos!$A$2:$A$501,0)),"¿Código?"))</f>
        <v/>
      </c>
      <c r="F748" s="32">
        <f>IF(C748&lt;&gt;"Venta","",D748*IFERROR(INDEX(Productos!$D$2:$D$501,MATCH(B748,Productos!$A$2:$A$501,0)),0))</f>
        <v/>
      </c>
      <c r="G748" s="32">
        <f>IF(C748&lt;&gt;"Venta","",D748*IFERROR(INDEX(Productos!$E$2:$E$501,MATCH(B748,Productos!$A$2:$A$501,0)),0))</f>
        <v/>
      </c>
      <c r="H748" s="33">
        <f>IF(A748="","",MONTH(A748))</f>
        <v/>
      </c>
      <c r="I748" s="33">
        <f>IF(A748="","",YEAR(A748))</f>
        <v/>
      </c>
    </row>
    <row r="749" ht="15" customHeight="1" s="21">
      <c r="A749" s="34" t="n"/>
      <c r="B749" s="30" t="n"/>
      <c r="C749" s="30" t="n"/>
      <c r="D749" s="30" t="n"/>
      <c r="E749" s="33">
        <f>IF(B749="","",IFERROR(INDEX(Productos!$B$2:$B$501,MATCH(B749,Productos!$A$2:$A$501,0)),"¿Código?"))</f>
        <v/>
      </c>
      <c r="F749" s="32">
        <f>IF(C749&lt;&gt;"Venta","",D749*IFERROR(INDEX(Productos!$D$2:$D$501,MATCH(B749,Productos!$A$2:$A$501,0)),0))</f>
        <v/>
      </c>
      <c r="G749" s="32">
        <f>IF(C749&lt;&gt;"Venta","",D749*IFERROR(INDEX(Productos!$E$2:$E$501,MATCH(B749,Productos!$A$2:$A$501,0)),0))</f>
        <v/>
      </c>
      <c r="H749" s="33">
        <f>IF(A749="","",MONTH(A749))</f>
        <v/>
      </c>
      <c r="I749" s="33">
        <f>IF(A749="","",YEAR(A749))</f>
        <v/>
      </c>
    </row>
    <row r="750" ht="15" customHeight="1" s="21">
      <c r="A750" s="34" t="n"/>
      <c r="B750" s="30" t="n"/>
      <c r="C750" s="30" t="n"/>
      <c r="D750" s="30" t="n"/>
      <c r="E750" s="33">
        <f>IF(B750="","",IFERROR(INDEX(Productos!$B$2:$B$501,MATCH(B750,Productos!$A$2:$A$501,0)),"¿Código?"))</f>
        <v/>
      </c>
      <c r="F750" s="32">
        <f>IF(C750&lt;&gt;"Venta","",D750*IFERROR(INDEX(Productos!$D$2:$D$501,MATCH(B750,Productos!$A$2:$A$501,0)),0))</f>
        <v/>
      </c>
      <c r="G750" s="32">
        <f>IF(C750&lt;&gt;"Venta","",D750*IFERROR(INDEX(Productos!$E$2:$E$501,MATCH(B750,Productos!$A$2:$A$501,0)),0))</f>
        <v/>
      </c>
      <c r="H750" s="33">
        <f>IF(A750="","",MONTH(A750))</f>
        <v/>
      </c>
      <c r="I750" s="33">
        <f>IF(A750="","",YEAR(A750))</f>
        <v/>
      </c>
    </row>
    <row r="751" ht="15" customHeight="1" s="21">
      <c r="A751" s="34" t="n"/>
      <c r="B751" s="30" t="n"/>
      <c r="C751" s="30" t="n"/>
      <c r="D751" s="30" t="n"/>
      <c r="E751" s="33">
        <f>IF(B751="","",IFERROR(INDEX(Productos!$B$2:$B$501,MATCH(B751,Productos!$A$2:$A$501,0)),"¿Código?"))</f>
        <v/>
      </c>
      <c r="F751" s="32">
        <f>IF(C751&lt;&gt;"Venta","",D751*IFERROR(INDEX(Productos!$D$2:$D$501,MATCH(B751,Productos!$A$2:$A$501,0)),0))</f>
        <v/>
      </c>
      <c r="G751" s="32">
        <f>IF(C751&lt;&gt;"Venta","",D751*IFERROR(INDEX(Productos!$E$2:$E$501,MATCH(B751,Productos!$A$2:$A$501,0)),0))</f>
        <v/>
      </c>
      <c r="H751" s="33">
        <f>IF(A751="","",MONTH(A751))</f>
        <v/>
      </c>
      <c r="I751" s="33">
        <f>IF(A751="","",YEAR(A751))</f>
        <v/>
      </c>
    </row>
    <row r="752" ht="15" customHeight="1" s="21">
      <c r="A752" s="34" t="n"/>
      <c r="B752" s="30" t="n"/>
      <c r="C752" s="30" t="n"/>
      <c r="D752" s="30" t="n"/>
      <c r="E752" s="33">
        <f>IF(B752="","",IFERROR(INDEX(Productos!$B$2:$B$501,MATCH(B752,Productos!$A$2:$A$501,0)),"¿Código?"))</f>
        <v/>
      </c>
      <c r="F752" s="32">
        <f>IF(C752&lt;&gt;"Venta","",D752*IFERROR(INDEX(Productos!$D$2:$D$501,MATCH(B752,Productos!$A$2:$A$501,0)),0))</f>
        <v/>
      </c>
      <c r="G752" s="32">
        <f>IF(C752&lt;&gt;"Venta","",D752*IFERROR(INDEX(Productos!$E$2:$E$501,MATCH(B752,Productos!$A$2:$A$501,0)),0))</f>
        <v/>
      </c>
      <c r="H752" s="33">
        <f>IF(A752="","",MONTH(A752))</f>
        <v/>
      </c>
      <c r="I752" s="33">
        <f>IF(A752="","",YEAR(A752))</f>
        <v/>
      </c>
    </row>
    <row r="753" ht="15" customHeight="1" s="21">
      <c r="A753" s="34" t="n"/>
      <c r="B753" s="30" t="n"/>
      <c r="C753" s="30" t="n"/>
      <c r="D753" s="30" t="n"/>
      <c r="E753" s="33">
        <f>IF(B753="","",IFERROR(INDEX(Productos!$B$2:$B$501,MATCH(B753,Productos!$A$2:$A$501,0)),"¿Código?"))</f>
        <v/>
      </c>
      <c r="F753" s="32">
        <f>IF(C753&lt;&gt;"Venta","",D753*IFERROR(INDEX(Productos!$D$2:$D$501,MATCH(B753,Productos!$A$2:$A$501,0)),0))</f>
        <v/>
      </c>
      <c r="G753" s="32">
        <f>IF(C753&lt;&gt;"Venta","",D753*IFERROR(INDEX(Productos!$E$2:$E$501,MATCH(B753,Productos!$A$2:$A$501,0)),0))</f>
        <v/>
      </c>
      <c r="H753" s="33">
        <f>IF(A753="","",MONTH(A753))</f>
        <v/>
      </c>
      <c r="I753" s="33">
        <f>IF(A753="","",YEAR(A753))</f>
        <v/>
      </c>
    </row>
    <row r="754" ht="15" customHeight="1" s="21">
      <c r="A754" s="34" t="n"/>
      <c r="B754" s="30" t="n"/>
      <c r="C754" s="30" t="n"/>
      <c r="D754" s="30" t="n"/>
      <c r="E754" s="33">
        <f>IF(B754="","",IFERROR(INDEX(Productos!$B$2:$B$501,MATCH(B754,Productos!$A$2:$A$501,0)),"¿Código?"))</f>
        <v/>
      </c>
      <c r="F754" s="32">
        <f>IF(C754&lt;&gt;"Venta","",D754*IFERROR(INDEX(Productos!$D$2:$D$501,MATCH(B754,Productos!$A$2:$A$501,0)),0))</f>
        <v/>
      </c>
      <c r="G754" s="32">
        <f>IF(C754&lt;&gt;"Venta","",D754*IFERROR(INDEX(Productos!$E$2:$E$501,MATCH(B754,Productos!$A$2:$A$501,0)),0))</f>
        <v/>
      </c>
      <c r="H754" s="33">
        <f>IF(A754="","",MONTH(A754))</f>
        <v/>
      </c>
      <c r="I754" s="33">
        <f>IF(A754="","",YEAR(A754))</f>
        <v/>
      </c>
    </row>
    <row r="755" ht="15" customHeight="1" s="21">
      <c r="A755" s="34" t="n"/>
      <c r="B755" s="30" t="n"/>
      <c r="C755" s="30" t="n"/>
      <c r="D755" s="30" t="n"/>
      <c r="E755" s="33">
        <f>IF(B755="","",IFERROR(INDEX(Productos!$B$2:$B$501,MATCH(B755,Productos!$A$2:$A$501,0)),"¿Código?"))</f>
        <v/>
      </c>
      <c r="F755" s="32">
        <f>IF(C755&lt;&gt;"Venta","",D755*IFERROR(INDEX(Productos!$D$2:$D$501,MATCH(B755,Productos!$A$2:$A$501,0)),0))</f>
        <v/>
      </c>
      <c r="G755" s="32">
        <f>IF(C755&lt;&gt;"Venta","",D755*IFERROR(INDEX(Productos!$E$2:$E$501,MATCH(B755,Productos!$A$2:$A$501,0)),0))</f>
        <v/>
      </c>
      <c r="H755" s="33">
        <f>IF(A755="","",MONTH(A755))</f>
        <v/>
      </c>
      <c r="I755" s="33">
        <f>IF(A755="","",YEAR(A755))</f>
        <v/>
      </c>
    </row>
    <row r="756" ht="15" customHeight="1" s="21">
      <c r="A756" s="34" t="n"/>
      <c r="B756" s="30" t="n"/>
      <c r="C756" s="30" t="n"/>
      <c r="D756" s="30" t="n"/>
      <c r="E756" s="33">
        <f>IF(B756="","",IFERROR(INDEX(Productos!$B$2:$B$501,MATCH(B756,Productos!$A$2:$A$501,0)),"¿Código?"))</f>
        <v/>
      </c>
      <c r="F756" s="32">
        <f>IF(C756&lt;&gt;"Venta","",D756*IFERROR(INDEX(Productos!$D$2:$D$501,MATCH(B756,Productos!$A$2:$A$501,0)),0))</f>
        <v/>
      </c>
      <c r="G756" s="32">
        <f>IF(C756&lt;&gt;"Venta","",D756*IFERROR(INDEX(Productos!$E$2:$E$501,MATCH(B756,Productos!$A$2:$A$501,0)),0))</f>
        <v/>
      </c>
      <c r="H756" s="33">
        <f>IF(A756="","",MONTH(A756))</f>
        <v/>
      </c>
      <c r="I756" s="33">
        <f>IF(A756="","",YEAR(A756))</f>
        <v/>
      </c>
    </row>
    <row r="757" ht="15" customHeight="1" s="21">
      <c r="A757" s="34" t="n"/>
      <c r="B757" s="30" t="n"/>
      <c r="C757" s="30" t="n"/>
      <c r="D757" s="30" t="n"/>
      <c r="E757" s="33">
        <f>IF(B757="","",IFERROR(INDEX(Productos!$B$2:$B$501,MATCH(B757,Productos!$A$2:$A$501,0)),"¿Código?"))</f>
        <v/>
      </c>
      <c r="F757" s="32">
        <f>IF(C757&lt;&gt;"Venta","",D757*IFERROR(INDEX(Productos!$D$2:$D$501,MATCH(B757,Productos!$A$2:$A$501,0)),0))</f>
        <v/>
      </c>
      <c r="G757" s="32">
        <f>IF(C757&lt;&gt;"Venta","",D757*IFERROR(INDEX(Productos!$E$2:$E$501,MATCH(B757,Productos!$A$2:$A$501,0)),0))</f>
        <v/>
      </c>
      <c r="H757" s="33">
        <f>IF(A757="","",MONTH(A757))</f>
        <v/>
      </c>
      <c r="I757" s="33">
        <f>IF(A757="","",YEAR(A757))</f>
        <v/>
      </c>
    </row>
    <row r="758" ht="15" customHeight="1" s="21">
      <c r="A758" s="34" t="n"/>
      <c r="B758" s="30" t="n"/>
      <c r="C758" s="30" t="n"/>
      <c r="D758" s="30" t="n"/>
      <c r="E758" s="33">
        <f>IF(B758="","",IFERROR(INDEX(Productos!$B$2:$B$501,MATCH(B758,Productos!$A$2:$A$501,0)),"¿Código?"))</f>
        <v/>
      </c>
      <c r="F758" s="32">
        <f>IF(C758&lt;&gt;"Venta","",D758*IFERROR(INDEX(Productos!$D$2:$D$501,MATCH(B758,Productos!$A$2:$A$501,0)),0))</f>
        <v/>
      </c>
      <c r="G758" s="32">
        <f>IF(C758&lt;&gt;"Venta","",D758*IFERROR(INDEX(Productos!$E$2:$E$501,MATCH(B758,Productos!$A$2:$A$501,0)),0))</f>
        <v/>
      </c>
      <c r="H758" s="33">
        <f>IF(A758="","",MONTH(A758))</f>
        <v/>
      </c>
      <c r="I758" s="33">
        <f>IF(A758="","",YEAR(A758))</f>
        <v/>
      </c>
    </row>
    <row r="759" ht="15" customHeight="1" s="21">
      <c r="A759" s="34" t="n"/>
      <c r="B759" s="30" t="n"/>
      <c r="C759" s="30" t="n"/>
      <c r="D759" s="30" t="n"/>
      <c r="E759" s="33">
        <f>IF(B759="","",IFERROR(INDEX(Productos!$B$2:$B$501,MATCH(B759,Productos!$A$2:$A$501,0)),"¿Código?"))</f>
        <v/>
      </c>
      <c r="F759" s="32">
        <f>IF(C759&lt;&gt;"Venta","",D759*IFERROR(INDEX(Productos!$D$2:$D$501,MATCH(B759,Productos!$A$2:$A$501,0)),0))</f>
        <v/>
      </c>
      <c r="G759" s="32">
        <f>IF(C759&lt;&gt;"Venta","",D759*IFERROR(INDEX(Productos!$E$2:$E$501,MATCH(B759,Productos!$A$2:$A$501,0)),0))</f>
        <v/>
      </c>
      <c r="H759" s="33">
        <f>IF(A759="","",MONTH(A759))</f>
        <v/>
      </c>
      <c r="I759" s="33">
        <f>IF(A759="","",YEAR(A759))</f>
        <v/>
      </c>
    </row>
    <row r="760" ht="15" customHeight="1" s="21">
      <c r="A760" s="34" t="n"/>
      <c r="B760" s="30" t="n"/>
      <c r="C760" s="30" t="n"/>
      <c r="D760" s="30" t="n"/>
      <c r="E760" s="33">
        <f>IF(B760="","",IFERROR(INDEX(Productos!$B$2:$B$501,MATCH(B760,Productos!$A$2:$A$501,0)),"¿Código?"))</f>
        <v/>
      </c>
      <c r="F760" s="32">
        <f>IF(C760&lt;&gt;"Venta","",D760*IFERROR(INDEX(Productos!$D$2:$D$501,MATCH(B760,Productos!$A$2:$A$501,0)),0))</f>
        <v/>
      </c>
      <c r="G760" s="32">
        <f>IF(C760&lt;&gt;"Venta","",D760*IFERROR(INDEX(Productos!$E$2:$E$501,MATCH(B760,Productos!$A$2:$A$501,0)),0))</f>
        <v/>
      </c>
      <c r="H760" s="33">
        <f>IF(A760="","",MONTH(A760))</f>
        <v/>
      </c>
      <c r="I760" s="33">
        <f>IF(A760="","",YEAR(A760))</f>
        <v/>
      </c>
    </row>
    <row r="761" ht="15" customHeight="1" s="21">
      <c r="A761" s="34" t="n"/>
      <c r="B761" s="30" t="n"/>
      <c r="C761" s="30" t="n"/>
      <c r="D761" s="30" t="n"/>
      <c r="E761" s="33">
        <f>IF(B761="","",IFERROR(INDEX(Productos!$B$2:$B$501,MATCH(B761,Productos!$A$2:$A$501,0)),"¿Código?"))</f>
        <v/>
      </c>
      <c r="F761" s="32">
        <f>IF(C761&lt;&gt;"Venta","",D761*IFERROR(INDEX(Productos!$D$2:$D$501,MATCH(B761,Productos!$A$2:$A$501,0)),0))</f>
        <v/>
      </c>
      <c r="G761" s="32">
        <f>IF(C761&lt;&gt;"Venta","",D761*IFERROR(INDEX(Productos!$E$2:$E$501,MATCH(B761,Productos!$A$2:$A$501,0)),0))</f>
        <v/>
      </c>
      <c r="H761" s="33">
        <f>IF(A761="","",MONTH(A761))</f>
        <v/>
      </c>
      <c r="I761" s="33">
        <f>IF(A761="","",YEAR(A761))</f>
        <v/>
      </c>
    </row>
    <row r="762" ht="15" customHeight="1" s="21">
      <c r="A762" s="34" t="n"/>
      <c r="B762" s="30" t="n"/>
      <c r="C762" s="30" t="n"/>
      <c r="D762" s="30" t="n"/>
      <c r="E762" s="33">
        <f>IF(B762="","",IFERROR(INDEX(Productos!$B$2:$B$501,MATCH(B762,Productos!$A$2:$A$501,0)),"¿Código?"))</f>
        <v/>
      </c>
      <c r="F762" s="32">
        <f>IF(C762&lt;&gt;"Venta","",D762*IFERROR(INDEX(Productos!$D$2:$D$501,MATCH(B762,Productos!$A$2:$A$501,0)),0))</f>
        <v/>
      </c>
      <c r="G762" s="32">
        <f>IF(C762&lt;&gt;"Venta","",D762*IFERROR(INDEX(Productos!$E$2:$E$501,MATCH(B762,Productos!$A$2:$A$501,0)),0))</f>
        <v/>
      </c>
      <c r="H762" s="33">
        <f>IF(A762="","",MONTH(A762))</f>
        <v/>
      </c>
      <c r="I762" s="33">
        <f>IF(A762="","",YEAR(A762))</f>
        <v/>
      </c>
    </row>
    <row r="763" ht="15" customHeight="1" s="21">
      <c r="A763" s="34" t="n"/>
      <c r="B763" s="30" t="n"/>
      <c r="C763" s="30" t="n"/>
      <c r="D763" s="30" t="n"/>
      <c r="E763" s="33">
        <f>IF(B763="","",IFERROR(INDEX(Productos!$B$2:$B$501,MATCH(B763,Productos!$A$2:$A$501,0)),"¿Código?"))</f>
        <v/>
      </c>
      <c r="F763" s="32">
        <f>IF(C763&lt;&gt;"Venta","",D763*IFERROR(INDEX(Productos!$D$2:$D$501,MATCH(B763,Productos!$A$2:$A$501,0)),0))</f>
        <v/>
      </c>
      <c r="G763" s="32">
        <f>IF(C763&lt;&gt;"Venta","",D763*IFERROR(INDEX(Productos!$E$2:$E$501,MATCH(B763,Productos!$A$2:$A$501,0)),0))</f>
        <v/>
      </c>
      <c r="H763" s="33">
        <f>IF(A763="","",MONTH(A763))</f>
        <v/>
      </c>
      <c r="I763" s="33">
        <f>IF(A763="","",YEAR(A763))</f>
        <v/>
      </c>
    </row>
    <row r="764" ht="15" customHeight="1" s="21">
      <c r="A764" s="34" t="n"/>
      <c r="B764" s="30" t="n"/>
      <c r="C764" s="30" t="n"/>
      <c r="D764" s="30" t="n"/>
      <c r="E764" s="33">
        <f>IF(B764="","",IFERROR(INDEX(Productos!$B$2:$B$501,MATCH(B764,Productos!$A$2:$A$501,0)),"¿Código?"))</f>
        <v/>
      </c>
      <c r="F764" s="32">
        <f>IF(C764&lt;&gt;"Venta","",D764*IFERROR(INDEX(Productos!$D$2:$D$501,MATCH(B764,Productos!$A$2:$A$501,0)),0))</f>
        <v/>
      </c>
      <c r="G764" s="32">
        <f>IF(C764&lt;&gt;"Venta","",D764*IFERROR(INDEX(Productos!$E$2:$E$501,MATCH(B764,Productos!$A$2:$A$501,0)),0))</f>
        <v/>
      </c>
      <c r="H764" s="33">
        <f>IF(A764="","",MONTH(A764))</f>
        <v/>
      </c>
      <c r="I764" s="33">
        <f>IF(A764="","",YEAR(A764))</f>
        <v/>
      </c>
    </row>
    <row r="765" ht="15" customHeight="1" s="21">
      <c r="A765" s="34" t="n"/>
      <c r="B765" s="30" t="n"/>
      <c r="C765" s="30" t="n"/>
      <c r="D765" s="30" t="n"/>
      <c r="E765" s="33">
        <f>IF(B765="","",IFERROR(INDEX(Productos!$B$2:$B$501,MATCH(B765,Productos!$A$2:$A$501,0)),"¿Código?"))</f>
        <v/>
      </c>
      <c r="F765" s="32">
        <f>IF(C765&lt;&gt;"Venta","",D765*IFERROR(INDEX(Productos!$D$2:$D$501,MATCH(B765,Productos!$A$2:$A$501,0)),0))</f>
        <v/>
      </c>
      <c r="G765" s="32">
        <f>IF(C765&lt;&gt;"Venta","",D765*IFERROR(INDEX(Productos!$E$2:$E$501,MATCH(B765,Productos!$A$2:$A$501,0)),0))</f>
        <v/>
      </c>
      <c r="H765" s="33">
        <f>IF(A765="","",MONTH(A765))</f>
        <v/>
      </c>
      <c r="I765" s="33">
        <f>IF(A765="","",YEAR(A765))</f>
        <v/>
      </c>
    </row>
    <row r="766" ht="15" customHeight="1" s="21">
      <c r="A766" s="34" t="n"/>
      <c r="B766" s="30" t="n"/>
      <c r="C766" s="30" t="n"/>
      <c r="D766" s="30" t="n"/>
      <c r="E766" s="33">
        <f>IF(B766="","",IFERROR(INDEX(Productos!$B$2:$B$501,MATCH(B766,Productos!$A$2:$A$501,0)),"¿Código?"))</f>
        <v/>
      </c>
      <c r="F766" s="32">
        <f>IF(C766&lt;&gt;"Venta","",D766*IFERROR(INDEX(Productos!$D$2:$D$501,MATCH(B766,Productos!$A$2:$A$501,0)),0))</f>
        <v/>
      </c>
      <c r="G766" s="32">
        <f>IF(C766&lt;&gt;"Venta","",D766*IFERROR(INDEX(Productos!$E$2:$E$501,MATCH(B766,Productos!$A$2:$A$501,0)),0))</f>
        <v/>
      </c>
      <c r="H766" s="33">
        <f>IF(A766="","",MONTH(A766))</f>
        <v/>
      </c>
      <c r="I766" s="33">
        <f>IF(A766="","",YEAR(A766))</f>
        <v/>
      </c>
    </row>
    <row r="767" ht="15" customHeight="1" s="21">
      <c r="A767" s="34" t="n"/>
      <c r="B767" s="30" t="n"/>
      <c r="C767" s="30" t="n"/>
      <c r="D767" s="30" t="n"/>
      <c r="E767" s="33">
        <f>IF(B767="","",IFERROR(INDEX(Productos!$B$2:$B$501,MATCH(B767,Productos!$A$2:$A$501,0)),"¿Código?"))</f>
        <v/>
      </c>
      <c r="F767" s="32">
        <f>IF(C767&lt;&gt;"Venta","",D767*IFERROR(INDEX(Productos!$D$2:$D$501,MATCH(B767,Productos!$A$2:$A$501,0)),0))</f>
        <v/>
      </c>
      <c r="G767" s="32">
        <f>IF(C767&lt;&gt;"Venta","",D767*IFERROR(INDEX(Productos!$E$2:$E$501,MATCH(B767,Productos!$A$2:$A$501,0)),0))</f>
        <v/>
      </c>
      <c r="H767" s="33">
        <f>IF(A767="","",MONTH(A767))</f>
        <v/>
      </c>
      <c r="I767" s="33">
        <f>IF(A767="","",YEAR(A767))</f>
        <v/>
      </c>
    </row>
    <row r="768" ht="15" customHeight="1" s="21">
      <c r="A768" s="34" t="n"/>
      <c r="B768" s="30" t="n"/>
      <c r="C768" s="30" t="n"/>
      <c r="D768" s="30" t="n"/>
      <c r="E768" s="33">
        <f>IF(B768="","",IFERROR(INDEX(Productos!$B$2:$B$501,MATCH(B768,Productos!$A$2:$A$501,0)),"¿Código?"))</f>
        <v/>
      </c>
      <c r="F768" s="32">
        <f>IF(C768&lt;&gt;"Venta","",D768*IFERROR(INDEX(Productos!$D$2:$D$501,MATCH(B768,Productos!$A$2:$A$501,0)),0))</f>
        <v/>
      </c>
      <c r="G768" s="32">
        <f>IF(C768&lt;&gt;"Venta","",D768*IFERROR(INDEX(Productos!$E$2:$E$501,MATCH(B768,Productos!$A$2:$A$501,0)),0))</f>
        <v/>
      </c>
      <c r="H768" s="33">
        <f>IF(A768="","",MONTH(A768))</f>
        <v/>
      </c>
      <c r="I768" s="33">
        <f>IF(A768="","",YEAR(A768))</f>
        <v/>
      </c>
    </row>
    <row r="769" ht="15" customHeight="1" s="21">
      <c r="A769" s="34" t="n"/>
      <c r="B769" s="30" t="n"/>
      <c r="C769" s="30" t="n"/>
      <c r="D769" s="30" t="n"/>
      <c r="E769" s="33">
        <f>IF(B769="","",IFERROR(INDEX(Productos!$B$2:$B$501,MATCH(B769,Productos!$A$2:$A$501,0)),"¿Código?"))</f>
        <v/>
      </c>
      <c r="F769" s="32">
        <f>IF(C769&lt;&gt;"Venta","",D769*IFERROR(INDEX(Productos!$D$2:$D$501,MATCH(B769,Productos!$A$2:$A$501,0)),0))</f>
        <v/>
      </c>
      <c r="G769" s="32">
        <f>IF(C769&lt;&gt;"Venta","",D769*IFERROR(INDEX(Productos!$E$2:$E$501,MATCH(B769,Productos!$A$2:$A$501,0)),0))</f>
        <v/>
      </c>
      <c r="H769" s="33">
        <f>IF(A769="","",MONTH(A769))</f>
        <v/>
      </c>
      <c r="I769" s="33">
        <f>IF(A769="","",YEAR(A769))</f>
        <v/>
      </c>
    </row>
    <row r="770" ht="15" customHeight="1" s="21">
      <c r="A770" s="34" t="n"/>
      <c r="B770" s="30" t="n"/>
      <c r="C770" s="30" t="n"/>
      <c r="D770" s="30" t="n"/>
      <c r="E770" s="33">
        <f>IF(B770="","",IFERROR(INDEX(Productos!$B$2:$B$501,MATCH(B770,Productos!$A$2:$A$501,0)),"¿Código?"))</f>
        <v/>
      </c>
      <c r="F770" s="32">
        <f>IF(C770&lt;&gt;"Venta","",D770*IFERROR(INDEX(Productos!$D$2:$D$501,MATCH(B770,Productos!$A$2:$A$501,0)),0))</f>
        <v/>
      </c>
      <c r="G770" s="32">
        <f>IF(C770&lt;&gt;"Venta","",D770*IFERROR(INDEX(Productos!$E$2:$E$501,MATCH(B770,Productos!$A$2:$A$501,0)),0))</f>
        <v/>
      </c>
      <c r="H770" s="33">
        <f>IF(A770="","",MONTH(A770))</f>
        <v/>
      </c>
      <c r="I770" s="33">
        <f>IF(A770="","",YEAR(A770))</f>
        <v/>
      </c>
    </row>
    <row r="771" ht="15" customHeight="1" s="21">
      <c r="A771" s="34" t="n"/>
      <c r="B771" s="30" t="n"/>
      <c r="C771" s="30" t="n"/>
      <c r="D771" s="30" t="n"/>
      <c r="E771" s="33">
        <f>IF(B771="","",IFERROR(INDEX(Productos!$B$2:$B$501,MATCH(B771,Productos!$A$2:$A$501,0)),"¿Código?"))</f>
        <v/>
      </c>
      <c r="F771" s="32">
        <f>IF(C771&lt;&gt;"Venta","",D771*IFERROR(INDEX(Productos!$D$2:$D$501,MATCH(B771,Productos!$A$2:$A$501,0)),0))</f>
        <v/>
      </c>
      <c r="G771" s="32">
        <f>IF(C771&lt;&gt;"Venta","",D771*IFERROR(INDEX(Productos!$E$2:$E$501,MATCH(B771,Productos!$A$2:$A$501,0)),0))</f>
        <v/>
      </c>
      <c r="H771" s="33">
        <f>IF(A771="","",MONTH(A771))</f>
        <v/>
      </c>
      <c r="I771" s="33">
        <f>IF(A771="","",YEAR(A771))</f>
        <v/>
      </c>
    </row>
    <row r="772" ht="15" customHeight="1" s="21">
      <c r="A772" s="34" t="n"/>
      <c r="B772" s="30" t="n"/>
      <c r="C772" s="30" t="n"/>
      <c r="D772" s="30" t="n"/>
      <c r="E772" s="33">
        <f>IF(B772="","",IFERROR(INDEX(Productos!$B$2:$B$501,MATCH(B772,Productos!$A$2:$A$501,0)),"¿Código?"))</f>
        <v/>
      </c>
      <c r="F772" s="32">
        <f>IF(C772&lt;&gt;"Venta","",D772*IFERROR(INDEX(Productos!$D$2:$D$501,MATCH(B772,Productos!$A$2:$A$501,0)),0))</f>
        <v/>
      </c>
      <c r="G772" s="32">
        <f>IF(C772&lt;&gt;"Venta","",D772*IFERROR(INDEX(Productos!$E$2:$E$501,MATCH(B772,Productos!$A$2:$A$501,0)),0))</f>
        <v/>
      </c>
      <c r="H772" s="33">
        <f>IF(A772="","",MONTH(A772))</f>
        <v/>
      </c>
      <c r="I772" s="33">
        <f>IF(A772="","",YEAR(A772))</f>
        <v/>
      </c>
    </row>
    <row r="773" ht="15" customHeight="1" s="21">
      <c r="A773" s="34" t="n"/>
      <c r="B773" s="30" t="n"/>
      <c r="C773" s="30" t="n"/>
      <c r="D773" s="30" t="n"/>
      <c r="E773" s="33">
        <f>IF(B773="","",IFERROR(INDEX(Productos!$B$2:$B$501,MATCH(B773,Productos!$A$2:$A$501,0)),"¿Código?"))</f>
        <v/>
      </c>
      <c r="F773" s="32">
        <f>IF(C773&lt;&gt;"Venta","",D773*IFERROR(INDEX(Productos!$D$2:$D$501,MATCH(B773,Productos!$A$2:$A$501,0)),0))</f>
        <v/>
      </c>
      <c r="G773" s="32">
        <f>IF(C773&lt;&gt;"Venta","",D773*IFERROR(INDEX(Productos!$E$2:$E$501,MATCH(B773,Productos!$A$2:$A$501,0)),0))</f>
        <v/>
      </c>
      <c r="H773" s="33">
        <f>IF(A773="","",MONTH(A773))</f>
        <v/>
      </c>
      <c r="I773" s="33">
        <f>IF(A773="","",YEAR(A773))</f>
        <v/>
      </c>
    </row>
    <row r="774" ht="15" customHeight="1" s="21">
      <c r="A774" s="34" t="n"/>
      <c r="B774" s="30" t="n"/>
      <c r="C774" s="30" t="n"/>
      <c r="D774" s="30" t="n"/>
      <c r="E774" s="33">
        <f>IF(B774="","",IFERROR(INDEX(Productos!$B$2:$B$501,MATCH(B774,Productos!$A$2:$A$501,0)),"¿Código?"))</f>
        <v/>
      </c>
      <c r="F774" s="32">
        <f>IF(C774&lt;&gt;"Venta","",D774*IFERROR(INDEX(Productos!$D$2:$D$501,MATCH(B774,Productos!$A$2:$A$501,0)),0))</f>
        <v/>
      </c>
      <c r="G774" s="32">
        <f>IF(C774&lt;&gt;"Venta","",D774*IFERROR(INDEX(Productos!$E$2:$E$501,MATCH(B774,Productos!$A$2:$A$501,0)),0))</f>
        <v/>
      </c>
      <c r="H774" s="33">
        <f>IF(A774="","",MONTH(A774))</f>
        <v/>
      </c>
      <c r="I774" s="33">
        <f>IF(A774="","",YEAR(A774))</f>
        <v/>
      </c>
    </row>
    <row r="775" ht="15" customHeight="1" s="21">
      <c r="A775" s="34" t="n"/>
      <c r="B775" s="30" t="n"/>
      <c r="C775" s="30" t="n"/>
      <c r="D775" s="30" t="n"/>
      <c r="E775" s="33">
        <f>IF(B775="","",IFERROR(INDEX(Productos!$B$2:$B$501,MATCH(B775,Productos!$A$2:$A$501,0)),"¿Código?"))</f>
        <v/>
      </c>
      <c r="F775" s="32">
        <f>IF(C775&lt;&gt;"Venta","",D775*IFERROR(INDEX(Productos!$D$2:$D$501,MATCH(B775,Productos!$A$2:$A$501,0)),0))</f>
        <v/>
      </c>
      <c r="G775" s="32">
        <f>IF(C775&lt;&gt;"Venta","",D775*IFERROR(INDEX(Productos!$E$2:$E$501,MATCH(B775,Productos!$A$2:$A$501,0)),0))</f>
        <v/>
      </c>
      <c r="H775" s="33">
        <f>IF(A775="","",MONTH(A775))</f>
        <v/>
      </c>
      <c r="I775" s="33">
        <f>IF(A775="","",YEAR(A775))</f>
        <v/>
      </c>
    </row>
    <row r="776" ht="15" customHeight="1" s="21">
      <c r="A776" s="34" t="n"/>
      <c r="B776" s="30" t="n"/>
      <c r="C776" s="30" t="n"/>
      <c r="D776" s="30" t="n"/>
      <c r="E776" s="33">
        <f>IF(B776="","",IFERROR(INDEX(Productos!$B$2:$B$501,MATCH(B776,Productos!$A$2:$A$501,0)),"¿Código?"))</f>
        <v/>
      </c>
      <c r="F776" s="32">
        <f>IF(C776&lt;&gt;"Venta","",D776*IFERROR(INDEX(Productos!$D$2:$D$501,MATCH(B776,Productos!$A$2:$A$501,0)),0))</f>
        <v/>
      </c>
      <c r="G776" s="32">
        <f>IF(C776&lt;&gt;"Venta","",D776*IFERROR(INDEX(Productos!$E$2:$E$501,MATCH(B776,Productos!$A$2:$A$501,0)),0))</f>
        <v/>
      </c>
      <c r="H776" s="33">
        <f>IF(A776="","",MONTH(A776))</f>
        <v/>
      </c>
      <c r="I776" s="33">
        <f>IF(A776="","",YEAR(A776))</f>
        <v/>
      </c>
    </row>
    <row r="777" ht="15" customHeight="1" s="21">
      <c r="A777" s="34" t="n"/>
      <c r="B777" s="30" t="n"/>
      <c r="C777" s="30" t="n"/>
      <c r="D777" s="30" t="n"/>
      <c r="E777" s="33">
        <f>IF(B777="","",IFERROR(INDEX(Productos!$B$2:$B$501,MATCH(B777,Productos!$A$2:$A$501,0)),"¿Código?"))</f>
        <v/>
      </c>
      <c r="F777" s="32">
        <f>IF(C777&lt;&gt;"Venta","",D777*IFERROR(INDEX(Productos!$D$2:$D$501,MATCH(B777,Productos!$A$2:$A$501,0)),0))</f>
        <v/>
      </c>
      <c r="G777" s="32">
        <f>IF(C777&lt;&gt;"Venta","",D777*IFERROR(INDEX(Productos!$E$2:$E$501,MATCH(B777,Productos!$A$2:$A$501,0)),0))</f>
        <v/>
      </c>
      <c r="H777" s="33">
        <f>IF(A777="","",MONTH(A777))</f>
        <v/>
      </c>
      <c r="I777" s="33">
        <f>IF(A777="","",YEAR(A777))</f>
        <v/>
      </c>
    </row>
    <row r="778" ht="15" customHeight="1" s="21">
      <c r="A778" s="34" t="n"/>
      <c r="B778" s="30" t="n"/>
      <c r="C778" s="30" t="n"/>
      <c r="D778" s="30" t="n"/>
      <c r="E778" s="33">
        <f>IF(B778="","",IFERROR(INDEX(Productos!$B$2:$B$501,MATCH(B778,Productos!$A$2:$A$501,0)),"¿Código?"))</f>
        <v/>
      </c>
      <c r="F778" s="32">
        <f>IF(C778&lt;&gt;"Venta","",D778*IFERROR(INDEX(Productos!$D$2:$D$501,MATCH(B778,Productos!$A$2:$A$501,0)),0))</f>
        <v/>
      </c>
      <c r="G778" s="32">
        <f>IF(C778&lt;&gt;"Venta","",D778*IFERROR(INDEX(Productos!$E$2:$E$501,MATCH(B778,Productos!$A$2:$A$501,0)),0))</f>
        <v/>
      </c>
      <c r="H778" s="33">
        <f>IF(A778="","",MONTH(A778))</f>
        <v/>
      </c>
      <c r="I778" s="33">
        <f>IF(A778="","",YEAR(A778))</f>
        <v/>
      </c>
    </row>
    <row r="779" ht="15" customHeight="1" s="21">
      <c r="A779" s="34" t="n"/>
      <c r="B779" s="30" t="n"/>
      <c r="C779" s="30" t="n"/>
      <c r="D779" s="30" t="n"/>
      <c r="E779" s="33">
        <f>IF(B779="","",IFERROR(INDEX(Productos!$B$2:$B$501,MATCH(B779,Productos!$A$2:$A$501,0)),"¿Código?"))</f>
        <v/>
      </c>
      <c r="F779" s="32">
        <f>IF(C779&lt;&gt;"Venta","",D779*IFERROR(INDEX(Productos!$D$2:$D$501,MATCH(B779,Productos!$A$2:$A$501,0)),0))</f>
        <v/>
      </c>
      <c r="G779" s="32">
        <f>IF(C779&lt;&gt;"Venta","",D779*IFERROR(INDEX(Productos!$E$2:$E$501,MATCH(B779,Productos!$A$2:$A$501,0)),0))</f>
        <v/>
      </c>
      <c r="H779" s="33">
        <f>IF(A779="","",MONTH(A779))</f>
        <v/>
      </c>
      <c r="I779" s="33">
        <f>IF(A779="","",YEAR(A779))</f>
        <v/>
      </c>
    </row>
    <row r="780" ht="15" customHeight="1" s="21">
      <c r="A780" s="34" t="n"/>
      <c r="B780" s="30" t="n"/>
      <c r="C780" s="30" t="n"/>
      <c r="D780" s="30" t="n"/>
      <c r="E780" s="33">
        <f>IF(B780="","",IFERROR(INDEX(Productos!$B$2:$B$501,MATCH(B780,Productos!$A$2:$A$501,0)),"¿Código?"))</f>
        <v/>
      </c>
      <c r="F780" s="32">
        <f>IF(C780&lt;&gt;"Venta","",D780*IFERROR(INDEX(Productos!$D$2:$D$501,MATCH(B780,Productos!$A$2:$A$501,0)),0))</f>
        <v/>
      </c>
      <c r="G780" s="32">
        <f>IF(C780&lt;&gt;"Venta","",D780*IFERROR(INDEX(Productos!$E$2:$E$501,MATCH(B780,Productos!$A$2:$A$501,0)),0))</f>
        <v/>
      </c>
      <c r="H780" s="33">
        <f>IF(A780="","",MONTH(A780))</f>
        <v/>
      </c>
      <c r="I780" s="33">
        <f>IF(A780="","",YEAR(A780))</f>
        <v/>
      </c>
    </row>
    <row r="781" ht="15" customHeight="1" s="21">
      <c r="A781" s="34" t="n"/>
      <c r="B781" s="30" t="n"/>
      <c r="C781" s="30" t="n"/>
      <c r="D781" s="30" t="n"/>
      <c r="E781" s="33">
        <f>IF(B781="","",IFERROR(INDEX(Productos!$B$2:$B$501,MATCH(B781,Productos!$A$2:$A$501,0)),"¿Código?"))</f>
        <v/>
      </c>
      <c r="F781" s="32">
        <f>IF(C781&lt;&gt;"Venta","",D781*IFERROR(INDEX(Productos!$D$2:$D$501,MATCH(B781,Productos!$A$2:$A$501,0)),0))</f>
        <v/>
      </c>
      <c r="G781" s="32">
        <f>IF(C781&lt;&gt;"Venta","",D781*IFERROR(INDEX(Productos!$E$2:$E$501,MATCH(B781,Productos!$A$2:$A$501,0)),0))</f>
        <v/>
      </c>
      <c r="H781" s="33">
        <f>IF(A781="","",MONTH(A781))</f>
        <v/>
      </c>
      <c r="I781" s="33">
        <f>IF(A781="","",YEAR(A781))</f>
        <v/>
      </c>
    </row>
    <row r="782" ht="15" customHeight="1" s="21">
      <c r="A782" s="34" t="n"/>
      <c r="B782" s="30" t="n"/>
      <c r="C782" s="30" t="n"/>
      <c r="D782" s="30" t="n"/>
      <c r="E782" s="33">
        <f>IF(B782="","",IFERROR(INDEX(Productos!$B$2:$B$501,MATCH(B782,Productos!$A$2:$A$501,0)),"¿Código?"))</f>
        <v/>
      </c>
      <c r="F782" s="32">
        <f>IF(C782&lt;&gt;"Venta","",D782*IFERROR(INDEX(Productos!$D$2:$D$501,MATCH(B782,Productos!$A$2:$A$501,0)),0))</f>
        <v/>
      </c>
      <c r="G782" s="32">
        <f>IF(C782&lt;&gt;"Venta","",D782*IFERROR(INDEX(Productos!$E$2:$E$501,MATCH(B782,Productos!$A$2:$A$501,0)),0))</f>
        <v/>
      </c>
      <c r="H782" s="33">
        <f>IF(A782="","",MONTH(A782))</f>
        <v/>
      </c>
      <c r="I782" s="33">
        <f>IF(A782="","",YEAR(A782))</f>
        <v/>
      </c>
    </row>
    <row r="783" ht="15" customHeight="1" s="21">
      <c r="A783" s="34" t="n"/>
      <c r="B783" s="30" t="n"/>
      <c r="C783" s="30" t="n"/>
      <c r="D783" s="30" t="n"/>
      <c r="E783" s="33">
        <f>IF(B783="","",IFERROR(INDEX(Productos!$B$2:$B$501,MATCH(B783,Productos!$A$2:$A$501,0)),"¿Código?"))</f>
        <v/>
      </c>
      <c r="F783" s="32">
        <f>IF(C783&lt;&gt;"Venta","",D783*IFERROR(INDEX(Productos!$D$2:$D$501,MATCH(B783,Productos!$A$2:$A$501,0)),0))</f>
        <v/>
      </c>
      <c r="G783" s="32">
        <f>IF(C783&lt;&gt;"Venta","",D783*IFERROR(INDEX(Productos!$E$2:$E$501,MATCH(B783,Productos!$A$2:$A$501,0)),0))</f>
        <v/>
      </c>
      <c r="H783" s="33">
        <f>IF(A783="","",MONTH(A783))</f>
        <v/>
      </c>
      <c r="I783" s="33">
        <f>IF(A783="","",YEAR(A783))</f>
        <v/>
      </c>
    </row>
    <row r="784" ht="15" customHeight="1" s="21">
      <c r="A784" s="34" t="n"/>
      <c r="B784" s="30" t="n"/>
      <c r="C784" s="30" t="n"/>
      <c r="D784" s="30" t="n"/>
      <c r="E784" s="33">
        <f>IF(B784="","",IFERROR(INDEX(Productos!$B$2:$B$501,MATCH(B784,Productos!$A$2:$A$501,0)),"¿Código?"))</f>
        <v/>
      </c>
      <c r="F784" s="32">
        <f>IF(C784&lt;&gt;"Venta","",D784*IFERROR(INDEX(Productos!$D$2:$D$501,MATCH(B784,Productos!$A$2:$A$501,0)),0))</f>
        <v/>
      </c>
      <c r="G784" s="32">
        <f>IF(C784&lt;&gt;"Venta","",D784*IFERROR(INDEX(Productos!$E$2:$E$501,MATCH(B784,Productos!$A$2:$A$501,0)),0))</f>
        <v/>
      </c>
      <c r="H784" s="33">
        <f>IF(A784="","",MONTH(A784))</f>
        <v/>
      </c>
      <c r="I784" s="33">
        <f>IF(A784="","",YEAR(A784))</f>
        <v/>
      </c>
    </row>
    <row r="785" ht="15" customHeight="1" s="21">
      <c r="A785" s="34" t="n"/>
      <c r="B785" s="30" t="n"/>
      <c r="C785" s="30" t="n"/>
      <c r="D785" s="30" t="n"/>
      <c r="E785" s="33">
        <f>IF(B785="","",IFERROR(INDEX(Productos!$B$2:$B$501,MATCH(B785,Productos!$A$2:$A$501,0)),"¿Código?"))</f>
        <v/>
      </c>
      <c r="F785" s="32">
        <f>IF(C785&lt;&gt;"Venta","",D785*IFERROR(INDEX(Productos!$D$2:$D$501,MATCH(B785,Productos!$A$2:$A$501,0)),0))</f>
        <v/>
      </c>
      <c r="G785" s="32">
        <f>IF(C785&lt;&gt;"Venta","",D785*IFERROR(INDEX(Productos!$E$2:$E$501,MATCH(B785,Productos!$A$2:$A$501,0)),0))</f>
        <v/>
      </c>
      <c r="H785" s="33">
        <f>IF(A785="","",MONTH(A785))</f>
        <v/>
      </c>
      <c r="I785" s="33">
        <f>IF(A785="","",YEAR(A785))</f>
        <v/>
      </c>
    </row>
    <row r="786" ht="15" customHeight="1" s="21">
      <c r="A786" s="34" t="n"/>
      <c r="B786" s="30" t="n"/>
      <c r="C786" s="30" t="n"/>
      <c r="D786" s="30" t="n"/>
      <c r="E786" s="33">
        <f>IF(B786="","",IFERROR(INDEX(Productos!$B$2:$B$501,MATCH(B786,Productos!$A$2:$A$501,0)),"¿Código?"))</f>
        <v/>
      </c>
      <c r="F786" s="32">
        <f>IF(C786&lt;&gt;"Venta","",D786*IFERROR(INDEX(Productos!$D$2:$D$501,MATCH(B786,Productos!$A$2:$A$501,0)),0))</f>
        <v/>
      </c>
      <c r="G786" s="32">
        <f>IF(C786&lt;&gt;"Venta","",D786*IFERROR(INDEX(Productos!$E$2:$E$501,MATCH(B786,Productos!$A$2:$A$501,0)),0))</f>
        <v/>
      </c>
      <c r="H786" s="33">
        <f>IF(A786="","",MONTH(A786))</f>
        <v/>
      </c>
      <c r="I786" s="33">
        <f>IF(A786="","",YEAR(A786))</f>
        <v/>
      </c>
    </row>
    <row r="787" ht="15" customHeight="1" s="21">
      <c r="A787" s="34" t="n"/>
      <c r="B787" s="30" t="n"/>
      <c r="C787" s="30" t="n"/>
      <c r="D787" s="30" t="n"/>
      <c r="E787" s="33">
        <f>IF(B787="","",IFERROR(INDEX(Productos!$B$2:$B$501,MATCH(B787,Productos!$A$2:$A$501,0)),"¿Código?"))</f>
        <v/>
      </c>
      <c r="F787" s="32">
        <f>IF(C787&lt;&gt;"Venta","",D787*IFERROR(INDEX(Productos!$D$2:$D$501,MATCH(B787,Productos!$A$2:$A$501,0)),0))</f>
        <v/>
      </c>
      <c r="G787" s="32">
        <f>IF(C787&lt;&gt;"Venta","",D787*IFERROR(INDEX(Productos!$E$2:$E$501,MATCH(B787,Productos!$A$2:$A$501,0)),0))</f>
        <v/>
      </c>
      <c r="H787" s="33">
        <f>IF(A787="","",MONTH(A787))</f>
        <v/>
      </c>
      <c r="I787" s="33">
        <f>IF(A787="","",YEAR(A787))</f>
        <v/>
      </c>
    </row>
    <row r="788" ht="15" customHeight="1" s="21">
      <c r="A788" s="34" t="n"/>
      <c r="B788" s="30" t="n"/>
      <c r="C788" s="30" t="n"/>
      <c r="D788" s="30" t="n"/>
      <c r="E788" s="33">
        <f>IF(B788="","",IFERROR(INDEX(Productos!$B$2:$B$501,MATCH(B788,Productos!$A$2:$A$501,0)),"¿Código?"))</f>
        <v/>
      </c>
      <c r="F788" s="32">
        <f>IF(C788&lt;&gt;"Venta","",D788*IFERROR(INDEX(Productos!$D$2:$D$501,MATCH(B788,Productos!$A$2:$A$501,0)),0))</f>
        <v/>
      </c>
      <c r="G788" s="32">
        <f>IF(C788&lt;&gt;"Venta","",D788*IFERROR(INDEX(Productos!$E$2:$E$501,MATCH(B788,Productos!$A$2:$A$501,0)),0))</f>
        <v/>
      </c>
      <c r="H788" s="33">
        <f>IF(A788="","",MONTH(A788))</f>
        <v/>
      </c>
      <c r="I788" s="33">
        <f>IF(A788="","",YEAR(A788))</f>
        <v/>
      </c>
    </row>
    <row r="789" ht="15" customHeight="1" s="21">
      <c r="A789" s="34" t="n"/>
      <c r="B789" s="30" t="n"/>
      <c r="C789" s="30" t="n"/>
      <c r="D789" s="30" t="n"/>
      <c r="E789" s="33">
        <f>IF(B789="","",IFERROR(INDEX(Productos!$B$2:$B$501,MATCH(B789,Productos!$A$2:$A$501,0)),"¿Código?"))</f>
        <v/>
      </c>
      <c r="F789" s="32">
        <f>IF(C789&lt;&gt;"Venta","",D789*IFERROR(INDEX(Productos!$D$2:$D$501,MATCH(B789,Productos!$A$2:$A$501,0)),0))</f>
        <v/>
      </c>
      <c r="G789" s="32">
        <f>IF(C789&lt;&gt;"Venta","",D789*IFERROR(INDEX(Productos!$E$2:$E$501,MATCH(B789,Productos!$A$2:$A$501,0)),0))</f>
        <v/>
      </c>
      <c r="H789" s="33">
        <f>IF(A789="","",MONTH(A789))</f>
        <v/>
      </c>
      <c r="I789" s="33">
        <f>IF(A789="","",YEAR(A789))</f>
        <v/>
      </c>
    </row>
    <row r="790" ht="15" customHeight="1" s="21">
      <c r="A790" s="34" t="n"/>
      <c r="B790" s="30" t="n"/>
      <c r="C790" s="30" t="n"/>
      <c r="D790" s="30" t="n"/>
      <c r="E790" s="33">
        <f>IF(B790="","",IFERROR(INDEX(Productos!$B$2:$B$501,MATCH(B790,Productos!$A$2:$A$501,0)),"¿Código?"))</f>
        <v/>
      </c>
      <c r="F790" s="32">
        <f>IF(C790&lt;&gt;"Venta","",D790*IFERROR(INDEX(Productos!$D$2:$D$501,MATCH(B790,Productos!$A$2:$A$501,0)),0))</f>
        <v/>
      </c>
      <c r="G790" s="32">
        <f>IF(C790&lt;&gt;"Venta","",D790*IFERROR(INDEX(Productos!$E$2:$E$501,MATCH(B790,Productos!$A$2:$A$501,0)),0))</f>
        <v/>
      </c>
      <c r="H790" s="33">
        <f>IF(A790="","",MONTH(A790))</f>
        <v/>
      </c>
      <c r="I790" s="33">
        <f>IF(A790="","",YEAR(A790))</f>
        <v/>
      </c>
    </row>
    <row r="791" ht="15" customHeight="1" s="21">
      <c r="A791" s="34" t="n"/>
      <c r="B791" s="30" t="n"/>
      <c r="C791" s="30" t="n"/>
      <c r="D791" s="30" t="n"/>
      <c r="E791" s="33">
        <f>IF(B791="","",IFERROR(INDEX(Productos!$B$2:$B$501,MATCH(B791,Productos!$A$2:$A$501,0)),"¿Código?"))</f>
        <v/>
      </c>
      <c r="F791" s="32">
        <f>IF(C791&lt;&gt;"Venta","",D791*IFERROR(INDEX(Productos!$D$2:$D$501,MATCH(B791,Productos!$A$2:$A$501,0)),0))</f>
        <v/>
      </c>
      <c r="G791" s="32">
        <f>IF(C791&lt;&gt;"Venta","",D791*IFERROR(INDEX(Productos!$E$2:$E$501,MATCH(B791,Productos!$A$2:$A$501,0)),0))</f>
        <v/>
      </c>
      <c r="H791" s="33">
        <f>IF(A791="","",MONTH(A791))</f>
        <v/>
      </c>
      <c r="I791" s="33">
        <f>IF(A791="","",YEAR(A791))</f>
        <v/>
      </c>
    </row>
    <row r="792" ht="15" customHeight="1" s="21">
      <c r="A792" s="34" t="n"/>
      <c r="B792" s="30" t="n"/>
      <c r="C792" s="30" t="n"/>
      <c r="D792" s="30" t="n"/>
      <c r="E792" s="33">
        <f>IF(B792="","",IFERROR(INDEX(Productos!$B$2:$B$501,MATCH(B792,Productos!$A$2:$A$501,0)),"¿Código?"))</f>
        <v/>
      </c>
      <c r="F792" s="32">
        <f>IF(C792&lt;&gt;"Venta","",D792*IFERROR(INDEX(Productos!$D$2:$D$501,MATCH(B792,Productos!$A$2:$A$501,0)),0))</f>
        <v/>
      </c>
      <c r="G792" s="32">
        <f>IF(C792&lt;&gt;"Venta","",D792*IFERROR(INDEX(Productos!$E$2:$E$501,MATCH(B792,Productos!$A$2:$A$501,0)),0))</f>
        <v/>
      </c>
      <c r="H792" s="33">
        <f>IF(A792="","",MONTH(A792))</f>
        <v/>
      </c>
      <c r="I792" s="33">
        <f>IF(A792="","",YEAR(A792))</f>
        <v/>
      </c>
    </row>
    <row r="793" ht="15" customHeight="1" s="21">
      <c r="A793" s="34" t="n"/>
      <c r="B793" s="30" t="n"/>
      <c r="C793" s="30" t="n"/>
      <c r="D793" s="30" t="n"/>
      <c r="E793" s="33">
        <f>IF(B793="","",IFERROR(INDEX(Productos!$B$2:$B$501,MATCH(B793,Productos!$A$2:$A$501,0)),"¿Código?"))</f>
        <v/>
      </c>
      <c r="F793" s="32">
        <f>IF(C793&lt;&gt;"Venta","",D793*IFERROR(INDEX(Productos!$D$2:$D$501,MATCH(B793,Productos!$A$2:$A$501,0)),0))</f>
        <v/>
      </c>
      <c r="G793" s="32">
        <f>IF(C793&lt;&gt;"Venta","",D793*IFERROR(INDEX(Productos!$E$2:$E$501,MATCH(B793,Productos!$A$2:$A$501,0)),0))</f>
        <v/>
      </c>
      <c r="H793" s="33">
        <f>IF(A793="","",MONTH(A793))</f>
        <v/>
      </c>
      <c r="I793" s="33">
        <f>IF(A793="","",YEAR(A793))</f>
        <v/>
      </c>
    </row>
    <row r="794" ht="15" customHeight="1" s="21">
      <c r="A794" s="34" t="n"/>
      <c r="B794" s="30" t="n"/>
      <c r="C794" s="30" t="n"/>
      <c r="D794" s="30" t="n"/>
      <c r="E794" s="33">
        <f>IF(B794="","",IFERROR(INDEX(Productos!$B$2:$B$501,MATCH(B794,Productos!$A$2:$A$501,0)),"¿Código?"))</f>
        <v/>
      </c>
      <c r="F794" s="32">
        <f>IF(C794&lt;&gt;"Venta","",D794*IFERROR(INDEX(Productos!$D$2:$D$501,MATCH(B794,Productos!$A$2:$A$501,0)),0))</f>
        <v/>
      </c>
      <c r="G794" s="32">
        <f>IF(C794&lt;&gt;"Venta","",D794*IFERROR(INDEX(Productos!$E$2:$E$501,MATCH(B794,Productos!$A$2:$A$501,0)),0))</f>
        <v/>
      </c>
      <c r="H794" s="33">
        <f>IF(A794="","",MONTH(A794))</f>
        <v/>
      </c>
      <c r="I794" s="33">
        <f>IF(A794="","",YEAR(A794))</f>
        <v/>
      </c>
    </row>
    <row r="795" ht="15" customHeight="1" s="21">
      <c r="A795" s="34" t="n"/>
      <c r="B795" s="30" t="n"/>
      <c r="C795" s="30" t="n"/>
      <c r="D795" s="30" t="n"/>
      <c r="E795" s="33">
        <f>IF(B795="","",IFERROR(INDEX(Productos!$B$2:$B$501,MATCH(B795,Productos!$A$2:$A$501,0)),"¿Código?"))</f>
        <v/>
      </c>
      <c r="F795" s="32">
        <f>IF(C795&lt;&gt;"Venta","",D795*IFERROR(INDEX(Productos!$D$2:$D$501,MATCH(B795,Productos!$A$2:$A$501,0)),0))</f>
        <v/>
      </c>
      <c r="G795" s="32">
        <f>IF(C795&lt;&gt;"Venta","",D795*IFERROR(INDEX(Productos!$E$2:$E$501,MATCH(B795,Productos!$A$2:$A$501,0)),0))</f>
        <v/>
      </c>
      <c r="H795" s="33">
        <f>IF(A795="","",MONTH(A795))</f>
        <v/>
      </c>
      <c r="I795" s="33">
        <f>IF(A795="","",YEAR(A795))</f>
        <v/>
      </c>
    </row>
    <row r="796" ht="15" customHeight="1" s="21">
      <c r="A796" s="34" t="n"/>
      <c r="B796" s="30" t="n"/>
      <c r="C796" s="30" t="n"/>
      <c r="D796" s="30" t="n"/>
      <c r="E796" s="33">
        <f>IF(B796="","",IFERROR(INDEX(Productos!$B$2:$B$501,MATCH(B796,Productos!$A$2:$A$501,0)),"¿Código?"))</f>
        <v/>
      </c>
      <c r="F796" s="32">
        <f>IF(C796&lt;&gt;"Venta","",D796*IFERROR(INDEX(Productos!$D$2:$D$501,MATCH(B796,Productos!$A$2:$A$501,0)),0))</f>
        <v/>
      </c>
      <c r="G796" s="32">
        <f>IF(C796&lt;&gt;"Venta","",D796*IFERROR(INDEX(Productos!$E$2:$E$501,MATCH(B796,Productos!$A$2:$A$501,0)),0))</f>
        <v/>
      </c>
      <c r="H796" s="33">
        <f>IF(A796="","",MONTH(A796))</f>
        <v/>
      </c>
      <c r="I796" s="33">
        <f>IF(A796="","",YEAR(A796))</f>
        <v/>
      </c>
    </row>
    <row r="797" ht="15" customHeight="1" s="21">
      <c r="A797" s="34" t="n"/>
      <c r="B797" s="30" t="n"/>
      <c r="C797" s="30" t="n"/>
      <c r="D797" s="30" t="n"/>
      <c r="E797" s="33">
        <f>IF(B797="","",IFERROR(INDEX(Productos!$B$2:$B$501,MATCH(B797,Productos!$A$2:$A$501,0)),"¿Código?"))</f>
        <v/>
      </c>
      <c r="F797" s="32">
        <f>IF(C797&lt;&gt;"Venta","",D797*IFERROR(INDEX(Productos!$D$2:$D$501,MATCH(B797,Productos!$A$2:$A$501,0)),0))</f>
        <v/>
      </c>
      <c r="G797" s="32">
        <f>IF(C797&lt;&gt;"Venta","",D797*IFERROR(INDEX(Productos!$E$2:$E$501,MATCH(B797,Productos!$A$2:$A$501,0)),0))</f>
        <v/>
      </c>
      <c r="H797" s="33">
        <f>IF(A797="","",MONTH(A797))</f>
        <v/>
      </c>
      <c r="I797" s="33">
        <f>IF(A797="","",YEAR(A797))</f>
        <v/>
      </c>
    </row>
    <row r="798" ht="15" customHeight="1" s="21">
      <c r="A798" s="34" t="n"/>
      <c r="B798" s="30" t="n"/>
      <c r="C798" s="30" t="n"/>
      <c r="D798" s="30" t="n"/>
      <c r="E798" s="33">
        <f>IF(B798="","",IFERROR(INDEX(Productos!$B$2:$B$501,MATCH(B798,Productos!$A$2:$A$501,0)),"¿Código?"))</f>
        <v/>
      </c>
      <c r="F798" s="32">
        <f>IF(C798&lt;&gt;"Venta","",D798*IFERROR(INDEX(Productos!$D$2:$D$501,MATCH(B798,Productos!$A$2:$A$501,0)),0))</f>
        <v/>
      </c>
      <c r="G798" s="32">
        <f>IF(C798&lt;&gt;"Venta","",D798*IFERROR(INDEX(Productos!$E$2:$E$501,MATCH(B798,Productos!$A$2:$A$501,0)),0))</f>
        <v/>
      </c>
      <c r="H798" s="33">
        <f>IF(A798="","",MONTH(A798))</f>
        <v/>
      </c>
      <c r="I798" s="33">
        <f>IF(A798="","",YEAR(A798))</f>
        <v/>
      </c>
    </row>
    <row r="799" ht="15" customHeight="1" s="21">
      <c r="A799" s="34" t="n"/>
      <c r="B799" s="30" t="n"/>
      <c r="C799" s="30" t="n"/>
      <c r="D799" s="30" t="n"/>
      <c r="E799" s="33">
        <f>IF(B799="","",IFERROR(INDEX(Productos!$B$2:$B$501,MATCH(B799,Productos!$A$2:$A$501,0)),"¿Código?"))</f>
        <v/>
      </c>
      <c r="F799" s="32">
        <f>IF(C799&lt;&gt;"Venta","",D799*IFERROR(INDEX(Productos!$D$2:$D$501,MATCH(B799,Productos!$A$2:$A$501,0)),0))</f>
        <v/>
      </c>
      <c r="G799" s="32">
        <f>IF(C799&lt;&gt;"Venta","",D799*IFERROR(INDEX(Productos!$E$2:$E$501,MATCH(B799,Productos!$A$2:$A$501,0)),0))</f>
        <v/>
      </c>
      <c r="H799" s="33">
        <f>IF(A799="","",MONTH(A799))</f>
        <v/>
      </c>
      <c r="I799" s="33">
        <f>IF(A799="","",YEAR(A799))</f>
        <v/>
      </c>
    </row>
    <row r="800" ht="15" customHeight="1" s="21">
      <c r="A800" s="34" t="n"/>
      <c r="B800" s="30" t="n"/>
      <c r="C800" s="30" t="n"/>
      <c r="D800" s="30" t="n"/>
      <c r="E800" s="33">
        <f>IF(B800="","",IFERROR(INDEX(Productos!$B$2:$B$501,MATCH(B800,Productos!$A$2:$A$501,0)),"¿Código?"))</f>
        <v/>
      </c>
      <c r="F800" s="32">
        <f>IF(C800&lt;&gt;"Venta","",D800*IFERROR(INDEX(Productos!$D$2:$D$501,MATCH(B800,Productos!$A$2:$A$501,0)),0))</f>
        <v/>
      </c>
      <c r="G800" s="32">
        <f>IF(C800&lt;&gt;"Venta","",D800*IFERROR(INDEX(Productos!$E$2:$E$501,MATCH(B800,Productos!$A$2:$A$501,0)),0))</f>
        <v/>
      </c>
      <c r="H800" s="33">
        <f>IF(A800="","",MONTH(A800))</f>
        <v/>
      </c>
      <c r="I800" s="33">
        <f>IF(A800="","",YEAR(A800))</f>
        <v/>
      </c>
    </row>
    <row r="801" ht="15" customHeight="1" s="21">
      <c r="A801" s="34" t="n"/>
      <c r="B801" s="30" t="n"/>
      <c r="C801" s="30" t="n"/>
      <c r="D801" s="30" t="n"/>
      <c r="E801" s="33">
        <f>IF(B801="","",IFERROR(INDEX(Productos!$B$2:$B$501,MATCH(B801,Productos!$A$2:$A$501,0)),"¿Código?"))</f>
        <v/>
      </c>
      <c r="F801" s="32">
        <f>IF(C801&lt;&gt;"Venta","",D801*IFERROR(INDEX(Productos!$D$2:$D$501,MATCH(B801,Productos!$A$2:$A$501,0)),0))</f>
        <v/>
      </c>
      <c r="G801" s="32">
        <f>IF(C801&lt;&gt;"Venta","",D801*IFERROR(INDEX(Productos!$E$2:$E$501,MATCH(B801,Productos!$A$2:$A$501,0)),0))</f>
        <v/>
      </c>
      <c r="H801" s="33">
        <f>IF(A801="","",MONTH(A801))</f>
        <v/>
      </c>
      <c r="I801" s="33">
        <f>IF(A801="","",YEAR(A801))</f>
        <v/>
      </c>
    </row>
    <row r="802" ht="15" customHeight="1" s="21">
      <c r="A802" s="34" t="n"/>
      <c r="B802" s="30" t="n"/>
      <c r="C802" s="30" t="n"/>
      <c r="D802" s="30" t="n"/>
      <c r="E802" s="33">
        <f>IF(B802="","",IFERROR(INDEX(Productos!$B$2:$B$501,MATCH(B802,Productos!$A$2:$A$501,0)),"¿Código?"))</f>
        <v/>
      </c>
      <c r="F802" s="32">
        <f>IF(C802&lt;&gt;"Venta","",D802*IFERROR(INDEX(Productos!$D$2:$D$501,MATCH(B802,Productos!$A$2:$A$501,0)),0))</f>
        <v/>
      </c>
      <c r="G802" s="32">
        <f>IF(C802&lt;&gt;"Venta","",D802*IFERROR(INDEX(Productos!$E$2:$E$501,MATCH(B802,Productos!$A$2:$A$501,0)),0))</f>
        <v/>
      </c>
      <c r="H802" s="33">
        <f>IF(A802="","",MONTH(A802))</f>
        <v/>
      </c>
      <c r="I802" s="33">
        <f>IF(A802="","",YEAR(A802))</f>
        <v/>
      </c>
    </row>
    <row r="803" ht="15" customHeight="1" s="21">
      <c r="A803" s="34" t="n"/>
      <c r="B803" s="30" t="n"/>
      <c r="C803" s="30" t="n"/>
      <c r="D803" s="30" t="n"/>
      <c r="E803" s="33">
        <f>IF(B803="","",IFERROR(INDEX(Productos!$B$2:$B$501,MATCH(B803,Productos!$A$2:$A$501,0)),"¿Código?"))</f>
        <v/>
      </c>
      <c r="F803" s="32">
        <f>IF(C803&lt;&gt;"Venta","",D803*IFERROR(INDEX(Productos!$D$2:$D$501,MATCH(B803,Productos!$A$2:$A$501,0)),0))</f>
        <v/>
      </c>
      <c r="G803" s="32">
        <f>IF(C803&lt;&gt;"Venta","",D803*IFERROR(INDEX(Productos!$E$2:$E$501,MATCH(B803,Productos!$A$2:$A$501,0)),0))</f>
        <v/>
      </c>
      <c r="H803" s="33">
        <f>IF(A803="","",MONTH(A803))</f>
        <v/>
      </c>
      <c r="I803" s="33">
        <f>IF(A803="","",YEAR(A803))</f>
        <v/>
      </c>
    </row>
    <row r="804" ht="15" customHeight="1" s="21">
      <c r="A804" s="34" t="n"/>
      <c r="B804" s="30" t="n"/>
      <c r="C804" s="30" t="n"/>
      <c r="D804" s="30" t="n"/>
      <c r="E804" s="33">
        <f>IF(B804="","",IFERROR(INDEX(Productos!$B$2:$B$501,MATCH(B804,Productos!$A$2:$A$501,0)),"¿Código?"))</f>
        <v/>
      </c>
      <c r="F804" s="32">
        <f>IF(C804&lt;&gt;"Venta","",D804*IFERROR(INDEX(Productos!$D$2:$D$501,MATCH(B804,Productos!$A$2:$A$501,0)),0))</f>
        <v/>
      </c>
      <c r="G804" s="32">
        <f>IF(C804&lt;&gt;"Venta","",D804*IFERROR(INDEX(Productos!$E$2:$E$501,MATCH(B804,Productos!$A$2:$A$501,0)),0))</f>
        <v/>
      </c>
      <c r="H804" s="33">
        <f>IF(A804="","",MONTH(A804))</f>
        <v/>
      </c>
      <c r="I804" s="33">
        <f>IF(A804="","",YEAR(A804))</f>
        <v/>
      </c>
    </row>
    <row r="805" ht="15" customHeight="1" s="21">
      <c r="A805" s="34" t="n"/>
      <c r="B805" s="30" t="n"/>
      <c r="C805" s="30" t="n"/>
      <c r="D805" s="30" t="n"/>
      <c r="E805" s="33">
        <f>IF(B805="","",IFERROR(INDEX(Productos!$B$2:$B$501,MATCH(B805,Productos!$A$2:$A$501,0)),"¿Código?"))</f>
        <v/>
      </c>
      <c r="F805" s="32">
        <f>IF(C805&lt;&gt;"Venta","",D805*IFERROR(INDEX(Productos!$D$2:$D$501,MATCH(B805,Productos!$A$2:$A$501,0)),0))</f>
        <v/>
      </c>
      <c r="G805" s="32">
        <f>IF(C805&lt;&gt;"Venta","",D805*IFERROR(INDEX(Productos!$E$2:$E$501,MATCH(B805,Productos!$A$2:$A$501,0)),0))</f>
        <v/>
      </c>
      <c r="H805" s="33">
        <f>IF(A805="","",MONTH(A805))</f>
        <v/>
      </c>
      <c r="I805" s="33">
        <f>IF(A805="","",YEAR(A805))</f>
        <v/>
      </c>
    </row>
    <row r="806" ht="15" customHeight="1" s="21">
      <c r="A806" s="34" t="n"/>
      <c r="B806" s="30" t="n"/>
      <c r="C806" s="30" t="n"/>
      <c r="D806" s="30" t="n"/>
      <c r="E806" s="33">
        <f>IF(B806="","",IFERROR(INDEX(Productos!$B$2:$B$501,MATCH(B806,Productos!$A$2:$A$501,0)),"¿Código?"))</f>
        <v/>
      </c>
      <c r="F806" s="32">
        <f>IF(C806&lt;&gt;"Venta","",D806*IFERROR(INDEX(Productos!$D$2:$D$501,MATCH(B806,Productos!$A$2:$A$501,0)),0))</f>
        <v/>
      </c>
      <c r="G806" s="32">
        <f>IF(C806&lt;&gt;"Venta","",D806*IFERROR(INDEX(Productos!$E$2:$E$501,MATCH(B806,Productos!$A$2:$A$501,0)),0))</f>
        <v/>
      </c>
      <c r="H806" s="33">
        <f>IF(A806="","",MONTH(A806))</f>
        <v/>
      </c>
      <c r="I806" s="33">
        <f>IF(A806="","",YEAR(A806))</f>
        <v/>
      </c>
    </row>
    <row r="807" ht="15" customHeight="1" s="21">
      <c r="A807" s="34" t="n"/>
      <c r="B807" s="30" t="n"/>
      <c r="C807" s="30" t="n"/>
      <c r="D807" s="30" t="n"/>
      <c r="E807" s="33">
        <f>IF(B807="","",IFERROR(INDEX(Productos!$B$2:$B$501,MATCH(B807,Productos!$A$2:$A$501,0)),"¿Código?"))</f>
        <v/>
      </c>
      <c r="F807" s="32">
        <f>IF(C807&lt;&gt;"Venta","",D807*IFERROR(INDEX(Productos!$D$2:$D$501,MATCH(B807,Productos!$A$2:$A$501,0)),0))</f>
        <v/>
      </c>
      <c r="G807" s="32">
        <f>IF(C807&lt;&gt;"Venta","",D807*IFERROR(INDEX(Productos!$E$2:$E$501,MATCH(B807,Productos!$A$2:$A$501,0)),0))</f>
        <v/>
      </c>
      <c r="H807" s="33">
        <f>IF(A807="","",MONTH(A807))</f>
        <v/>
      </c>
      <c r="I807" s="33">
        <f>IF(A807="","",YEAR(A807))</f>
        <v/>
      </c>
    </row>
    <row r="808" ht="15" customHeight="1" s="21">
      <c r="A808" s="34" t="n"/>
      <c r="B808" s="30" t="n"/>
      <c r="C808" s="30" t="n"/>
      <c r="D808" s="30" t="n"/>
      <c r="E808" s="33">
        <f>IF(B808="","",IFERROR(INDEX(Productos!$B$2:$B$501,MATCH(B808,Productos!$A$2:$A$501,0)),"¿Código?"))</f>
        <v/>
      </c>
      <c r="F808" s="32">
        <f>IF(C808&lt;&gt;"Venta","",D808*IFERROR(INDEX(Productos!$D$2:$D$501,MATCH(B808,Productos!$A$2:$A$501,0)),0))</f>
        <v/>
      </c>
      <c r="G808" s="32">
        <f>IF(C808&lt;&gt;"Venta","",D808*IFERROR(INDEX(Productos!$E$2:$E$501,MATCH(B808,Productos!$A$2:$A$501,0)),0))</f>
        <v/>
      </c>
      <c r="H808" s="33">
        <f>IF(A808="","",MONTH(A808))</f>
        <v/>
      </c>
      <c r="I808" s="33">
        <f>IF(A808="","",YEAR(A808))</f>
        <v/>
      </c>
    </row>
    <row r="809" ht="15" customHeight="1" s="21">
      <c r="A809" s="34" t="n"/>
      <c r="B809" s="30" t="n"/>
      <c r="C809" s="30" t="n"/>
      <c r="D809" s="30" t="n"/>
      <c r="E809" s="33">
        <f>IF(B809="","",IFERROR(INDEX(Productos!$B$2:$B$501,MATCH(B809,Productos!$A$2:$A$501,0)),"¿Código?"))</f>
        <v/>
      </c>
      <c r="F809" s="32">
        <f>IF(C809&lt;&gt;"Venta","",D809*IFERROR(INDEX(Productos!$D$2:$D$501,MATCH(B809,Productos!$A$2:$A$501,0)),0))</f>
        <v/>
      </c>
      <c r="G809" s="32">
        <f>IF(C809&lt;&gt;"Venta","",D809*IFERROR(INDEX(Productos!$E$2:$E$501,MATCH(B809,Productos!$A$2:$A$501,0)),0))</f>
        <v/>
      </c>
      <c r="H809" s="33">
        <f>IF(A809="","",MONTH(A809))</f>
        <v/>
      </c>
      <c r="I809" s="33">
        <f>IF(A809="","",YEAR(A809))</f>
        <v/>
      </c>
    </row>
    <row r="810" ht="15" customHeight="1" s="21">
      <c r="A810" s="34" t="n"/>
      <c r="B810" s="30" t="n"/>
      <c r="C810" s="30" t="n"/>
      <c r="D810" s="30" t="n"/>
      <c r="E810" s="33">
        <f>IF(B810="","",IFERROR(INDEX(Productos!$B$2:$B$501,MATCH(B810,Productos!$A$2:$A$501,0)),"¿Código?"))</f>
        <v/>
      </c>
      <c r="F810" s="32">
        <f>IF(C810&lt;&gt;"Venta","",D810*IFERROR(INDEX(Productos!$D$2:$D$501,MATCH(B810,Productos!$A$2:$A$501,0)),0))</f>
        <v/>
      </c>
      <c r="G810" s="32">
        <f>IF(C810&lt;&gt;"Venta","",D810*IFERROR(INDEX(Productos!$E$2:$E$501,MATCH(B810,Productos!$A$2:$A$501,0)),0))</f>
        <v/>
      </c>
      <c r="H810" s="33">
        <f>IF(A810="","",MONTH(A810))</f>
        <v/>
      </c>
      <c r="I810" s="33">
        <f>IF(A810="","",YEAR(A810))</f>
        <v/>
      </c>
    </row>
    <row r="811" ht="15" customHeight="1" s="21">
      <c r="A811" s="34" t="n"/>
      <c r="B811" s="30" t="n"/>
      <c r="C811" s="30" t="n"/>
      <c r="D811" s="30" t="n"/>
      <c r="E811" s="33">
        <f>IF(B811="","",IFERROR(INDEX(Productos!$B$2:$B$501,MATCH(B811,Productos!$A$2:$A$501,0)),"¿Código?"))</f>
        <v/>
      </c>
      <c r="F811" s="32">
        <f>IF(C811&lt;&gt;"Venta","",D811*IFERROR(INDEX(Productos!$D$2:$D$501,MATCH(B811,Productos!$A$2:$A$501,0)),0))</f>
        <v/>
      </c>
      <c r="G811" s="32">
        <f>IF(C811&lt;&gt;"Venta","",D811*IFERROR(INDEX(Productos!$E$2:$E$501,MATCH(B811,Productos!$A$2:$A$501,0)),0))</f>
        <v/>
      </c>
      <c r="H811" s="33">
        <f>IF(A811="","",MONTH(A811))</f>
        <v/>
      </c>
      <c r="I811" s="33">
        <f>IF(A811="","",YEAR(A811))</f>
        <v/>
      </c>
    </row>
    <row r="812" ht="15" customHeight="1" s="21">
      <c r="A812" s="34" t="n"/>
      <c r="B812" s="30" t="n"/>
      <c r="C812" s="30" t="n"/>
      <c r="D812" s="30" t="n"/>
      <c r="E812" s="33">
        <f>IF(B812="","",IFERROR(INDEX(Productos!$B$2:$B$501,MATCH(B812,Productos!$A$2:$A$501,0)),"¿Código?"))</f>
        <v/>
      </c>
      <c r="F812" s="32">
        <f>IF(C812&lt;&gt;"Venta","",D812*IFERROR(INDEX(Productos!$D$2:$D$501,MATCH(B812,Productos!$A$2:$A$501,0)),0))</f>
        <v/>
      </c>
      <c r="G812" s="32">
        <f>IF(C812&lt;&gt;"Venta","",D812*IFERROR(INDEX(Productos!$E$2:$E$501,MATCH(B812,Productos!$A$2:$A$501,0)),0))</f>
        <v/>
      </c>
      <c r="H812" s="33">
        <f>IF(A812="","",MONTH(A812))</f>
        <v/>
      </c>
      <c r="I812" s="33">
        <f>IF(A812="","",YEAR(A812))</f>
        <v/>
      </c>
    </row>
    <row r="813" ht="15" customHeight="1" s="21">
      <c r="A813" s="34" t="n"/>
      <c r="B813" s="30" t="n"/>
      <c r="C813" s="30" t="n"/>
      <c r="D813" s="30" t="n"/>
      <c r="E813" s="33">
        <f>IF(B813="","",IFERROR(INDEX(Productos!$B$2:$B$501,MATCH(B813,Productos!$A$2:$A$501,0)),"¿Código?"))</f>
        <v/>
      </c>
      <c r="F813" s="32">
        <f>IF(C813&lt;&gt;"Venta","",D813*IFERROR(INDEX(Productos!$D$2:$D$501,MATCH(B813,Productos!$A$2:$A$501,0)),0))</f>
        <v/>
      </c>
      <c r="G813" s="32">
        <f>IF(C813&lt;&gt;"Venta","",D813*IFERROR(INDEX(Productos!$E$2:$E$501,MATCH(B813,Productos!$A$2:$A$501,0)),0))</f>
        <v/>
      </c>
      <c r="H813" s="33">
        <f>IF(A813="","",MONTH(A813))</f>
        <v/>
      </c>
      <c r="I813" s="33">
        <f>IF(A813="","",YEAR(A813))</f>
        <v/>
      </c>
    </row>
    <row r="814" ht="15" customHeight="1" s="21">
      <c r="A814" s="34" t="n"/>
      <c r="B814" s="30" t="n"/>
      <c r="C814" s="30" t="n"/>
      <c r="D814" s="30" t="n"/>
      <c r="E814" s="33">
        <f>IF(B814="","",IFERROR(INDEX(Productos!$B$2:$B$501,MATCH(B814,Productos!$A$2:$A$501,0)),"¿Código?"))</f>
        <v/>
      </c>
      <c r="F814" s="32">
        <f>IF(C814&lt;&gt;"Venta","",D814*IFERROR(INDEX(Productos!$D$2:$D$501,MATCH(B814,Productos!$A$2:$A$501,0)),0))</f>
        <v/>
      </c>
      <c r="G814" s="32">
        <f>IF(C814&lt;&gt;"Venta","",D814*IFERROR(INDEX(Productos!$E$2:$E$501,MATCH(B814,Productos!$A$2:$A$501,0)),0))</f>
        <v/>
      </c>
      <c r="H814" s="33">
        <f>IF(A814="","",MONTH(A814))</f>
        <v/>
      </c>
      <c r="I814" s="33">
        <f>IF(A814="","",YEAR(A814))</f>
        <v/>
      </c>
    </row>
    <row r="815" ht="15" customHeight="1" s="21">
      <c r="A815" s="34" t="n"/>
      <c r="B815" s="30" t="n"/>
      <c r="C815" s="30" t="n"/>
      <c r="D815" s="30" t="n"/>
      <c r="E815" s="33">
        <f>IF(B815="","",IFERROR(INDEX(Productos!$B$2:$B$501,MATCH(B815,Productos!$A$2:$A$501,0)),"¿Código?"))</f>
        <v/>
      </c>
      <c r="F815" s="32">
        <f>IF(C815&lt;&gt;"Venta","",D815*IFERROR(INDEX(Productos!$D$2:$D$501,MATCH(B815,Productos!$A$2:$A$501,0)),0))</f>
        <v/>
      </c>
      <c r="G815" s="32">
        <f>IF(C815&lt;&gt;"Venta","",D815*IFERROR(INDEX(Productos!$E$2:$E$501,MATCH(B815,Productos!$A$2:$A$501,0)),0))</f>
        <v/>
      </c>
      <c r="H815" s="33">
        <f>IF(A815="","",MONTH(A815))</f>
        <v/>
      </c>
      <c r="I815" s="33">
        <f>IF(A815="","",YEAR(A815))</f>
        <v/>
      </c>
    </row>
    <row r="816" ht="15" customHeight="1" s="21">
      <c r="A816" s="34" t="n"/>
      <c r="B816" s="30" t="n"/>
      <c r="C816" s="30" t="n"/>
      <c r="D816" s="30" t="n"/>
      <c r="E816" s="33">
        <f>IF(B816="","",IFERROR(INDEX(Productos!$B$2:$B$501,MATCH(B816,Productos!$A$2:$A$501,0)),"¿Código?"))</f>
        <v/>
      </c>
      <c r="F816" s="32">
        <f>IF(C816&lt;&gt;"Venta","",D816*IFERROR(INDEX(Productos!$D$2:$D$501,MATCH(B816,Productos!$A$2:$A$501,0)),0))</f>
        <v/>
      </c>
      <c r="G816" s="32">
        <f>IF(C816&lt;&gt;"Venta","",D816*IFERROR(INDEX(Productos!$E$2:$E$501,MATCH(B816,Productos!$A$2:$A$501,0)),0))</f>
        <v/>
      </c>
      <c r="H816" s="33">
        <f>IF(A816="","",MONTH(A816))</f>
        <v/>
      </c>
      <c r="I816" s="33">
        <f>IF(A816="","",YEAR(A816))</f>
        <v/>
      </c>
    </row>
    <row r="817" ht="15" customHeight="1" s="21">
      <c r="A817" s="34" t="n"/>
      <c r="B817" s="30" t="n"/>
      <c r="C817" s="30" t="n"/>
      <c r="D817" s="30" t="n"/>
      <c r="E817" s="33">
        <f>IF(B817="","",IFERROR(INDEX(Productos!$B$2:$B$501,MATCH(B817,Productos!$A$2:$A$501,0)),"¿Código?"))</f>
        <v/>
      </c>
      <c r="F817" s="32">
        <f>IF(C817&lt;&gt;"Venta","",D817*IFERROR(INDEX(Productos!$D$2:$D$501,MATCH(B817,Productos!$A$2:$A$501,0)),0))</f>
        <v/>
      </c>
      <c r="G817" s="32">
        <f>IF(C817&lt;&gt;"Venta","",D817*IFERROR(INDEX(Productos!$E$2:$E$501,MATCH(B817,Productos!$A$2:$A$501,0)),0))</f>
        <v/>
      </c>
      <c r="H817" s="33">
        <f>IF(A817="","",MONTH(A817))</f>
        <v/>
      </c>
      <c r="I817" s="33">
        <f>IF(A817="","",YEAR(A817))</f>
        <v/>
      </c>
    </row>
    <row r="818" ht="15" customHeight="1" s="21">
      <c r="A818" s="34" t="n"/>
      <c r="B818" s="30" t="n"/>
      <c r="C818" s="30" t="n"/>
      <c r="D818" s="30" t="n"/>
      <c r="E818" s="33">
        <f>IF(B818="","",IFERROR(INDEX(Productos!$B$2:$B$501,MATCH(B818,Productos!$A$2:$A$501,0)),"¿Código?"))</f>
        <v/>
      </c>
      <c r="F818" s="32">
        <f>IF(C818&lt;&gt;"Venta","",D818*IFERROR(INDEX(Productos!$D$2:$D$501,MATCH(B818,Productos!$A$2:$A$501,0)),0))</f>
        <v/>
      </c>
      <c r="G818" s="32">
        <f>IF(C818&lt;&gt;"Venta","",D818*IFERROR(INDEX(Productos!$E$2:$E$501,MATCH(B818,Productos!$A$2:$A$501,0)),0))</f>
        <v/>
      </c>
      <c r="H818" s="33">
        <f>IF(A818="","",MONTH(A818))</f>
        <v/>
      </c>
      <c r="I818" s="33">
        <f>IF(A818="","",YEAR(A818))</f>
        <v/>
      </c>
    </row>
    <row r="819" ht="15" customHeight="1" s="21">
      <c r="A819" s="34" t="n"/>
      <c r="B819" s="30" t="n"/>
      <c r="C819" s="30" t="n"/>
      <c r="D819" s="30" t="n"/>
      <c r="E819" s="33">
        <f>IF(B819="","",IFERROR(INDEX(Productos!$B$2:$B$501,MATCH(B819,Productos!$A$2:$A$501,0)),"¿Código?"))</f>
        <v/>
      </c>
      <c r="F819" s="32">
        <f>IF(C819&lt;&gt;"Venta","",D819*IFERROR(INDEX(Productos!$D$2:$D$501,MATCH(B819,Productos!$A$2:$A$501,0)),0))</f>
        <v/>
      </c>
      <c r="G819" s="32">
        <f>IF(C819&lt;&gt;"Venta","",D819*IFERROR(INDEX(Productos!$E$2:$E$501,MATCH(B819,Productos!$A$2:$A$501,0)),0))</f>
        <v/>
      </c>
      <c r="H819" s="33">
        <f>IF(A819="","",MONTH(A819))</f>
        <v/>
      </c>
      <c r="I819" s="33">
        <f>IF(A819="","",YEAR(A819))</f>
        <v/>
      </c>
    </row>
    <row r="820" ht="15" customHeight="1" s="21">
      <c r="A820" s="34" t="n"/>
      <c r="B820" s="30" t="n"/>
      <c r="C820" s="30" t="n"/>
      <c r="D820" s="30" t="n"/>
      <c r="E820" s="33">
        <f>IF(B820="","",IFERROR(INDEX(Productos!$B$2:$B$501,MATCH(B820,Productos!$A$2:$A$501,0)),"¿Código?"))</f>
        <v/>
      </c>
      <c r="F820" s="32">
        <f>IF(C820&lt;&gt;"Venta","",D820*IFERROR(INDEX(Productos!$D$2:$D$501,MATCH(B820,Productos!$A$2:$A$501,0)),0))</f>
        <v/>
      </c>
      <c r="G820" s="32">
        <f>IF(C820&lt;&gt;"Venta","",D820*IFERROR(INDEX(Productos!$E$2:$E$501,MATCH(B820,Productos!$A$2:$A$501,0)),0))</f>
        <v/>
      </c>
      <c r="H820" s="33">
        <f>IF(A820="","",MONTH(A820))</f>
        <v/>
      </c>
      <c r="I820" s="33">
        <f>IF(A820="","",YEAR(A820))</f>
        <v/>
      </c>
    </row>
    <row r="821" ht="15" customHeight="1" s="21">
      <c r="A821" s="34" t="n"/>
      <c r="B821" s="30" t="n"/>
      <c r="C821" s="30" t="n"/>
      <c r="D821" s="30" t="n"/>
      <c r="E821" s="33">
        <f>IF(B821="","",IFERROR(INDEX(Productos!$B$2:$B$501,MATCH(B821,Productos!$A$2:$A$501,0)),"¿Código?"))</f>
        <v/>
      </c>
      <c r="F821" s="32">
        <f>IF(C821&lt;&gt;"Venta","",D821*IFERROR(INDEX(Productos!$D$2:$D$501,MATCH(B821,Productos!$A$2:$A$501,0)),0))</f>
        <v/>
      </c>
      <c r="G821" s="32">
        <f>IF(C821&lt;&gt;"Venta","",D821*IFERROR(INDEX(Productos!$E$2:$E$501,MATCH(B821,Productos!$A$2:$A$501,0)),0))</f>
        <v/>
      </c>
      <c r="H821" s="33">
        <f>IF(A821="","",MONTH(A821))</f>
        <v/>
      </c>
      <c r="I821" s="33">
        <f>IF(A821="","",YEAR(A821))</f>
        <v/>
      </c>
    </row>
    <row r="822" ht="15" customHeight="1" s="21">
      <c r="A822" s="34" t="n"/>
      <c r="B822" s="30" t="n"/>
      <c r="C822" s="30" t="n"/>
      <c r="D822" s="30" t="n"/>
      <c r="E822" s="33">
        <f>IF(B822="","",IFERROR(INDEX(Productos!$B$2:$B$501,MATCH(B822,Productos!$A$2:$A$501,0)),"¿Código?"))</f>
        <v/>
      </c>
      <c r="F822" s="32">
        <f>IF(C822&lt;&gt;"Venta","",D822*IFERROR(INDEX(Productos!$D$2:$D$501,MATCH(B822,Productos!$A$2:$A$501,0)),0))</f>
        <v/>
      </c>
      <c r="G822" s="32">
        <f>IF(C822&lt;&gt;"Venta","",D822*IFERROR(INDEX(Productos!$E$2:$E$501,MATCH(B822,Productos!$A$2:$A$501,0)),0))</f>
        <v/>
      </c>
      <c r="H822" s="33">
        <f>IF(A822="","",MONTH(A822))</f>
        <v/>
      </c>
      <c r="I822" s="33">
        <f>IF(A822="","",YEAR(A822))</f>
        <v/>
      </c>
    </row>
    <row r="823" ht="15" customHeight="1" s="21">
      <c r="A823" s="34" t="n"/>
      <c r="B823" s="30" t="n"/>
      <c r="C823" s="30" t="n"/>
      <c r="D823" s="30" t="n"/>
      <c r="E823" s="33">
        <f>IF(B823="","",IFERROR(INDEX(Productos!$B$2:$B$501,MATCH(B823,Productos!$A$2:$A$501,0)),"¿Código?"))</f>
        <v/>
      </c>
      <c r="F823" s="32">
        <f>IF(C823&lt;&gt;"Venta","",D823*IFERROR(INDEX(Productos!$D$2:$D$501,MATCH(B823,Productos!$A$2:$A$501,0)),0))</f>
        <v/>
      </c>
      <c r="G823" s="32">
        <f>IF(C823&lt;&gt;"Venta","",D823*IFERROR(INDEX(Productos!$E$2:$E$501,MATCH(B823,Productos!$A$2:$A$501,0)),0))</f>
        <v/>
      </c>
      <c r="H823" s="33">
        <f>IF(A823="","",MONTH(A823))</f>
        <v/>
      </c>
      <c r="I823" s="33">
        <f>IF(A823="","",YEAR(A823))</f>
        <v/>
      </c>
    </row>
    <row r="824" ht="15" customHeight="1" s="21">
      <c r="A824" s="34" t="n"/>
      <c r="B824" s="30" t="n"/>
      <c r="C824" s="30" t="n"/>
      <c r="D824" s="30" t="n"/>
      <c r="E824" s="33">
        <f>IF(B824="","",IFERROR(INDEX(Productos!$B$2:$B$501,MATCH(B824,Productos!$A$2:$A$501,0)),"¿Código?"))</f>
        <v/>
      </c>
      <c r="F824" s="32">
        <f>IF(C824&lt;&gt;"Venta","",D824*IFERROR(INDEX(Productos!$D$2:$D$501,MATCH(B824,Productos!$A$2:$A$501,0)),0))</f>
        <v/>
      </c>
      <c r="G824" s="32">
        <f>IF(C824&lt;&gt;"Venta","",D824*IFERROR(INDEX(Productos!$E$2:$E$501,MATCH(B824,Productos!$A$2:$A$501,0)),0))</f>
        <v/>
      </c>
      <c r="H824" s="33">
        <f>IF(A824="","",MONTH(A824))</f>
        <v/>
      </c>
      <c r="I824" s="33">
        <f>IF(A824="","",YEAR(A824))</f>
        <v/>
      </c>
    </row>
    <row r="825" ht="15" customHeight="1" s="21">
      <c r="A825" s="34" t="n"/>
      <c r="B825" s="30" t="n"/>
      <c r="C825" s="30" t="n"/>
      <c r="D825" s="30" t="n"/>
      <c r="E825" s="33">
        <f>IF(B825="","",IFERROR(INDEX(Productos!$B$2:$B$501,MATCH(B825,Productos!$A$2:$A$501,0)),"¿Código?"))</f>
        <v/>
      </c>
      <c r="F825" s="32">
        <f>IF(C825&lt;&gt;"Venta","",D825*IFERROR(INDEX(Productos!$D$2:$D$501,MATCH(B825,Productos!$A$2:$A$501,0)),0))</f>
        <v/>
      </c>
      <c r="G825" s="32">
        <f>IF(C825&lt;&gt;"Venta","",D825*IFERROR(INDEX(Productos!$E$2:$E$501,MATCH(B825,Productos!$A$2:$A$501,0)),0))</f>
        <v/>
      </c>
      <c r="H825" s="33">
        <f>IF(A825="","",MONTH(A825))</f>
        <v/>
      </c>
      <c r="I825" s="33">
        <f>IF(A825="","",YEAR(A825))</f>
        <v/>
      </c>
    </row>
    <row r="826" ht="15" customHeight="1" s="21">
      <c r="A826" s="34" t="n"/>
      <c r="B826" s="30" t="n"/>
      <c r="C826" s="30" t="n"/>
      <c r="D826" s="30" t="n"/>
      <c r="E826" s="33">
        <f>IF(B826="","",IFERROR(INDEX(Productos!$B$2:$B$501,MATCH(B826,Productos!$A$2:$A$501,0)),"¿Código?"))</f>
        <v/>
      </c>
      <c r="F826" s="32">
        <f>IF(C826&lt;&gt;"Venta","",D826*IFERROR(INDEX(Productos!$D$2:$D$501,MATCH(B826,Productos!$A$2:$A$501,0)),0))</f>
        <v/>
      </c>
      <c r="G826" s="32">
        <f>IF(C826&lt;&gt;"Venta","",D826*IFERROR(INDEX(Productos!$E$2:$E$501,MATCH(B826,Productos!$A$2:$A$501,0)),0))</f>
        <v/>
      </c>
      <c r="H826" s="33">
        <f>IF(A826="","",MONTH(A826))</f>
        <v/>
      </c>
      <c r="I826" s="33">
        <f>IF(A826="","",YEAR(A826))</f>
        <v/>
      </c>
    </row>
    <row r="827" ht="15" customHeight="1" s="21">
      <c r="A827" s="34" t="n"/>
      <c r="B827" s="30" t="n"/>
      <c r="C827" s="30" t="n"/>
      <c r="D827" s="30" t="n"/>
      <c r="E827" s="33">
        <f>IF(B827="","",IFERROR(INDEX(Productos!$B$2:$B$501,MATCH(B827,Productos!$A$2:$A$501,0)),"¿Código?"))</f>
        <v/>
      </c>
      <c r="F827" s="32">
        <f>IF(C827&lt;&gt;"Venta","",D827*IFERROR(INDEX(Productos!$D$2:$D$501,MATCH(B827,Productos!$A$2:$A$501,0)),0))</f>
        <v/>
      </c>
      <c r="G827" s="32">
        <f>IF(C827&lt;&gt;"Venta","",D827*IFERROR(INDEX(Productos!$E$2:$E$501,MATCH(B827,Productos!$A$2:$A$501,0)),0))</f>
        <v/>
      </c>
      <c r="H827" s="33">
        <f>IF(A827="","",MONTH(A827))</f>
        <v/>
      </c>
      <c r="I827" s="33">
        <f>IF(A827="","",YEAR(A827))</f>
        <v/>
      </c>
    </row>
    <row r="828" ht="15" customHeight="1" s="21">
      <c r="A828" s="34" t="n"/>
      <c r="B828" s="30" t="n"/>
      <c r="C828" s="30" t="n"/>
      <c r="D828" s="30" t="n"/>
      <c r="E828" s="33">
        <f>IF(B828="","",IFERROR(INDEX(Productos!$B$2:$B$501,MATCH(B828,Productos!$A$2:$A$501,0)),"¿Código?"))</f>
        <v/>
      </c>
      <c r="F828" s="32">
        <f>IF(C828&lt;&gt;"Venta","",D828*IFERROR(INDEX(Productos!$D$2:$D$501,MATCH(B828,Productos!$A$2:$A$501,0)),0))</f>
        <v/>
      </c>
      <c r="G828" s="32">
        <f>IF(C828&lt;&gt;"Venta","",D828*IFERROR(INDEX(Productos!$E$2:$E$501,MATCH(B828,Productos!$A$2:$A$501,0)),0))</f>
        <v/>
      </c>
      <c r="H828" s="33">
        <f>IF(A828="","",MONTH(A828))</f>
        <v/>
      </c>
      <c r="I828" s="33">
        <f>IF(A828="","",YEAR(A828))</f>
        <v/>
      </c>
    </row>
    <row r="829" ht="15" customHeight="1" s="21">
      <c r="A829" s="34" t="n"/>
      <c r="B829" s="30" t="n"/>
      <c r="C829" s="30" t="n"/>
      <c r="D829" s="30" t="n"/>
      <c r="E829" s="33">
        <f>IF(B829="","",IFERROR(INDEX(Productos!$B$2:$B$501,MATCH(B829,Productos!$A$2:$A$501,0)),"¿Código?"))</f>
        <v/>
      </c>
      <c r="F829" s="32">
        <f>IF(C829&lt;&gt;"Venta","",D829*IFERROR(INDEX(Productos!$D$2:$D$501,MATCH(B829,Productos!$A$2:$A$501,0)),0))</f>
        <v/>
      </c>
      <c r="G829" s="32">
        <f>IF(C829&lt;&gt;"Venta","",D829*IFERROR(INDEX(Productos!$E$2:$E$501,MATCH(B829,Productos!$A$2:$A$501,0)),0))</f>
        <v/>
      </c>
      <c r="H829" s="33">
        <f>IF(A829="","",MONTH(A829))</f>
        <v/>
      </c>
      <c r="I829" s="33">
        <f>IF(A829="","",YEAR(A829))</f>
        <v/>
      </c>
    </row>
    <row r="830" ht="15" customHeight="1" s="21">
      <c r="A830" s="34" t="n"/>
      <c r="B830" s="30" t="n"/>
      <c r="C830" s="30" t="n"/>
      <c r="D830" s="30" t="n"/>
      <c r="E830" s="33">
        <f>IF(B830="","",IFERROR(INDEX(Productos!$B$2:$B$501,MATCH(B830,Productos!$A$2:$A$501,0)),"¿Código?"))</f>
        <v/>
      </c>
      <c r="F830" s="32">
        <f>IF(C830&lt;&gt;"Venta","",D830*IFERROR(INDEX(Productos!$D$2:$D$501,MATCH(B830,Productos!$A$2:$A$501,0)),0))</f>
        <v/>
      </c>
      <c r="G830" s="32">
        <f>IF(C830&lt;&gt;"Venta","",D830*IFERROR(INDEX(Productos!$E$2:$E$501,MATCH(B830,Productos!$A$2:$A$501,0)),0))</f>
        <v/>
      </c>
      <c r="H830" s="33">
        <f>IF(A830="","",MONTH(A830))</f>
        <v/>
      </c>
      <c r="I830" s="33">
        <f>IF(A830="","",YEAR(A830))</f>
        <v/>
      </c>
    </row>
    <row r="831" ht="15" customHeight="1" s="21">
      <c r="A831" s="34" t="n"/>
      <c r="B831" s="30" t="n"/>
      <c r="C831" s="30" t="n"/>
      <c r="D831" s="30" t="n"/>
      <c r="E831" s="33">
        <f>IF(B831="","",IFERROR(INDEX(Productos!$B$2:$B$501,MATCH(B831,Productos!$A$2:$A$501,0)),"¿Código?"))</f>
        <v/>
      </c>
      <c r="F831" s="32">
        <f>IF(C831&lt;&gt;"Venta","",D831*IFERROR(INDEX(Productos!$D$2:$D$501,MATCH(B831,Productos!$A$2:$A$501,0)),0))</f>
        <v/>
      </c>
      <c r="G831" s="32">
        <f>IF(C831&lt;&gt;"Venta","",D831*IFERROR(INDEX(Productos!$E$2:$E$501,MATCH(B831,Productos!$A$2:$A$501,0)),0))</f>
        <v/>
      </c>
      <c r="H831" s="33">
        <f>IF(A831="","",MONTH(A831))</f>
        <v/>
      </c>
      <c r="I831" s="33">
        <f>IF(A831="","",YEAR(A831))</f>
        <v/>
      </c>
    </row>
    <row r="832" ht="15" customHeight="1" s="21">
      <c r="A832" s="34" t="n"/>
      <c r="B832" s="30" t="n"/>
      <c r="C832" s="30" t="n"/>
      <c r="D832" s="30" t="n"/>
      <c r="E832" s="33">
        <f>IF(B832="","",IFERROR(INDEX(Productos!$B$2:$B$501,MATCH(B832,Productos!$A$2:$A$501,0)),"¿Código?"))</f>
        <v/>
      </c>
      <c r="F832" s="32">
        <f>IF(C832&lt;&gt;"Venta","",D832*IFERROR(INDEX(Productos!$D$2:$D$501,MATCH(B832,Productos!$A$2:$A$501,0)),0))</f>
        <v/>
      </c>
      <c r="G832" s="32">
        <f>IF(C832&lt;&gt;"Venta","",D832*IFERROR(INDEX(Productos!$E$2:$E$501,MATCH(B832,Productos!$A$2:$A$501,0)),0))</f>
        <v/>
      </c>
      <c r="H832" s="33">
        <f>IF(A832="","",MONTH(A832))</f>
        <v/>
      </c>
      <c r="I832" s="33">
        <f>IF(A832="","",YEAR(A832))</f>
        <v/>
      </c>
    </row>
    <row r="833" ht="15" customHeight="1" s="21">
      <c r="A833" s="34" t="n"/>
      <c r="B833" s="30" t="n"/>
      <c r="C833" s="30" t="n"/>
      <c r="D833" s="30" t="n"/>
      <c r="E833" s="33">
        <f>IF(B833="","",IFERROR(INDEX(Productos!$B$2:$B$501,MATCH(B833,Productos!$A$2:$A$501,0)),"¿Código?"))</f>
        <v/>
      </c>
      <c r="F833" s="32">
        <f>IF(C833&lt;&gt;"Venta","",D833*IFERROR(INDEX(Productos!$D$2:$D$501,MATCH(B833,Productos!$A$2:$A$501,0)),0))</f>
        <v/>
      </c>
      <c r="G833" s="32">
        <f>IF(C833&lt;&gt;"Venta","",D833*IFERROR(INDEX(Productos!$E$2:$E$501,MATCH(B833,Productos!$A$2:$A$501,0)),0))</f>
        <v/>
      </c>
      <c r="H833" s="33">
        <f>IF(A833="","",MONTH(A833))</f>
        <v/>
      </c>
      <c r="I833" s="33">
        <f>IF(A833="","",YEAR(A833))</f>
        <v/>
      </c>
    </row>
    <row r="834" ht="15" customHeight="1" s="21">
      <c r="A834" s="34" t="n"/>
      <c r="B834" s="30" t="n"/>
      <c r="C834" s="30" t="n"/>
      <c r="D834" s="30" t="n"/>
      <c r="E834" s="33">
        <f>IF(B834="","",IFERROR(INDEX(Productos!$B$2:$B$501,MATCH(B834,Productos!$A$2:$A$501,0)),"¿Código?"))</f>
        <v/>
      </c>
      <c r="F834" s="32">
        <f>IF(C834&lt;&gt;"Venta","",D834*IFERROR(INDEX(Productos!$D$2:$D$501,MATCH(B834,Productos!$A$2:$A$501,0)),0))</f>
        <v/>
      </c>
      <c r="G834" s="32">
        <f>IF(C834&lt;&gt;"Venta","",D834*IFERROR(INDEX(Productos!$E$2:$E$501,MATCH(B834,Productos!$A$2:$A$501,0)),0))</f>
        <v/>
      </c>
      <c r="H834" s="33">
        <f>IF(A834="","",MONTH(A834))</f>
        <v/>
      </c>
      <c r="I834" s="33">
        <f>IF(A834="","",YEAR(A834))</f>
        <v/>
      </c>
    </row>
    <row r="835" ht="15" customHeight="1" s="21">
      <c r="A835" s="34" t="n"/>
      <c r="B835" s="30" t="n"/>
      <c r="C835" s="30" t="n"/>
      <c r="D835" s="30" t="n"/>
      <c r="E835" s="33">
        <f>IF(B835="","",IFERROR(INDEX(Productos!$B$2:$B$501,MATCH(B835,Productos!$A$2:$A$501,0)),"¿Código?"))</f>
        <v/>
      </c>
      <c r="F835" s="32">
        <f>IF(C835&lt;&gt;"Venta","",D835*IFERROR(INDEX(Productos!$D$2:$D$501,MATCH(B835,Productos!$A$2:$A$501,0)),0))</f>
        <v/>
      </c>
      <c r="G835" s="32">
        <f>IF(C835&lt;&gt;"Venta","",D835*IFERROR(INDEX(Productos!$E$2:$E$501,MATCH(B835,Productos!$A$2:$A$501,0)),0))</f>
        <v/>
      </c>
      <c r="H835" s="33">
        <f>IF(A835="","",MONTH(A835))</f>
        <v/>
      </c>
      <c r="I835" s="33">
        <f>IF(A835="","",YEAR(A835))</f>
        <v/>
      </c>
    </row>
    <row r="836" ht="15" customHeight="1" s="21">
      <c r="A836" s="34" t="n"/>
      <c r="B836" s="30" t="n"/>
      <c r="C836" s="30" t="n"/>
      <c r="D836" s="30" t="n"/>
      <c r="E836" s="33">
        <f>IF(B836="","",IFERROR(INDEX(Productos!$B$2:$B$501,MATCH(B836,Productos!$A$2:$A$501,0)),"¿Código?"))</f>
        <v/>
      </c>
      <c r="F836" s="32">
        <f>IF(C836&lt;&gt;"Venta","",D836*IFERROR(INDEX(Productos!$D$2:$D$501,MATCH(B836,Productos!$A$2:$A$501,0)),0))</f>
        <v/>
      </c>
      <c r="G836" s="32">
        <f>IF(C836&lt;&gt;"Venta","",D836*IFERROR(INDEX(Productos!$E$2:$E$501,MATCH(B836,Productos!$A$2:$A$501,0)),0))</f>
        <v/>
      </c>
      <c r="H836" s="33">
        <f>IF(A836="","",MONTH(A836))</f>
        <v/>
      </c>
      <c r="I836" s="33">
        <f>IF(A836="","",YEAR(A836))</f>
        <v/>
      </c>
    </row>
    <row r="837" ht="15" customHeight="1" s="21">
      <c r="A837" s="34" t="n"/>
      <c r="B837" s="30" t="n"/>
      <c r="C837" s="30" t="n"/>
      <c r="D837" s="30" t="n"/>
      <c r="E837" s="33">
        <f>IF(B837="","",IFERROR(INDEX(Productos!$B$2:$B$501,MATCH(B837,Productos!$A$2:$A$501,0)),"¿Código?"))</f>
        <v/>
      </c>
      <c r="F837" s="32">
        <f>IF(C837&lt;&gt;"Venta","",D837*IFERROR(INDEX(Productos!$D$2:$D$501,MATCH(B837,Productos!$A$2:$A$501,0)),0))</f>
        <v/>
      </c>
      <c r="G837" s="32">
        <f>IF(C837&lt;&gt;"Venta","",D837*IFERROR(INDEX(Productos!$E$2:$E$501,MATCH(B837,Productos!$A$2:$A$501,0)),0))</f>
        <v/>
      </c>
      <c r="H837" s="33">
        <f>IF(A837="","",MONTH(A837))</f>
        <v/>
      </c>
      <c r="I837" s="33">
        <f>IF(A837="","",YEAR(A837))</f>
        <v/>
      </c>
    </row>
    <row r="838" ht="15" customHeight="1" s="21">
      <c r="A838" s="34" t="n"/>
      <c r="B838" s="30" t="n"/>
      <c r="C838" s="30" t="n"/>
      <c r="D838" s="30" t="n"/>
      <c r="E838" s="33">
        <f>IF(B838="","",IFERROR(INDEX(Productos!$B$2:$B$501,MATCH(B838,Productos!$A$2:$A$501,0)),"¿Código?"))</f>
        <v/>
      </c>
      <c r="F838" s="32">
        <f>IF(C838&lt;&gt;"Venta","",D838*IFERROR(INDEX(Productos!$D$2:$D$501,MATCH(B838,Productos!$A$2:$A$501,0)),0))</f>
        <v/>
      </c>
      <c r="G838" s="32">
        <f>IF(C838&lt;&gt;"Venta","",D838*IFERROR(INDEX(Productos!$E$2:$E$501,MATCH(B838,Productos!$A$2:$A$501,0)),0))</f>
        <v/>
      </c>
      <c r="H838" s="33">
        <f>IF(A838="","",MONTH(A838))</f>
        <v/>
      </c>
      <c r="I838" s="33">
        <f>IF(A838="","",YEAR(A838))</f>
        <v/>
      </c>
    </row>
    <row r="839" ht="15" customHeight="1" s="21">
      <c r="A839" s="34" t="n"/>
      <c r="B839" s="30" t="n"/>
      <c r="C839" s="30" t="n"/>
      <c r="D839" s="30" t="n"/>
      <c r="E839" s="33">
        <f>IF(B839="","",IFERROR(INDEX(Productos!$B$2:$B$501,MATCH(B839,Productos!$A$2:$A$501,0)),"¿Código?"))</f>
        <v/>
      </c>
      <c r="F839" s="32">
        <f>IF(C839&lt;&gt;"Venta","",D839*IFERROR(INDEX(Productos!$D$2:$D$501,MATCH(B839,Productos!$A$2:$A$501,0)),0))</f>
        <v/>
      </c>
      <c r="G839" s="32">
        <f>IF(C839&lt;&gt;"Venta","",D839*IFERROR(INDEX(Productos!$E$2:$E$501,MATCH(B839,Productos!$A$2:$A$501,0)),0))</f>
        <v/>
      </c>
      <c r="H839" s="33">
        <f>IF(A839="","",MONTH(A839))</f>
        <v/>
      </c>
      <c r="I839" s="33">
        <f>IF(A839="","",YEAR(A839))</f>
        <v/>
      </c>
    </row>
    <row r="840" ht="15" customHeight="1" s="21">
      <c r="A840" s="34" t="n"/>
      <c r="B840" s="30" t="n"/>
      <c r="C840" s="30" t="n"/>
      <c r="D840" s="30" t="n"/>
      <c r="E840" s="33">
        <f>IF(B840="","",IFERROR(INDEX(Productos!$B$2:$B$501,MATCH(B840,Productos!$A$2:$A$501,0)),"¿Código?"))</f>
        <v/>
      </c>
      <c r="F840" s="32">
        <f>IF(C840&lt;&gt;"Venta","",D840*IFERROR(INDEX(Productos!$D$2:$D$501,MATCH(B840,Productos!$A$2:$A$501,0)),0))</f>
        <v/>
      </c>
      <c r="G840" s="32">
        <f>IF(C840&lt;&gt;"Venta","",D840*IFERROR(INDEX(Productos!$E$2:$E$501,MATCH(B840,Productos!$A$2:$A$501,0)),0))</f>
        <v/>
      </c>
      <c r="H840" s="33">
        <f>IF(A840="","",MONTH(A840))</f>
        <v/>
      </c>
      <c r="I840" s="33">
        <f>IF(A840="","",YEAR(A840))</f>
        <v/>
      </c>
    </row>
    <row r="841" ht="15" customHeight="1" s="21">
      <c r="A841" s="34" t="n"/>
      <c r="B841" s="30" t="n"/>
      <c r="C841" s="30" t="n"/>
      <c r="D841" s="30" t="n"/>
      <c r="E841" s="33">
        <f>IF(B841="","",IFERROR(INDEX(Productos!$B$2:$B$501,MATCH(B841,Productos!$A$2:$A$501,0)),"¿Código?"))</f>
        <v/>
      </c>
      <c r="F841" s="32">
        <f>IF(C841&lt;&gt;"Venta","",D841*IFERROR(INDEX(Productos!$D$2:$D$501,MATCH(B841,Productos!$A$2:$A$501,0)),0))</f>
        <v/>
      </c>
      <c r="G841" s="32">
        <f>IF(C841&lt;&gt;"Venta","",D841*IFERROR(INDEX(Productos!$E$2:$E$501,MATCH(B841,Productos!$A$2:$A$501,0)),0))</f>
        <v/>
      </c>
      <c r="H841" s="33">
        <f>IF(A841="","",MONTH(A841))</f>
        <v/>
      </c>
      <c r="I841" s="33">
        <f>IF(A841="","",YEAR(A841))</f>
        <v/>
      </c>
    </row>
    <row r="842" ht="15" customHeight="1" s="21">
      <c r="A842" s="34" t="n"/>
      <c r="B842" s="30" t="n"/>
      <c r="C842" s="30" t="n"/>
      <c r="D842" s="30" t="n"/>
      <c r="E842" s="33">
        <f>IF(B842="","",IFERROR(INDEX(Productos!$B$2:$B$501,MATCH(B842,Productos!$A$2:$A$501,0)),"¿Código?"))</f>
        <v/>
      </c>
      <c r="F842" s="32">
        <f>IF(C842&lt;&gt;"Venta","",D842*IFERROR(INDEX(Productos!$D$2:$D$501,MATCH(B842,Productos!$A$2:$A$501,0)),0))</f>
        <v/>
      </c>
      <c r="G842" s="32">
        <f>IF(C842&lt;&gt;"Venta","",D842*IFERROR(INDEX(Productos!$E$2:$E$501,MATCH(B842,Productos!$A$2:$A$501,0)),0))</f>
        <v/>
      </c>
      <c r="H842" s="33">
        <f>IF(A842="","",MONTH(A842))</f>
        <v/>
      </c>
      <c r="I842" s="33">
        <f>IF(A842="","",YEAR(A842))</f>
        <v/>
      </c>
    </row>
    <row r="843" ht="15" customHeight="1" s="21">
      <c r="A843" s="34" t="n"/>
      <c r="B843" s="30" t="n"/>
      <c r="C843" s="30" t="n"/>
      <c r="D843" s="30" t="n"/>
      <c r="E843" s="33">
        <f>IF(B843="","",IFERROR(INDEX(Productos!$B$2:$B$501,MATCH(B843,Productos!$A$2:$A$501,0)),"¿Código?"))</f>
        <v/>
      </c>
      <c r="F843" s="32">
        <f>IF(C843&lt;&gt;"Venta","",D843*IFERROR(INDEX(Productos!$D$2:$D$501,MATCH(B843,Productos!$A$2:$A$501,0)),0))</f>
        <v/>
      </c>
      <c r="G843" s="32">
        <f>IF(C843&lt;&gt;"Venta","",D843*IFERROR(INDEX(Productos!$E$2:$E$501,MATCH(B843,Productos!$A$2:$A$501,0)),0))</f>
        <v/>
      </c>
      <c r="H843" s="33">
        <f>IF(A843="","",MONTH(A843))</f>
        <v/>
      </c>
      <c r="I843" s="33">
        <f>IF(A843="","",YEAR(A843))</f>
        <v/>
      </c>
    </row>
    <row r="844" ht="15" customHeight="1" s="21">
      <c r="A844" s="34" t="n"/>
      <c r="B844" s="30" t="n"/>
      <c r="C844" s="30" t="n"/>
      <c r="D844" s="30" t="n"/>
      <c r="E844" s="33">
        <f>IF(B844="","",IFERROR(INDEX(Productos!$B$2:$B$501,MATCH(B844,Productos!$A$2:$A$501,0)),"¿Código?"))</f>
        <v/>
      </c>
      <c r="F844" s="32">
        <f>IF(C844&lt;&gt;"Venta","",D844*IFERROR(INDEX(Productos!$D$2:$D$501,MATCH(B844,Productos!$A$2:$A$501,0)),0))</f>
        <v/>
      </c>
      <c r="G844" s="32">
        <f>IF(C844&lt;&gt;"Venta","",D844*IFERROR(INDEX(Productos!$E$2:$E$501,MATCH(B844,Productos!$A$2:$A$501,0)),0))</f>
        <v/>
      </c>
      <c r="H844" s="33">
        <f>IF(A844="","",MONTH(A844))</f>
        <v/>
      </c>
      <c r="I844" s="33">
        <f>IF(A844="","",YEAR(A844))</f>
        <v/>
      </c>
    </row>
    <row r="845" ht="15" customHeight="1" s="21">
      <c r="A845" s="34" t="n"/>
      <c r="B845" s="30" t="n"/>
      <c r="C845" s="30" t="n"/>
      <c r="D845" s="30" t="n"/>
      <c r="E845" s="33">
        <f>IF(B845="","",IFERROR(INDEX(Productos!$B$2:$B$501,MATCH(B845,Productos!$A$2:$A$501,0)),"¿Código?"))</f>
        <v/>
      </c>
      <c r="F845" s="32">
        <f>IF(C845&lt;&gt;"Venta","",D845*IFERROR(INDEX(Productos!$D$2:$D$501,MATCH(B845,Productos!$A$2:$A$501,0)),0))</f>
        <v/>
      </c>
      <c r="G845" s="32">
        <f>IF(C845&lt;&gt;"Venta","",D845*IFERROR(INDEX(Productos!$E$2:$E$501,MATCH(B845,Productos!$A$2:$A$501,0)),0))</f>
        <v/>
      </c>
      <c r="H845" s="33">
        <f>IF(A845="","",MONTH(A845))</f>
        <v/>
      </c>
      <c r="I845" s="33">
        <f>IF(A845="","",YEAR(A845))</f>
        <v/>
      </c>
    </row>
    <row r="846" ht="15" customHeight="1" s="21">
      <c r="A846" s="34" t="n"/>
      <c r="B846" s="30" t="n"/>
      <c r="C846" s="30" t="n"/>
      <c r="D846" s="30" t="n"/>
      <c r="E846" s="33">
        <f>IF(B846="","",IFERROR(INDEX(Productos!$B$2:$B$501,MATCH(B846,Productos!$A$2:$A$501,0)),"¿Código?"))</f>
        <v/>
      </c>
      <c r="F846" s="32">
        <f>IF(C846&lt;&gt;"Venta","",D846*IFERROR(INDEX(Productos!$D$2:$D$501,MATCH(B846,Productos!$A$2:$A$501,0)),0))</f>
        <v/>
      </c>
      <c r="G846" s="32">
        <f>IF(C846&lt;&gt;"Venta","",D846*IFERROR(INDEX(Productos!$E$2:$E$501,MATCH(B846,Productos!$A$2:$A$501,0)),0))</f>
        <v/>
      </c>
      <c r="H846" s="33">
        <f>IF(A846="","",MONTH(A846))</f>
        <v/>
      </c>
      <c r="I846" s="33">
        <f>IF(A846="","",YEAR(A846))</f>
        <v/>
      </c>
    </row>
    <row r="847" ht="15" customHeight="1" s="21">
      <c r="A847" s="34" t="n"/>
      <c r="B847" s="30" t="n"/>
      <c r="C847" s="30" t="n"/>
      <c r="D847" s="30" t="n"/>
      <c r="E847" s="33">
        <f>IF(B847="","",IFERROR(INDEX(Productos!$B$2:$B$501,MATCH(B847,Productos!$A$2:$A$501,0)),"¿Código?"))</f>
        <v/>
      </c>
      <c r="F847" s="32">
        <f>IF(C847&lt;&gt;"Venta","",D847*IFERROR(INDEX(Productos!$D$2:$D$501,MATCH(B847,Productos!$A$2:$A$501,0)),0))</f>
        <v/>
      </c>
      <c r="G847" s="32">
        <f>IF(C847&lt;&gt;"Venta","",D847*IFERROR(INDEX(Productos!$E$2:$E$501,MATCH(B847,Productos!$A$2:$A$501,0)),0))</f>
        <v/>
      </c>
      <c r="H847" s="33">
        <f>IF(A847="","",MONTH(A847))</f>
        <v/>
      </c>
      <c r="I847" s="33">
        <f>IF(A847="","",YEAR(A847))</f>
        <v/>
      </c>
    </row>
    <row r="848" ht="15" customHeight="1" s="21">
      <c r="A848" s="34" t="n"/>
      <c r="B848" s="30" t="n"/>
      <c r="C848" s="30" t="n"/>
      <c r="D848" s="30" t="n"/>
      <c r="E848" s="33">
        <f>IF(B848="","",IFERROR(INDEX(Productos!$B$2:$B$501,MATCH(B848,Productos!$A$2:$A$501,0)),"¿Código?"))</f>
        <v/>
      </c>
      <c r="F848" s="32">
        <f>IF(C848&lt;&gt;"Venta","",D848*IFERROR(INDEX(Productos!$D$2:$D$501,MATCH(B848,Productos!$A$2:$A$501,0)),0))</f>
        <v/>
      </c>
      <c r="G848" s="32">
        <f>IF(C848&lt;&gt;"Venta","",D848*IFERROR(INDEX(Productos!$E$2:$E$501,MATCH(B848,Productos!$A$2:$A$501,0)),0))</f>
        <v/>
      </c>
      <c r="H848" s="33">
        <f>IF(A848="","",MONTH(A848))</f>
        <v/>
      </c>
      <c r="I848" s="33">
        <f>IF(A848="","",YEAR(A848))</f>
        <v/>
      </c>
    </row>
    <row r="849" ht="15" customHeight="1" s="21">
      <c r="A849" s="34" t="n"/>
      <c r="B849" s="30" t="n"/>
      <c r="C849" s="30" t="n"/>
      <c r="D849" s="30" t="n"/>
      <c r="E849" s="33">
        <f>IF(B849="","",IFERROR(INDEX(Productos!$B$2:$B$501,MATCH(B849,Productos!$A$2:$A$501,0)),"¿Código?"))</f>
        <v/>
      </c>
      <c r="F849" s="32">
        <f>IF(C849&lt;&gt;"Venta","",D849*IFERROR(INDEX(Productos!$D$2:$D$501,MATCH(B849,Productos!$A$2:$A$501,0)),0))</f>
        <v/>
      </c>
      <c r="G849" s="32">
        <f>IF(C849&lt;&gt;"Venta","",D849*IFERROR(INDEX(Productos!$E$2:$E$501,MATCH(B849,Productos!$A$2:$A$501,0)),0))</f>
        <v/>
      </c>
      <c r="H849" s="33">
        <f>IF(A849="","",MONTH(A849))</f>
        <v/>
      </c>
      <c r="I849" s="33">
        <f>IF(A849="","",YEAR(A849))</f>
        <v/>
      </c>
    </row>
    <row r="850" ht="15" customHeight="1" s="21">
      <c r="A850" s="34" t="n"/>
      <c r="B850" s="30" t="n"/>
      <c r="C850" s="30" t="n"/>
      <c r="D850" s="30" t="n"/>
      <c r="E850" s="33">
        <f>IF(B850="","",IFERROR(INDEX(Productos!$B$2:$B$501,MATCH(B850,Productos!$A$2:$A$501,0)),"¿Código?"))</f>
        <v/>
      </c>
      <c r="F850" s="32">
        <f>IF(C850&lt;&gt;"Venta","",D850*IFERROR(INDEX(Productos!$D$2:$D$501,MATCH(B850,Productos!$A$2:$A$501,0)),0))</f>
        <v/>
      </c>
      <c r="G850" s="32">
        <f>IF(C850&lt;&gt;"Venta","",D850*IFERROR(INDEX(Productos!$E$2:$E$501,MATCH(B850,Productos!$A$2:$A$501,0)),0))</f>
        <v/>
      </c>
      <c r="H850" s="33">
        <f>IF(A850="","",MONTH(A850))</f>
        <v/>
      </c>
      <c r="I850" s="33">
        <f>IF(A850="","",YEAR(A850))</f>
        <v/>
      </c>
    </row>
    <row r="851" ht="15" customHeight="1" s="21">
      <c r="A851" s="34" t="n"/>
      <c r="B851" s="30" t="n"/>
      <c r="C851" s="30" t="n"/>
      <c r="D851" s="30" t="n"/>
      <c r="E851" s="33">
        <f>IF(B851="","",IFERROR(INDEX(Productos!$B$2:$B$501,MATCH(B851,Productos!$A$2:$A$501,0)),"¿Código?"))</f>
        <v/>
      </c>
      <c r="F851" s="32">
        <f>IF(C851&lt;&gt;"Venta","",D851*IFERROR(INDEX(Productos!$D$2:$D$501,MATCH(B851,Productos!$A$2:$A$501,0)),0))</f>
        <v/>
      </c>
      <c r="G851" s="32">
        <f>IF(C851&lt;&gt;"Venta","",D851*IFERROR(INDEX(Productos!$E$2:$E$501,MATCH(B851,Productos!$A$2:$A$501,0)),0))</f>
        <v/>
      </c>
      <c r="H851" s="33">
        <f>IF(A851="","",MONTH(A851))</f>
        <v/>
      </c>
      <c r="I851" s="33">
        <f>IF(A851="","",YEAR(A851))</f>
        <v/>
      </c>
    </row>
    <row r="852" ht="15" customHeight="1" s="21">
      <c r="A852" s="34" t="n"/>
      <c r="B852" s="30" t="n"/>
      <c r="C852" s="30" t="n"/>
      <c r="D852" s="30" t="n"/>
      <c r="E852" s="33">
        <f>IF(B852="","",IFERROR(INDEX(Productos!$B$2:$B$501,MATCH(B852,Productos!$A$2:$A$501,0)),"¿Código?"))</f>
        <v/>
      </c>
      <c r="F852" s="32">
        <f>IF(C852&lt;&gt;"Venta","",D852*IFERROR(INDEX(Productos!$D$2:$D$501,MATCH(B852,Productos!$A$2:$A$501,0)),0))</f>
        <v/>
      </c>
      <c r="G852" s="32">
        <f>IF(C852&lt;&gt;"Venta","",D852*IFERROR(INDEX(Productos!$E$2:$E$501,MATCH(B852,Productos!$A$2:$A$501,0)),0))</f>
        <v/>
      </c>
      <c r="H852" s="33">
        <f>IF(A852="","",MONTH(A852))</f>
        <v/>
      </c>
      <c r="I852" s="33">
        <f>IF(A852="","",YEAR(A852))</f>
        <v/>
      </c>
    </row>
    <row r="853" ht="15" customHeight="1" s="21">
      <c r="A853" s="34" t="n"/>
      <c r="B853" s="30" t="n"/>
      <c r="C853" s="30" t="n"/>
      <c r="D853" s="30" t="n"/>
      <c r="E853" s="33">
        <f>IF(B853="","",IFERROR(INDEX(Productos!$B$2:$B$501,MATCH(B853,Productos!$A$2:$A$501,0)),"¿Código?"))</f>
        <v/>
      </c>
      <c r="F853" s="32">
        <f>IF(C853&lt;&gt;"Venta","",D853*IFERROR(INDEX(Productos!$D$2:$D$501,MATCH(B853,Productos!$A$2:$A$501,0)),0))</f>
        <v/>
      </c>
      <c r="G853" s="32">
        <f>IF(C853&lt;&gt;"Venta","",D853*IFERROR(INDEX(Productos!$E$2:$E$501,MATCH(B853,Productos!$A$2:$A$501,0)),0))</f>
        <v/>
      </c>
      <c r="H853" s="33">
        <f>IF(A853="","",MONTH(A853))</f>
        <v/>
      </c>
      <c r="I853" s="33">
        <f>IF(A853="","",YEAR(A853))</f>
        <v/>
      </c>
    </row>
    <row r="854" ht="15" customHeight="1" s="21">
      <c r="A854" s="34" t="n"/>
      <c r="B854" s="30" t="n"/>
      <c r="C854" s="30" t="n"/>
      <c r="D854" s="30" t="n"/>
      <c r="E854" s="33">
        <f>IF(B854="","",IFERROR(INDEX(Productos!$B$2:$B$501,MATCH(B854,Productos!$A$2:$A$501,0)),"¿Código?"))</f>
        <v/>
      </c>
      <c r="F854" s="32">
        <f>IF(C854&lt;&gt;"Venta","",D854*IFERROR(INDEX(Productos!$D$2:$D$501,MATCH(B854,Productos!$A$2:$A$501,0)),0))</f>
        <v/>
      </c>
      <c r="G854" s="32">
        <f>IF(C854&lt;&gt;"Venta","",D854*IFERROR(INDEX(Productos!$E$2:$E$501,MATCH(B854,Productos!$A$2:$A$501,0)),0))</f>
        <v/>
      </c>
      <c r="H854" s="33">
        <f>IF(A854="","",MONTH(A854))</f>
        <v/>
      </c>
      <c r="I854" s="33">
        <f>IF(A854="","",YEAR(A854))</f>
        <v/>
      </c>
    </row>
    <row r="855" ht="15" customHeight="1" s="21">
      <c r="A855" s="34" t="n"/>
      <c r="B855" s="30" t="n"/>
      <c r="C855" s="30" t="n"/>
      <c r="D855" s="30" t="n"/>
      <c r="E855" s="33">
        <f>IF(B855="","",IFERROR(INDEX(Productos!$B$2:$B$501,MATCH(B855,Productos!$A$2:$A$501,0)),"¿Código?"))</f>
        <v/>
      </c>
      <c r="F855" s="32">
        <f>IF(C855&lt;&gt;"Venta","",D855*IFERROR(INDEX(Productos!$D$2:$D$501,MATCH(B855,Productos!$A$2:$A$501,0)),0))</f>
        <v/>
      </c>
      <c r="G855" s="32">
        <f>IF(C855&lt;&gt;"Venta","",D855*IFERROR(INDEX(Productos!$E$2:$E$501,MATCH(B855,Productos!$A$2:$A$501,0)),0))</f>
        <v/>
      </c>
      <c r="H855" s="33">
        <f>IF(A855="","",MONTH(A855))</f>
        <v/>
      </c>
      <c r="I855" s="33">
        <f>IF(A855="","",YEAR(A855))</f>
        <v/>
      </c>
    </row>
    <row r="856" ht="15" customHeight="1" s="21">
      <c r="A856" s="34" t="n"/>
      <c r="B856" s="30" t="n"/>
      <c r="C856" s="30" t="n"/>
      <c r="D856" s="30" t="n"/>
      <c r="E856" s="33">
        <f>IF(B856="","",IFERROR(INDEX(Productos!$B$2:$B$501,MATCH(B856,Productos!$A$2:$A$501,0)),"¿Código?"))</f>
        <v/>
      </c>
      <c r="F856" s="32">
        <f>IF(C856&lt;&gt;"Venta","",D856*IFERROR(INDEX(Productos!$D$2:$D$501,MATCH(B856,Productos!$A$2:$A$501,0)),0))</f>
        <v/>
      </c>
      <c r="G856" s="32">
        <f>IF(C856&lt;&gt;"Venta","",D856*IFERROR(INDEX(Productos!$E$2:$E$501,MATCH(B856,Productos!$A$2:$A$501,0)),0))</f>
        <v/>
      </c>
      <c r="H856" s="33">
        <f>IF(A856="","",MONTH(A856))</f>
        <v/>
      </c>
      <c r="I856" s="33">
        <f>IF(A856="","",YEAR(A856))</f>
        <v/>
      </c>
    </row>
    <row r="857" ht="15" customHeight="1" s="21">
      <c r="A857" s="34" t="n"/>
      <c r="B857" s="30" t="n"/>
      <c r="C857" s="30" t="n"/>
      <c r="D857" s="30" t="n"/>
      <c r="E857" s="33">
        <f>IF(B857="","",IFERROR(INDEX(Productos!$B$2:$B$501,MATCH(B857,Productos!$A$2:$A$501,0)),"¿Código?"))</f>
        <v/>
      </c>
      <c r="F857" s="32">
        <f>IF(C857&lt;&gt;"Venta","",D857*IFERROR(INDEX(Productos!$D$2:$D$501,MATCH(B857,Productos!$A$2:$A$501,0)),0))</f>
        <v/>
      </c>
      <c r="G857" s="32">
        <f>IF(C857&lt;&gt;"Venta","",D857*IFERROR(INDEX(Productos!$E$2:$E$501,MATCH(B857,Productos!$A$2:$A$501,0)),0))</f>
        <v/>
      </c>
      <c r="H857" s="33">
        <f>IF(A857="","",MONTH(A857))</f>
        <v/>
      </c>
      <c r="I857" s="33">
        <f>IF(A857="","",YEAR(A857))</f>
        <v/>
      </c>
    </row>
    <row r="858" ht="15" customHeight="1" s="21">
      <c r="A858" s="34" t="n"/>
      <c r="B858" s="30" t="n"/>
      <c r="C858" s="30" t="n"/>
      <c r="D858" s="30" t="n"/>
      <c r="E858" s="33">
        <f>IF(B858="","",IFERROR(INDEX(Productos!$B$2:$B$501,MATCH(B858,Productos!$A$2:$A$501,0)),"¿Código?"))</f>
        <v/>
      </c>
      <c r="F858" s="32">
        <f>IF(C858&lt;&gt;"Venta","",D858*IFERROR(INDEX(Productos!$D$2:$D$501,MATCH(B858,Productos!$A$2:$A$501,0)),0))</f>
        <v/>
      </c>
      <c r="G858" s="32">
        <f>IF(C858&lt;&gt;"Venta","",D858*IFERROR(INDEX(Productos!$E$2:$E$501,MATCH(B858,Productos!$A$2:$A$501,0)),0))</f>
        <v/>
      </c>
      <c r="H858" s="33">
        <f>IF(A858="","",MONTH(A858))</f>
        <v/>
      </c>
      <c r="I858" s="33">
        <f>IF(A858="","",YEAR(A858))</f>
        <v/>
      </c>
    </row>
    <row r="859" ht="15" customHeight="1" s="21">
      <c r="A859" s="34" t="n"/>
      <c r="B859" s="30" t="n"/>
      <c r="C859" s="30" t="n"/>
      <c r="D859" s="30" t="n"/>
      <c r="E859" s="33">
        <f>IF(B859="","",IFERROR(INDEX(Productos!$B$2:$B$501,MATCH(B859,Productos!$A$2:$A$501,0)),"¿Código?"))</f>
        <v/>
      </c>
      <c r="F859" s="32">
        <f>IF(C859&lt;&gt;"Venta","",D859*IFERROR(INDEX(Productos!$D$2:$D$501,MATCH(B859,Productos!$A$2:$A$501,0)),0))</f>
        <v/>
      </c>
      <c r="G859" s="32">
        <f>IF(C859&lt;&gt;"Venta","",D859*IFERROR(INDEX(Productos!$E$2:$E$501,MATCH(B859,Productos!$A$2:$A$501,0)),0))</f>
        <v/>
      </c>
      <c r="H859" s="33">
        <f>IF(A859="","",MONTH(A859))</f>
        <v/>
      </c>
      <c r="I859" s="33">
        <f>IF(A859="","",YEAR(A859))</f>
        <v/>
      </c>
    </row>
    <row r="860" ht="15" customHeight="1" s="21">
      <c r="A860" s="34" t="n"/>
      <c r="B860" s="30" t="n"/>
      <c r="C860" s="30" t="n"/>
      <c r="D860" s="30" t="n"/>
      <c r="E860" s="33">
        <f>IF(B860="","",IFERROR(INDEX(Productos!$B$2:$B$501,MATCH(B860,Productos!$A$2:$A$501,0)),"¿Código?"))</f>
        <v/>
      </c>
      <c r="F860" s="32">
        <f>IF(C860&lt;&gt;"Venta","",D860*IFERROR(INDEX(Productos!$D$2:$D$501,MATCH(B860,Productos!$A$2:$A$501,0)),0))</f>
        <v/>
      </c>
      <c r="G860" s="32">
        <f>IF(C860&lt;&gt;"Venta","",D860*IFERROR(INDEX(Productos!$E$2:$E$501,MATCH(B860,Productos!$A$2:$A$501,0)),0))</f>
        <v/>
      </c>
      <c r="H860" s="33">
        <f>IF(A860="","",MONTH(A860))</f>
        <v/>
      </c>
      <c r="I860" s="33">
        <f>IF(A860="","",YEAR(A860))</f>
        <v/>
      </c>
    </row>
    <row r="861" ht="15" customHeight="1" s="21">
      <c r="A861" s="34" t="n"/>
      <c r="B861" s="30" t="n"/>
      <c r="C861" s="30" t="n"/>
      <c r="D861" s="30" t="n"/>
      <c r="E861" s="33">
        <f>IF(B861="","",IFERROR(INDEX(Productos!$B$2:$B$501,MATCH(B861,Productos!$A$2:$A$501,0)),"¿Código?"))</f>
        <v/>
      </c>
      <c r="F861" s="32">
        <f>IF(C861&lt;&gt;"Venta","",D861*IFERROR(INDEX(Productos!$D$2:$D$501,MATCH(B861,Productos!$A$2:$A$501,0)),0))</f>
        <v/>
      </c>
      <c r="G861" s="32">
        <f>IF(C861&lt;&gt;"Venta","",D861*IFERROR(INDEX(Productos!$E$2:$E$501,MATCH(B861,Productos!$A$2:$A$501,0)),0))</f>
        <v/>
      </c>
      <c r="H861" s="33">
        <f>IF(A861="","",MONTH(A861))</f>
        <v/>
      </c>
      <c r="I861" s="33">
        <f>IF(A861="","",YEAR(A861))</f>
        <v/>
      </c>
    </row>
    <row r="862" ht="15" customHeight="1" s="21">
      <c r="A862" s="34" t="n"/>
      <c r="B862" s="30" t="n"/>
      <c r="C862" s="30" t="n"/>
      <c r="D862" s="30" t="n"/>
      <c r="E862" s="33">
        <f>IF(B862="","",IFERROR(INDEX(Productos!$B$2:$B$501,MATCH(B862,Productos!$A$2:$A$501,0)),"¿Código?"))</f>
        <v/>
      </c>
      <c r="F862" s="32">
        <f>IF(C862&lt;&gt;"Venta","",D862*IFERROR(INDEX(Productos!$D$2:$D$501,MATCH(B862,Productos!$A$2:$A$501,0)),0))</f>
        <v/>
      </c>
      <c r="G862" s="32">
        <f>IF(C862&lt;&gt;"Venta","",D862*IFERROR(INDEX(Productos!$E$2:$E$501,MATCH(B862,Productos!$A$2:$A$501,0)),0))</f>
        <v/>
      </c>
      <c r="H862" s="33">
        <f>IF(A862="","",MONTH(A862))</f>
        <v/>
      </c>
      <c r="I862" s="33">
        <f>IF(A862="","",YEAR(A862))</f>
        <v/>
      </c>
    </row>
    <row r="863" ht="15" customHeight="1" s="21">
      <c r="A863" s="34" t="n"/>
      <c r="B863" s="30" t="n"/>
      <c r="C863" s="30" t="n"/>
      <c r="D863" s="30" t="n"/>
      <c r="E863" s="33">
        <f>IF(B863="","",IFERROR(INDEX(Productos!$B$2:$B$501,MATCH(B863,Productos!$A$2:$A$501,0)),"¿Código?"))</f>
        <v/>
      </c>
      <c r="F863" s="32">
        <f>IF(C863&lt;&gt;"Venta","",D863*IFERROR(INDEX(Productos!$D$2:$D$501,MATCH(B863,Productos!$A$2:$A$501,0)),0))</f>
        <v/>
      </c>
      <c r="G863" s="32">
        <f>IF(C863&lt;&gt;"Venta","",D863*IFERROR(INDEX(Productos!$E$2:$E$501,MATCH(B863,Productos!$A$2:$A$501,0)),0))</f>
        <v/>
      </c>
      <c r="H863" s="33">
        <f>IF(A863="","",MONTH(A863))</f>
        <v/>
      </c>
      <c r="I863" s="33">
        <f>IF(A863="","",YEAR(A863))</f>
        <v/>
      </c>
    </row>
    <row r="864" ht="15" customHeight="1" s="21">
      <c r="A864" s="34" t="n"/>
      <c r="B864" s="30" t="n"/>
      <c r="C864" s="30" t="n"/>
      <c r="D864" s="30" t="n"/>
      <c r="E864" s="33">
        <f>IF(B864="","",IFERROR(INDEX(Productos!$B$2:$B$501,MATCH(B864,Productos!$A$2:$A$501,0)),"¿Código?"))</f>
        <v/>
      </c>
      <c r="F864" s="32">
        <f>IF(C864&lt;&gt;"Venta","",D864*IFERROR(INDEX(Productos!$D$2:$D$501,MATCH(B864,Productos!$A$2:$A$501,0)),0))</f>
        <v/>
      </c>
      <c r="G864" s="32">
        <f>IF(C864&lt;&gt;"Venta","",D864*IFERROR(INDEX(Productos!$E$2:$E$501,MATCH(B864,Productos!$A$2:$A$501,0)),0))</f>
        <v/>
      </c>
      <c r="H864" s="33">
        <f>IF(A864="","",MONTH(A864))</f>
        <v/>
      </c>
      <c r="I864" s="33">
        <f>IF(A864="","",YEAR(A864))</f>
        <v/>
      </c>
    </row>
    <row r="865" ht="15" customHeight="1" s="21">
      <c r="A865" s="34" t="n"/>
      <c r="B865" s="30" t="n"/>
      <c r="C865" s="30" t="n"/>
      <c r="D865" s="30" t="n"/>
      <c r="E865" s="33">
        <f>IF(B865="","",IFERROR(INDEX(Productos!$B$2:$B$501,MATCH(B865,Productos!$A$2:$A$501,0)),"¿Código?"))</f>
        <v/>
      </c>
      <c r="F865" s="32">
        <f>IF(C865&lt;&gt;"Venta","",D865*IFERROR(INDEX(Productos!$D$2:$D$501,MATCH(B865,Productos!$A$2:$A$501,0)),0))</f>
        <v/>
      </c>
      <c r="G865" s="32">
        <f>IF(C865&lt;&gt;"Venta","",D865*IFERROR(INDEX(Productos!$E$2:$E$501,MATCH(B865,Productos!$A$2:$A$501,0)),0))</f>
        <v/>
      </c>
      <c r="H865" s="33">
        <f>IF(A865="","",MONTH(A865))</f>
        <v/>
      </c>
      <c r="I865" s="33">
        <f>IF(A865="","",YEAR(A865))</f>
        <v/>
      </c>
    </row>
    <row r="866" ht="15" customHeight="1" s="21">
      <c r="A866" s="34" t="n"/>
      <c r="B866" s="30" t="n"/>
      <c r="C866" s="30" t="n"/>
      <c r="D866" s="30" t="n"/>
      <c r="E866" s="33">
        <f>IF(B866="","",IFERROR(INDEX(Productos!$B$2:$B$501,MATCH(B866,Productos!$A$2:$A$501,0)),"¿Código?"))</f>
        <v/>
      </c>
      <c r="F866" s="32">
        <f>IF(C866&lt;&gt;"Venta","",D866*IFERROR(INDEX(Productos!$D$2:$D$501,MATCH(B866,Productos!$A$2:$A$501,0)),0))</f>
        <v/>
      </c>
      <c r="G866" s="32">
        <f>IF(C866&lt;&gt;"Venta","",D866*IFERROR(INDEX(Productos!$E$2:$E$501,MATCH(B866,Productos!$A$2:$A$501,0)),0))</f>
        <v/>
      </c>
      <c r="H866" s="33">
        <f>IF(A866="","",MONTH(A866))</f>
        <v/>
      </c>
      <c r="I866" s="33">
        <f>IF(A866="","",YEAR(A866))</f>
        <v/>
      </c>
    </row>
    <row r="867" ht="15" customHeight="1" s="21">
      <c r="A867" s="34" t="n"/>
      <c r="B867" s="30" t="n"/>
      <c r="C867" s="30" t="n"/>
      <c r="D867" s="30" t="n"/>
      <c r="E867" s="33">
        <f>IF(B867="","",IFERROR(INDEX(Productos!$B$2:$B$501,MATCH(B867,Productos!$A$2:$A$501,0)),"¿Código?"))</f>
        <v/>
      </c>
      <c r="F867" s="32">
        <f>IF(C867&lt;&gt;"Venta","",D867*IFERROR(INDEX(Productos!$D$2:$D$501,MATCH(B867,Productos!$A$2:$A$501,0)),0))</f>
        <v/>
      </c>
      <c r="G867" s="32">
        <f>IF(C867&lt;&gt;"Venta","",D867*IFERROR(INDEX(Productos!$E$2:$E$501,MATCH(B867,Productos!$A$2:$A$501,0)),0))</f>
        <v/>
      </c>
      <c r="H867" s="33">
        <f>IF(A867="","",MONTH(A867))</f>
        <v/>
      </c>
      <c r="I867" s="33">
        <f>IF(A867="","",YEAR(A867))</f>
        <v/>
      </c>
    </row>
    <row r="868" ht="15" customHeight="1" s="21">
      <c r="A868" s="34" t="n"/>
      <c r="B868" s="30" t="n"/>
      <c r="C868" s="30" t="n"/>
      <c r="D868" s="30" t="n"/>
      <c r="E868" s="33">
        <f>IF(B868="","",IFERROR(INDEX(Productos!$B$2:$B$501,MATCH(B868,Productos!$A$2:$A$501,0)),"¿Código?"))</f>
        <v/>
      </c>
      <c r="F868" s="32">
        <f>IF(C868&lt;&gt;"Venta","",D868*IFERROR(INDEX(Productos!$D$2:$D$501,MATCH(B868,Productos!$A$2:$A$501,0)),0))</f>
        <v/>
      </c>
      <c r="G868" s="32">
        <f>IF(C868&lt;&gt;"Venta","",D868*IFERROR(INDEX(Productos!$E$2:$E$501,MATCH(B868,Productos!$A$2:$A$501,0)),0))</f>
        <v/>
      </c>
      <c r="H868" s="33">
        <f>IF(A868="","",MONTH(A868))</f>
        <v/>
      </c>
      <c r="I868" s="33">
        <f>IF(A868="","",YEAR(A868))</f>
        <v/>
      </c>
    </row>
    <row r="869" ht="15" customHeight="1" s="21">
      <c r="A869" s="34" t="n"/>
      <c r="B869" s="30" t="n"/>
      <c r="C869" s="30" t="n"/>
      <c r="D869" s="30" t="n"/>
      <c r="E869" s="33">
        <f>IF(B869="","",IFERROR(INDEX(Productos!$B$2:$B$501,MATCH(B869,Productos!$A$2:$A$501,0)),"¿Código?"))</f>
        <v/>
      </c>
      <c r="F869" s="32">
        <f>IF(C869&lt;&gt;"Venta","",D869*IFERROR(INDEX(Productos!$D$2:$D$501,MATCH(B869,Productos!$A$2:$A$501,0)),0))</f>
        <v/>
      </c>
      <c r="G869" s="32">
        <f>IF(C869&lt;&gt;"Venta","",D869*IFERROR(INDEX(Productos!$E$2:$E$501,MATCH(B869,Productos!$A$2:$A$501,0)),0))</f>
        <v/>
      </c>
      <c r="H869" s="33">
        <f>IF(A869="","",MONTH(A869))</f>
        <v/>
      </c>
      <c r="I869" s="33">
        <f>IF(A869="","",YEAR(A869))</f>
        <v/>
      </c>
    </row>
    <row r="870" ht="15" customHeight="1" s="21">
      <c r="A870" s="34" t="n"/>
      <c r="B870" s="30" t="n"/>
      <c r="C870" s="30" t="n"/>
      <c r="D870" s="30" t="n"/>
      <c r="E870" s="33">
        <f>IF(B870="","",IFERROR(INDEX(Productos!$B$2:$B$501,MATCH(B870,Productos!$A$2:$A$501,0)),"¿Código?"))</f>
        <v/>
      </c>
      <c r="F870" s="32">
        <f>IF(C870&lt;&gt;"Venta","",D870*IFERROR(INDEX(Productos!$D$2:$D$501,MATCH(B870,Productos!$A$2:$A$501,0)),0))</f>
        <v/>
      </c>
      <c r="G870" s="32">
        <f>IF(C870&lt;&gt;"Venta","",D870*IFERROR(INDEX(Productos!$E$2:$E$501,MATCH(B870,Productos!$A$2:$A$501,0)),0))</f>
        <v/>
      </c>
      <c r="H870" s="33">
        <f>IF(A870="","",MONTH(A870))</f>
        <v/>
      </c>
      <c r="I870" s="33">
        <f>IF(A870="","",YEAR(A870))</f>
        <v/>
      </c>
    </row>
    <row r="871" ht="15" customHeight="1" s="21">
      <c r="A871" s="34" t="n"/>
      <c r="B871" s="30" t="n"/>
      <c r="C871" s="30" t="n"/>
      <c r="D871" s="30" t="n"/>
      <c r="E871" s="33">
        <f>IF(B871="","",IFERROR(INDEX(Productos!$B$2:$B$501,MATCH(B871,Productos!$A$2:$A$501,0)),"¿Código?"))</f>
        <v/>
      </c>
      <c r="F871" s="32">
        <f>IF(C871&lt;&gt;"Venta","",D871*IFERROR(INDEX(Productos!$D$2:$D$501,MATCH(B871,Productos!$A$2:$A$501,0)),0))</f>
        <v/>
      </c>
      <c r="G871" s="32">
        <f>IF(C871&lt;&gt;"Venta","",D871*IFERROR(INDEX(Productos!$E$2:$E$501,MATCH(B871,Productos!$A$2:$A$501,0)),0))</f>
        <v/>
      </c>
      <c r="H871" s="33">
        <f>IF(A871="","",MONTH(A871))</f>
        <v/>
      </c>
      <c r="I871" s="33">
        <f>IF(A871="","",YEAR(A871))</f>
        <v/>
      </c>
    </row>
    <row r="872" ht="15" customHeight="1" s="21">
      <c r="A872" s="34" t="n"/>
      <c r="B872" s="30" t="n"/>
      <c r="C872" s="30" t="n"/>
      <c r="D872" s="30" t="n"/>
      <c r="E872" s="33">
        <f>IF(B872="","",IFERROR(INDEX(Productos!$B$2:$B$501,MATCH(B872,Productos!$A$2:$A$501,0)),"¿Código?"))</f>
        <v/>
      </c>
      <c r="F872" s="32">
        <f>IF(C872&lt;&gt;"Venta","",D872*IFERROR(INDEX(Productos!$D$2:$D$501,MATCH(B872,Productos!$A$2:$A$501,0)),0))</f>
        <v/>
      </c>
      <c r="G872" s="32">
        <f>IF(C872&lt;&gt;"Venta","",D872*IFERROR(INDEX(Productos!$E$2:$E$501,MATCH(B872,Productos!$A$2:$A$501,0)),0))</f>
        <v/>
      </c>
      <c r="H872" s="33">
        <f>IF(A872="","",MONTH(A872))</f>
        <v/>
      </c>
      <c r="I872" s="33">
        <f>IF(A872="","",YEAR(A872))</f>
        <v/>
      </c>
    </row>
    <row r="873" ht="15" customHeight="1" s="21">
      <c r="A873" s="34" t="n"/>
      <c r="B873" s="30" t="n"/>
      <c r="C873" s="30" t="n"/>
      <c r="D873" s="30" t="n"/>
      <c r="E873" s="33">
        <f>IF(B873="","",IFERROR(INDEX(Productos!$B$2:$B$501,MATCH(B873,Productos!$A$2:$A$501,0)),"¿Código?"))</f>
        <v/>
      </c>
      <c r="F873" s="32">
        <f>IF(C873&lt;&gt;"Venta","",D873*IFERROR(INDEX(Productos!$D$2:$D$501,MATCH(B873,Productos!$A$2:$A$501,0)),0))</f>
        <v/>
      </c>
      <c r="G873" s="32">
        <f>IF(C873&lt;&gt;"Venta","",D873*IFERROR(INDEX(Productos!$E$2:$E$501,MATCH(B873,Productos!$A$2:$A$501,0)),0))</f>
        <v/>
      </c>
      <c r="H873" s="33">
        <f>IF(A873="","",MONTH(A873))</f>
        <v/>
      </c>
      <c r="I873" s="33">
        <f>IF(A873="","",YEAR(A873))</f>
        <v/>
      </c>
    </row>
    <row r="874" ht="15" customHeight="1" s="21">
      <c r="A874" s="34" t="n"/>
      <c r="B874" s="30" t="n"/>
      <c r="C874" s="30" t="n"/>
      <c r="D874" s="30" t="n"/>
      <c r="E874" s="33">
        <f>IF(B874="","",IFERROR(INDEX(Productos!$B$2:$B$501,MATCH(B874,Productos!$A$2:$A$501,0)),"¿Código?"))</f>
        <v/>
      </c>
      <c r="F874" s="32">
        <f>IF(C874&lt;&gt;"Venta","",D874*IFERROR(INDEX(Productos!$D$2:$D$501,MATCH(B874,Productos!$A$2:$A$501,0)),0))</f>
        <v/>
      </c>
      <c r="G874" s="32">
        <f>IF(C874&lt;&gt;"Venta","",D874*IFERROR(INDEX(Productos!$E$2:$E$501,MATCH(B874,Productos!$A$2:$A$501,0)),0))</f>
        <v/>
      </c>
      <c r="H874" s="33">
        <f>IF(A874="","",MONTH(A874))</f>
        <v/>
      </c>
      <c r="I874" s="33">
        <f>IF(A874="","",YEAR(A874))</f>
        <v/>
      </c>
    </row>
    <row r="875" ht="15" customHeight="1" s="21">
      <c r="A875" s="34" t="n"/>
      <c r="B875" s="30" t="n"/>
      <c r="C875" s="30" t="n"/>
      <c r="D875" s="30" t="n"/>
      <c r="E875" s="33">
        <f>IF(B875="","",IFERROR(INDEX(Productos!$B$2:$B$501,MATCH(B875,Productos!$A$2:$A$501,0)),"¿Código?"))</f>
        <v/>
      </c>
      <c r="F875" s="32">
        <f>IF(C875&lt;&gt;"Venta","",D875*IFERROR(INDEX(Productos!$D$2:$D$501,MATCH(B875,Productos!$A$2:$A$501,0)),0))</f>
        <v/>
      </c>
      <c r="G875" s="32">
        <f>IF(C875&lt;&gt;"Venta","",D875*IFERROR(INDEX(Productos!$E$2:$E$501,MATCH(B875,Productos!$A$2:$A$501,0)),0))</f>
        <v/>
      </c>
      <c r="H875" s="33">
        <f>IF(A875="","",MONTH(A875))</f>
        <v/>
      </c>
      <c r="I875" s="33">
        <f>IF(A875="","",YEAR(A875))</f>
        <v/>
      </c>
    </row>
    <row r="876" ht="15" customHeight="1" s="21">
      <c r="A876" s="34" t="n"/>
      <c r="B876" s="30" t="n"/>
      <c r="C876" s="30" t="n"/>
      <c r="D876" s="30" t="n"/>
      <c r="E876" s="33">
        <f>IF(B876="","",IFERROR(INDEX(Productos!$B$2:$B$501,MATCH(B876,Productos!$A$2:$A$501,0)),"¿Código?"))</f>
        <v/>
      </c>
      <c r="F876" s="32">
        <f>IF(C876&lt;&gt;"Venta","",D876*IFERROR(INDEX(Productos!$D$2:$D$501,MATCH(B876,Productos!$A$2:$A$501,0)),0))</f>
        <v/>
      </c>
      <c r="G876" s="32">
        <f>IF(C876&lt;&gt;"Venta","",D876*IFERROR(INDEX(Productos!$E$2:$E$501,MATCH(B876,Productos!$A$2:$A$501,0)),0))</f>
        <v/>
      </c>
      <c r="H876" s="33">
        <f>IF(A876="","",MONTH(A876))</f>
        <v/>
      </c>
      <c r="I876" s="33">
        <f>IF(A876="","",YEAR(A876))</f>
        <v/>
      </c>
    </row>
    <row r="877" ht="15" customHeight="1" s="21">
      <c r="A877" s="34" t="n"/>
      <c r="B877" s="30" t="n"/>
      <c r="C877" s="30" t="n"/>
      <c r="D877" s="30" t="n"/>
      <c r="E877" s="33">
        <f>IF(B877="","",IFERROR(INDEX(Productos!$B$2:$B$501,MATCH(B877,Productos!$A$2:$A$501,0)),"¿Código?"))</f>
        <v/>
      </c>
      <c r="F877" s="32">
        <f>IF(C877&lt;&gt;"Venta","",D877*IFERROR(INDEX(Productos!$D$2:$D$501,MATCH(B877,Productos!$A$2:$A$501,0)),0))</f>
        <v/>
      </c>
      <c r="G877" s="32">
        <f>IF(C877&lt;&gt;"Venta","",D877*IFERROR(INDEX(Productos!$E$2:$E$501,MATCH(B877,Productos!$A$2:$A$501,0)),0))</f>
        <v/>
      </c>
      <c r="H877" s="33">
        <f>IF(A877="","",MONTH(A877))</f>
        <v/>
      </c>
      <c r="I877" s="33">
        <f>IF(A877="","",YEAR(A877))</f>
        <v/>
      </c>
    </row>
    <row r="878" ht="15" customHeight="1" s="21">
      <c r="A878" s="34" t="n"/>
      <c r="B878" s="30" t="n"/>
      <c r="C878" s="30" t="n"/>
      <c r="D878" s="30" t="n"/>
      <c r="E878" s="33">
        <f>IF(B878="","",IFERROR(INDEX(Productos!$B$2:$B$501,MATCH(B878,Productos!$A$2:$A$501,0)),"¿Código?"))</f>
        <v/>
      </c>
      <c r="F878" s="32">
        <f>IF(C878&lt;&gt;"Venta","",D878*IFERROR(INDEX(Productos!$D$2:$D$501,MATCH(B878,Productos!$A$2:$A$501,0)),0))</f>
        <v/>
      </c>
      <c r="G878" s="32">
        <f>IF(C878&lt;&gt;"Venta","",D878*IFERROR(INDEX(Productos!$E$2:$E$501,MATCH(B878,Productos!$A$2:$A$501,0)),0))</f>
        <v/>
      </c>
      <c r="H878" s="33">
        <f>IF(A878="","",MONTH(A878))</f>
        <v/>
      </c>
      <c r="I878" s="33">
        <f>IF(A878="","",YEAR(A878))</f>
        <v/>
      </c>
    </row>
    <row r="879" ht="15" customHeight="1" s="21">
      <c r="A879" s="34" t="n"/>
      <c r="B879" s="30" t="n"/>
      <c r="C879" s="30" t="n"/>
      <c r="D879" s="30" t="n"/>
      <c r="E879" s="33">
        <f>IF(B879="","",IFERROR(INDEX(Productos!$B$2:$B$501,MATCH(B879,Productos!$A$2:$A$501,0)),"¿Código?"))</f>
        <v/>
      </c>
      <c r="F879" s="32">
        <f>IF(C879&lt;&gt;"Venta","",D879*IFERROR(INDEX(Productos!$D$2:$D$501,MATCH(B879,Productos!$A$2:$A$501,0)),0))</f>
        <v/>
      </c>
      <c r="G879" s="32">
        <f>IF(C879&lt;&gt;"Venta","",D879*IFERROR(INDEX(Productos!$E$2:$E$501,MATCH(B879,Productos!$A$2:$A$501,0)),0))</f>
        <v/>
      </c>
      <c r="H879" s="33">
        <f>IF(A879="","",MONTH(A879))</f>
        <v/>
      </c>
      <c r="I879" s="33">
        <f>IF(A879="","",YEAR(A879))</f>
        <v/>
      </c>
    </row>
    <row r="880" ht="15" customHeight="1" s="21">
      <c r="A880" s="34" t="n"/>
      <c r="B880" s="30" t="n"/>
      <c r="C880" s="30" t="n"/>
      <c r="D880" s="30" t="n"/>
      <c r="E880" s="33">
        <f>IF(B880="","",IFERROR(INDEX(Productos!$B$2:$B$501,MATCH(B880,Productos!$A$2:$A$501,0)),"¿Código?"))</f>
        <v/>
      </c>
      <c r="F880" s="32">
        <f>IF(C880&lt;&gt;"Venta","",D880*IFERROR(INDEX(Productos!$D$2:$D$501,MATCH(B880,Productos!$A$2:$A$501,0)),0))</f>
        <v/>
      </c>
      <c r="G880" s="32">
        <f>IF(C880&lt;&gt;"Venta","",D880*IFERROR(INDEX(Productos!$E$2:$E$501,MATCH(B880,Productos!$A$2:$A$501,0)),0))</f>
        <v/>
      </c>
      <c r="H880" s="33">
        <f>IF(A880="","",MONTH(A880))</f>
        <v/>
      </c>
      <c r="I880" s="33">
        <f>IF(A880="","",YEAR(A880))</f>
        <v/>
      </c>
    </row>
    <row r="881" ht="15" customHeight="1" s="21">
      <c r="A881" s="34" t="n"/>
      <c r="B881" s="30" t="n"/>
      <c r="C881" s="30" t="n"/>
      <c r="D881" s="30" t="n"/>
      <c r="E881" s="33">
        <f>IF(B881="","",IFERROR(INDEX(Productos!$B$2:$B$501,MATCH(B881,Productos!$A$2:$A$501,0)),"¿Código?"))</f>
        <v/>
      </c>
      <c r="F881" s="32">
        <f>IF(C881&lt;&gt;"Venta","",D881*IFERROR(INDEX(Productos!$D$2:$D$501,MATCH(B881,Productos!$A$2:$A$501,0)),0))</f>
        <v/>
      </c>
      <c r="G881" s="32">
        <f>IF(C881&lt;&gt;"Venta","",D881*IFERROR(INDEX(Productos!$E$2:$E$501,MATCH(B881,Productos!$A$2:$A$501,0)),0))</f>
        <v/>
      </c>
      <c r="H881" s="33">
        <f>IF(A881="","",MONTH(A881))</f>
        <v/>
      </c>
      <c r="I881" s="33">
        <f>IF(A881="","",YEAR(A881))</f>
        <v/>
      </c>
    </row>
    <row r="882" ht="15" customHeight="1" s="21">
      <c r="A882" s="34" t="n"/>
      <c r="B882" s="30" t="n"/>
      <c r="C882" s="30" t="n"/>
      <c r="D882" s="30" t="n"/>
      <c r="E882" s="33">
        <f>IF(B882="","",IFERROR(INDEX(Productos!$B$2:$B$501,MATCH(B882,Productos!$A$2:$A$501,0)),"¿Código?"))</f>
        <v/>
      </c>
      <c r="F882" s="32">
        <f>IF(C882&lt;&gt;"Venta","",D882*IFERROR(INDEX(Productos!$D$2:$D$501,MATCH(B882,Productos!$A$2:$A$501,0)),0))</f>
        <v/>
      </c>
      <c r="G882" s="32">
        <f>IF(C882&lt;&gt;"Venta","",D882*IFERROR(INDEX(Productos!$E$2:$E$501,MATCH(B882,Productos!$A$2:$A$501,0)),0))</f>
        <v/>
      </c>
      <c r="H882" s="33">
        <f>IF(A882="","",MONTH(A882))</f>
        <v/>
      </c>
      <c r="I882" s="33">
        <f>IF(A882="","",YEAR(A882))</f>
        <v/>
      </c>
    </row>
    <row r="883" ht="15" customHeight="1" s="21">
      <c r="A883" s="34" t="n"/>
      <c r="B883" s="30" t="n"/>
      <c r="C883" s="30" t="n"/>
      <c r="D883" s="30" t="n"/>
      <c r="E883" s="33">
        <f>IF(B883="","",IFERROR(INDEX(Productos!$B$2:$B$501,MATCH(B883,Productos!$A$2:$A$501,0)),"¿Código?"))</f>
        <v/>
      </c>
      <c r="F883" s="32">
        <f>IF(C883&lt;&gt;"Venta","",D883*IFERROR(INDEX(Productos!$D$2:$D$501,MATCH(B883,Productos!$A$2:$A$501,0)),0))</f>
        <v/>
      </c>
      <c r="G883" s="32">
        <f>IF(C883&lt;&gt;"Venta","",D883*IFERROR(INDEX(Productos!$E$2:$E$501,MATCH(B883,Productos!$A$2:$A$501,0)),0))</f>
        <v/>
      </c>
      <c r="H883" s="33">
        <f>IF(A883="","",MONTH(A883))</f>
        <v/>
      </c>
      <c r="I883" s="33">
        <f>IF(A883="","",YEAR(A883))</f>
        <v/>
      </c>
    </row>
    <row r="884" ht="15" customHeight="1" s="21">
      <c r="A884" s="34" t="n"/>
      <c r="B884" s="30" t="n"/>
      <c r="C884" s="30" t="n"/>
      <c r="D884" s="30" t="n"/>
      <c r="E884" s="33">
        <f>IF(B884="","",IFERROR(INDEX(Productos!$B$2:$B$501,MATCH(B884,Productos!$A$2:$A$501,0)),"¿Código?"))</f>
        <v/>
      </c>
      <c r="F884" s="32">
        <f>IF(C884&lt;&gt;"Venta","",D884*IFERROR(INDEX(Productos!$D$2:$D$501,MATCH(B884,Productos!$A$2:$A$501,0)),0))</f>
        <v/>
      </c>
      <c r="G884" s="32">
        <f>IF(C884&lt;&gt;"Venta","",D884*IFERROR(INDEX(Productos!$E$2:$E$501,MATCH(B884,Productos!$A$2:$A$501,0)),0))</f>
        <v/>
      </c>
      <c r="H884" s="33">
        <f>IF(A884="","",MONTH(A884))</f>
        <v/>
      </c>
      <c r="I884" s="33">
        <f>IF(A884="","",YEAR(A884))</f>
        <v/>
      </c>
    </row>
    <row r="885" ht="15" customHeight="1" s="21">
      <c r="A885" s="34" t="n"/>
      <c r="B885" s="30" t="n"/>
      <c r="C885" s="30" t="n"/>
      <c r="D885" s="30" t="n"/>
      <c r="E885" s="33">
        <f>IF(B885="","",IFERROR(INDEX(Productos!$B$2:$B$501,MATCH(B885,Productos!$A$2:$A$501,0)),"¿Código?"))</f>
        <v/>
      </c>
      <c r="F885" s="32">
        <f>IF(C885&lt;&gt;"Venta","",D885*IFERROR(INDEX(Productos!$D$2:$D$501,MATCH(B885,Productos!$A$2:$A$501,0)),0))</f>
        <v/>
      </c>
      <c r="G885" s="32">
        <f>IF(C885&lt;&gt;"Venta","",D885*IFERROR(INDEX(Productos!$E$2:$E$501,MATCH(B885,Productos!$A$2:$A$501,0)),0))</f>
        <v/>
      </c>
      <c r="H885" s="33">
        <f>IF(A885="","",MONTH(A885))</f>
        <v/>
      </c>
      <c r="I885" s="33">
        <f>IF(A885="","",YEAR(A885))</f>
        <v/>
      </c>
    </row>
    <row r="886" ht="15" customHeight="1" s="21">
      <c r="A886" s="34" t="n"/>
      <c r="B886" s="30" t="n"/>
      <c r="C886" s="30" t="n"/>
      <c r="D886" s="30" t="n"/>
      <c r="E886" s="33">
        <f>IF(B886="","",IFERROR(INDEX(Productos!$B$2:$B$501,MATCH(B886,Productos!$A$2:$A$501,0)),"¿Código?"))</f>
        <v/>
      </c>
      <c r="F886" s="32">
        <f>IF(C886&lt;&gt;"Venta","",D886*IFERROR(INDEX(Productos!$D$2:$D$501,MATCH(B886,Productos!$A$2:$A$501,0)),0))</f>
        <v/>
      </c>
      <c r="G886" s="32">
        <f>IF(C886&lt;&gt;"Venta","",D886*IFERROR(INDEX(Productos!$E$2:$E$501,MATCH(B886,Productos!$A$2:$A$501,0)),0))</f>
        <v/>
      </c>
      <c r="H886" s="33">
        <f>IF(A886="","",MONTH(A886))</f>
        <v/>
      </c>
      <c r="I886" s="33">
        <f>IF(A886="","",YEAR(A886))</f>
        <v/>
      </c>
    </row>
    <row r="887" ht="15" customHeight="1" s="21">
      <c r="A887" s="34" t="n"/>
      <c r="B887" s="30" t="n"/>
      <c r="C887" s="30" t="n"/>
      <c r="D887" s="30" t="n"/>
      <c r="E887" s="33">
        <f>IF(B887="","",IFERROR(INDEX(Productos!$B$2:$B$501,MATCH(B887,Productos!$A$2:$A$501,0)),"¿Código?"))</f>
        <v/>
      </c>
      <c r="F887" s="32">
        <f>IF(C887&lt;&gt;"Venta","",D887*IFERROR(INDEX(Productos!$D$2:$D$501,MATCH(B887,Productos!$A$2:$A$501,0)),0))</f>
        <v/>
      </c>
      <c r="G887" s="32">
        <f>IF(C887&lt;&gt;"Venta","",D887*IFERROR(INDEX(Productos!$E$2:$E$501,MATCH(B887,Productos!$A$2:$A$501,0)),0))</f>
        <v/>
      </c>
      <c r="H887" s="33">
        <f>IF(A887="","",MONTH(A887))</f>
        <v/>
      </c>
      <c r="I887" s="33">
        <f>IF(A887="","",YEAR(A887))</f>
        <v/>
      </c>
    </row>
    <row r="888" ht="15" customHeight="1" s="21">
      <c r="A888" s="34" t="n"/>
      <c r="B888" s="30" t="n"/>
      <c r="C888" s="30" t="n"/>
      <c r="D888" s="30" t="n"/>
      <c r="E888" s="33">
        <f>IF(B888="","",IFERROR(INDEX(Productos!$B$2:$B$501,MATCH(B888,Productos!$A$2:$A$501,0)),"¿Código?"))</f>
        <v/>
      </c>
      <c r="F888" s="32">
        <f>IF(C888&lt;&gt;"Venta","",D888*IFERROR(INDEX(Productos!$D$2:$D$501,MATCH(B888,Productos!$A$2:$A$501,0)),0))</f>
        <v/>
      </c>
      <c r="G888" s="32">
        <f>IF(C888&lt;&gt;"Venta","",D888*IFERROR(INDEX(Productos!$E$2:$E$501,MATCH(B888,Productos!$A$2:$A$501,0)),0))</f>
        <v/>
      </c>
      <c r="H888" s="33">
        <f>IF(A888="","",MONTH(A888))</f>
        <v/>
      </c>
      <c r="I888" s="33">
        <f>IF(A888="","",YEAR(A888))</f>
        <v/>
      </c>
    </row>
    <row r="889" ht="15" customHeight="1" s="21">
      <c r="A889" s="34" t="n"/>
      <c r="B889" s="30" t="n"/>
      <c r="C889" s="30" t="n"/>
      <c r="D889" s="30" t="n"/>
      <c r="E889" s="33">
        <f>IF(B889="","",IFERROR(INDEX(Productos!$B$2:$B$501,MATCH(B889,Productos!$A$2:$A$501,0)),"¿Código?"))</f>
        <v/>
      </c>
      <c r="F889" s="32">
        <f>IF(C889&lt;&gt;"Venta","",D889*IFERROR(INDEX(Productos!$D$2:$D$501,MATCH(B889,Productos!$A$2:$A$501,0)),0))</f>
        <v/>
      </c>
      <c r="G889" s="32">
        <f>IF(C889&lt;&gt;"Venta","",D889*IFERROR(INDEX(Productos!$E$2:$E$501,MATCH(B889,Productos!$A$2:$A$501,0)),0))</f>
        <v/>
      </c>
      <c r="H889" s="33">
        <f>IF(A889="","",MONTH(A889))</f>
        <v/>
      </c>
      <c r="I889" s="33">
        <f>IF(A889="","",YEAR(A889))</f>
        <v/>
      </c>
    </row>
    <row r="890" ht="15" customHeight="1" s="21">
      <c r="A890" s="34" t="n"/>
      <c r="B890" s="30" t="n"/>
      <c r="C890" s="30" t="n"/>
      <c r="D890" s="30" t="n"/>
      <c r="E890" s="33">
        <f>IF(B890="","",IFERROR(INDEX(Productos!$B$2:$B$501,MATCH(B890,Productos!$A$2:$A$501,0)),"¿Código?"))</f>
        <v/>
      </c>
      <c r="F890" s="32">
        <f>IF(C890&lt;&gt;"Venta","",D890*IFERROR(INDEX(Productos!$D$2:$D$501,MATCH(B890,Productos!$A$2:$A$501,0)),0))</f>
        <v/>
      </c>
      <c r="G890" s="32">
        <f>IF(C890&lt;&gt;"Venta","",D890*IFERROR(INDEX(Productos!$E$2:$E$501,MATCH(B890,Productos!$A$2:$A$501,0)),0))</f>
        <v/>
      </c>
      <c r="H890" s="33">
        <f>IF(A890="","",MONTH(A890))</f>
        <v/>
      </c>
      <c r="I890" s="33">
        <f>IF(A890="","",YEAR(A890))</f>
        <v/>
      </c>
    </row>
    <row r="891" ht="15" customHeight="1" s="21">
      <c r="A891" s="34" t="n"/>
      <c r="B891" s="30" t="n"/>
      <c r="C891" s="30" t="n"/>
      <c r="D891" s="30" t="n"/>
      <c r="E891" s="33">
        <f>IF(B891="","",IFERROR(INDEX(Productos!$B$2:$B$501,MATCH(B891,Productos!$A$2:$A$501,0)),"¿Código?"))</f>
        <v/>
      </c>
      <c r="F891" s="32">
        <f>IF(C891&lt;&gt;"Venta","",D891*IFERROR(INDEX(Productos!$D$2:$D$501,MATCH(B891,Productos!$A$2:$A$501,0)),0))</f>
        <v/>
      </c>
      <c r="G891" s="32">
        <f>IF(C891&lt;&gt;"Venta","",D891*IFERROR(INDEX(Productos!$E$2:$E$501,MATCH(B891,Productos!$A$2:$A$501,0)),0))</f>
        <v/>
      </c>
      <c r="H891" s="33">
        <f>IF(A891="","",MONTH(A891))</f>
        <v/>
      </c>
      <c r="I891" s="33">
        <f>IF(A891="","",YEAR(A891))</f>
        <v/>
      </c>
    </row>
    <row r="892" ht="15" customHeight="1" s="21">
      <c r="A892" s="34" t="n"/>
      <c r="B892" s="30" t="n"/>
      <c r="C892" s="30" t="n"/>
      <c r="D892" s="30" t="n"/>
      <c r="E892" s="33">
        <f>IF(B892="","",IFERROR(INDEX(Productos!$B$2:$B$501,MATCH(B892,Productos!$A$2:$A$501,0)),"¿Código?"))</f>
        <v/>
      </c>
      <c r="F892" s="32">
        <f>IF(C892&lt;&gt;"Venta","",D892*IFERROR(INDEX(Productos!$D$2:$D$501,MATCH(B892,Productos!$A$2:$A$501,0)),0))</f>
        <v/>
      </c>
      <c r="G892" s="32">
        <f>IF(C892&lt;&gt;"Venta","",D892*IFERROR(INDEX(Productos!$E$2:$E$501,MATCH(B892,Productos!$A$2:$A$501,0)),0))</f>
        <v/>
      </c>
      <c r="H892" s="33">
        <f>IF(A892="","",MONTH(A892))</f>
        <v/>
      </c>
      <c r="I892" s="33">
        <f>IF(A892="","",YEAR(A892))</f>
        <v/>
      </c>
    </row>
    <row r="893" ht="15" customHeight="1" s="21">
      <c r="A893" s="34" t="n"/>
      <c r="B893" s="30" t="n"/>
      <c r="C893" s="30" t="n"/>
      <c r="D893" s="30" t="n"/>
      <c r="E893" s="33">
        <f>IF(B893="","",IFERROR(INDEX(Productos!$B$2:$B$501,MATCH(B893,Productos!$A$2:$A$501,0)),"¿Código?"))</f>
        <v/>
      </c>
      <c r="F893" s="32">
        <f>IF(C893&lt;&gt;"Venta","",D893*IFERROR(INDEX(Productos!$D$2:$D$501,MATCH(B893,Productos!$A$2:$A$501,0)),0))</f>
        <v/>
      </c>
      <c r="G893" s="32">
        <f>IF(C893&lt;&gt;"Venta","",D893*IFERROR(INDEX(Productos!$E$2:$E$501,MATCH(B893,Productos!$A$2:$A$501,0)),0))</f>
        <v/>
      </c>
      <c r="H893" s="33">
        <f>IF(A893="","",MONTH(A893))</f>
        <v/>
      </c>
      <c r="I893" s="33">
        <f>IF(A893="","",YEAR(A893))</f>
        <v/>
      </c>
    </row>
    <row r="894" ht="15" customHeight="1" s="21">
      <c r="A894" s="34" t="n"/>
      <c r="B894" s="30" t="n"/>
      <c r="C894" s="30" t="n"/>
      <c r="D894" s="30" t="n"/>
      <c r="E894" s="33">
        <f>IF(B894="","",IFERROR(INDEX(Productos!$B$2:$B$501,MATCH(B894,Productos!$A$2:$A$501,0)),"¿Código?"))</f>
        <v/>
      </c>
      <c r="F894" s="32">
        <f>IF(C894&lt;&gt;"Venta","",D894*IFERROR(INDEX(Productos!$D$2:$D$501,MATCH(B894,Productos!$A$2:$A$501,0)),0))</f>
        <v/>
      </c>
      <c r="G894" s="32">
        <f>IF(C894&lt;&gt;"Venta","",D894*IFERROR(INDEX(Productos!$E$2:$E$501,MATCH(B894,Productos!$A$2:$A$501,0)),0))</f>
        <v/>
      </c>
      <c r="H894" s="33">
        <f>IF(A894="","",MONTH(A894))</f>
        <v/>
      </c>
      <c r="I894" s="33">
        <f>IF(A894="","",YEAR(A894))</f>
        <v/>
      </c>
    </row>
    <row r="895" ht="15" customHeight="1" s="21">
      <c r="A895" s="34" t="n"/>
      <c r="B895" s="30" t="n"/>
      <c r="C895" s="30" t="n"/>
      <c r="D895" s="30" t="n"/>
      <c r="E895" s="33">
        <f>IF(B895="","",IFERROR(INDEX(Productos!$B$2:$B$501,MATCH(B895,Productos!$A$2:$A$501,0)),"¿Código?"))</f>
        <v/>
      </c>
      <c r="F895" s="32">
        <f>IF(C895&lt;&gt;"Venta","",D895*IFERROR(INDEX(Productos!$D$2:$D$501,MATCH(B895,Productos!$A$2:$A$501,0)),0))</f>
        <v/>
      </c>
      <c r="G895" s="32">
        <f>IF(C895&lt;&gt;"Venta","",D895*IFERROR(INDEX(Productos!$E$2:$E$501,MATCH(B895,Productos!$A$2:$A$501,0)),0))</f>
        <v/>
      </c>
      <c r="H895" s="33">
        <f>IF(A895="","",MONTH(A895))</f>
        <v/>
      </c>
      <c r="I895" s="33">
        <f>IF(A895="","",YEAR(A895))</f>
        <v/>
      </c>
    </row>
    <row r="896" ht="15" customHeight="1" s="21">
      <c r="A896" s="34" t="n"/>
      <c r="B896" s="30" t="n"/>
      <c r="C896" s="30" t="n"/>
      <c r="D896" s="30" t="n"/>
      <c r="E896" s="33">
        <f>IF(B896="","",IFERROR(INDEX(Productos!$B$2:$B$501,MATCH(B896,Productos!$A$2:$A$501,0)),"¿Código?"))</f>
        <v/>
      </c>
      <c r="F896" s="32">
        <f>IF(C896&lt;&gt;"Venta","",D896*IFERROR(INDEX(Productos!$D$2:$D$501,MATCH(B896,Productos!$A$2:$A$501,0)),0))</f>
        <v/>
      </c>
      <c r="G896" s="32">
        <f>IF(C896&lt;&gt;"Venta","",D896*IFERROR(INDEX(Productos!$E$2:$E$501,MATCH(B896,Productos!$A$2:$A$501,0)),0))</f>
        <v/>
      </c>
      <c r="H896" s="33">
        <f>IF(A896="","",MONTH(A896))</f>
        <v/>
      </c>
      <c r="I896" s="33">
        <f>IF(A896="","",YEAR(A896))</f>
        <v/>
      </c>
    </row>
    <row r="897" ht="15" customHeight="1" s="21">
      <c r="A897" s="34" t="n"/>
      <c r="B897" s="30" t="n"/>
      <c r="C897" s="30" t="n"/>
      <c r="D897" s="30" t="n"/>
      <c r="E897" s="33">
        <f>IF(B897="","",IFERROR(INDEX(Productos!$B$2:$B$501,MATCH(B897,Productos!$A$2:$A$501,0)),"¿Código?"))</f>
        <v/>
      </c>
      <c r="F897" s="32">
        <f>IF(C897&lt;&gt;"Venta","",D897*IFERROR(INDEX(Productos!$D$2:$D$501,MATCH(B897,Productos!$A$2:$A$501,0)),0))</f>
        <v/>
      </c>
      <c r="G897" s="32">
        <f>IF(C897&lt;&gt;"Venta","",D897*IFERROR(INDEX(Productos!$E$2:$E$501,MATCH(B897,Productos!$A$2:$A$501,0)),0))</f>
        <v/>
      </c>
      <c r="H897" s="33">
        <f>IF(A897="","",MONTH(A897))</f>
        <v/>
      </c>
      <c r="I897" s="33">
        <f>IF(A897="","",YEAR(A897))</f>
        <v/>
      </c>
    </row>
    <row r="898" ht="15" customHeight="1" s="21">
      <c r="A898" s="34" t="n"/>
      <c r="B898" s="30" t="n"/>
      <c r="C898" s="30" t="n"/>
      <c r="D898" s="30" t="n"/>
      <c r="E898" s="33">
        <f>IF(B898="","",IFERROR(INDEX(Productos!$B$2:$B$501,MATCH(B898,Productos!$A$2:$A$501,0)),"¿Código?"))</f>
        <v/>
      </c>
      <c r="F898" s="32">
        <f>IF(C898&lt;&gt;"Venta","",D898*IFERROR(INDEX(Productos!$D$2:$D$501,MATCH(B898,Productos!$A$2:$A$501,0)),0))</f>
        <v/>
      </c>
      <c r="G898" s="32">
        <f>IF(C898&lt;&gt;"Venta","",D898*IFERROR(INDEX(Productos!$E$2:$E$501,MATCH(B898,Productos!$A$2:$A$501,0)),0))</f>
        <v/>
      </c>
      <c r="H898" s="33">
        <f>IF(A898="","",MONTH(A898))</f>
        <v/>
      </c>
      <c r="I898" s="33">
        <f>IF(A898="","",YEAR(A898))</f>
        <v/>
      </c>
    </row>
    <row r="899" ht="15" customHeight="1" s="21">
      <c r="A899" s="34" t="n"/>
      <c r="B899" s="30" t="n"/>
      <c r="C899" s="30" t="n"/>
      <c r="D899" s="30" t="n"/>
      <c r="E899" s="33">
        <f>IF(B899="","",IFERROR(INDEX(Productos!$B$2:$B$501,MATCH(B899,Productos!$A$2:$A$501,0)),"¿Código?"))</f>
        <v/>
      </c>
      <c r="F899" s="32">
        <f>IF(C899&lt;&gt;"Venta","",D899*IFERROR(INDEX(Productos!$D$2:$D$501,MATCH(B899,Productos!$A$2:$A$501,0)),0))</f>
        <v/>
      </c>
      <c r="G899" s="32">
        <f>IF(C899&lt;&gt;"Venta","",D899*IFERROR(INDEX(Productos!$E$2:$E$501,MATCH(B899,Productos!$A$2:$A$501,0)),0))</f>
        <v/>
      </c>
      <c r="H899" s="33">
        <f>IF(A899="","",MONTH(A899))</f>
        <v/>
      </c>
      <c r="I899" s="33">
        <f>IF(A899="","",YEAR(A899))</f>
        <v/>
      </c>
    </row>
    <row r="900" ht="15" customHeight="1" s="21">
      <c r="A900" s="34" t="n"/>
      <c r="B900" s="30" t="n"/>
      <c r="C900" s="30" t="n"/>
      <c r="D900" s="30" t="n"/>
      <c r="E900" s="33">
        <f>IF(B900="","",IFERROR(INDEX(Productos!$B$2:$B$501,MATCH(B900,Productos!$A$2:$A$501,0)),"¿Código?"))</f>
        <v/>
      </c>
      <c r="F900" s="32">
        <f>IF(C900&lt;&gt;"Venta","",D900*IFERROR(INDEX(Productos!$D$2:$D$501,MATCH(B900,Productos!$A$2:$A$501,0)),0))</f>
        <v/>
      </c>
      <c r="G900" s="32">
        <f>IF(C900&lt;&gt;"Venta","",D900*IFERROR(INDEX(Productos!$E$2:$E$501,MATCH(B900,Productos!$A$2:$A$501,0)),0))</f>
        <v/>
      </c>
      <c r="H900" s="33">
        <f>IF(A900="","",MONTH(A900))</f>
        <v/>
      </c>
      <c r="I900" s="33">
        <f>IF(A900="","",YEAR(A900))</f>
        <v/>
      </c>
    </row>
    <row r="901" ht="15" customHeight="1" s="21">
      <c r="A901" s="34" t="n"/>
      <c r="B901" s="30" t="n"/>
      <c r="C901" s="30" t="n"/>
      <c r="D901" s="30" t="n"/>
      <c r="E901" s="33">
        <f>IF(B901="","",IFERROR(INDEX(Productos!$B$2:$B$501,MATCH(B901,Productos!$A$2:$A$501,0)),"¿Código?"))</f>
        <v/>
      </c>
      <c r="F901" s="32">
        <f>IF(C901&lt;&gt;"Venta","",D901*IFERROR(INDEX(Productos!$D$2:$D$501,MATCH(B901,Productos!$A$2:$A$501,0)),0))</f>
        <v/>
      </c>
      <c r="G901" s="32">
        <f>IF(C901&lt;&gt;"Venta","",D901*IFERROR(INDEX(Productos!$E$2:$E$501,MATCH(B901,Productos!$A$2:$A$501,0)),0))</f>
        <v/>
      </c>
      <c r="H901" s="33">
        <f>IF(A901="","",MONTH(A901))</f>
        <v/>
      </c>
      <c r="I901" s="33">
        <f>IF(A901="","",YEAR(A901))</f>
        <v/>
      </c>
    </row>
    <row r="902" ht="15" customHeight="1" s="21">
      <c r="A902" s="34" t="n"/>
      <c r="B902" s="30" t="n"/>
      <c r="C902" s="30" t="n"/>
      <c r="D902" s="30" t="n"/>
      <c r="E902" s="33">
        <f>IF(B902="","",IFERROR(INDEX(Productos!$B$2:$B$501,MATCH(B902,Productos!$A$2:$A$501,0)),"¿Código?"))</f>
        <v/>
      </c>
      <c r="F902" s="32">
        <f>IF(C902&lt;&gt;"Venta","",D902*IFERROR(INDEX(Productos!$D$2:$D$501,MATCH(B902,Productos!$A$2:$A$501,0)),0))</f>
        <v/>
      </c>
      <c r="G902" s="32">
        <f>IF(C902&lt;&gt;"Venta","",D902*IFERROR(INDEX(Productos!$E$2:$E$501,MATCH(B902,Productos!$A$2:$A$501,0)),0))</f>
        <v/>
      </c>
      <c r="H902" s="33">
        <f>IF(A902="","",MONTH(A902))</f>
        <v/>
      </c>
      <c r="I902" s="33">
        <f>IF(A902="","",YEAR(A902))</f>
        <v/>
      </c>
    </row>
    <row r="903" ht="15" customHeight="1" s="21">
      <c r="A903" s="34" t="n"/>
      <c r="B903" s="30" t="n"/>
      <c r="C903" s="30" t="n"/>
      <c r="D903" s="30" t="n"/>
      <c r="E903" s="33">
        <f>IF(B903="","",IFERROR(INDEX(Productos!$B$2:$B$501,MATCH(B903,Productos!$A$2:$A$501,0)),"¿Código?"))</f>
        <v/>
      </c>
      <c r="F903" s="32">
        <f>IF(C903&lt;&gt;"Venta","",D903*IFERROR(INDEX(Productos!$D$2:$D$501,MATCH(B903,Productos!$A$2:$A$501,0)),0))</f>
        <v/>
      </c>
      <c r="G903" s="32">
        <f>IF(C903&lt;&gt;"Venta","",D903*IFERROR(INDEX(Productos!$E$2:$E$501,MATCH(B903,Productos!$A$2:$A$501,0)),0))</f>
        <v/>
      </c>
      <c r="H903" s="33">
        <f>IF(A903="","",MONTH(A903))</f>
        <v/>
      </c>
      <c r="I903" s="33">
        <f>IF(A903="","",YEAR(A903))</f>
        <v/>
      </c>
    </row>
    <row r="904" ht="15" customHeight="1" s="21">
      <c r="A904" s="34" t="n"/>
      <c r="B904" s="30" t="n"/>
      <c r="C904" s="30" t="n"/>
      <c r="D904" s="30" t="n"/>
      <c r="E904" s="33">
        <f>IF(B904="","",IFERROR(INDEX(Productos!$B$2:$B$501,MATCH(B904,Productos!$A$2:$A$501,0)),"¿Código?"))</f>
        <v/>
      </c>
      <c r="F904" s="32">
        <f>IF(C904&lt;&gt;"Venta","",D904*IFERROR(INDEX(Productos!$D$2:$D$501,MATCH(B904,Productos!$A$2:$A$501,0)),0))</f>
        <v/>
      </c>
      <c r="G904" s="32">
        <f>IF(C904&lt;&gt;"Venta","",D904*IFERROR(INDEX(Productos!$E$2:$E$501,MATCH(B904,Productos!$A$2:$A$501,0)),0))</f>
        <v/>
      </c>
      <c r="H904" s="33">
        <f>IF(A904="","",MONTH(A904))</f>
        <v/>
      </c>
      <c r="I904" s="33">
        <f>IF(A904="","",YEAR(A904))</f>
        <v/>
      </c>
    </row>
    <row r="905" ht="15" customHeight="1" s="21">
      <c r="A905" s="34" t="n"/>
      <c r="B905" s="30" t="n"/>
      <c r="C905" s="30" t="n"/>
      <c r="D905" s="30" t="n"/>
      <c r="E905" s="33">
        <f>IF(B905="","",IFERROR(INDEX(Productos!$B$2:$B$501,MATCH(B905,Productos!$A$2:$A$501,0)),"¿Código?"))</f>
        <v/>
      </c>
      <c r="F905" s="32">
        <f>IF(C905&lt;&gt;"Venta","",D905*IFERROR(INDEX(Productos!$D$2:$D$501,MATCH(B905,Productos!$A$2:$A$501,0)),0))</f>
        <v/>
      </c>
      <c r="G905" s="32">
        <f>IF(C905&lt;&gt;"Venta","",D905*IFERROR(INDEX(Productos!$E$2:$E$501,MATCH(B905,Productos!$A$2:$A$501,0)),0))</f>
        <v/>
      </c>
      <c r="H905" s="33">
        <f>IF(A905="","",MONTH(A905))</f>
        <v/>
      </c>
      <c r="I905" s="33">
        <f>IF(A905="","",YEAR(A905))</f>
        <v/>
      </c>
    </row>
    <row r="906" ht="15" customHeight="1" s="21">
      <c r="A906" s="34" t="n"/>
      <c r="B906" s="30" t="n"/>
      <c r="C906" s="30" t="n"/>
      <c r="D906" s="30" t="n"/>
      <c r="E906" s="33">
        <f>IF(B906="","",IFERROR(INDEX(Productos!$B$2:$B$501,MATCH(B906,Productos!$A$2:$A$501,0)),"¿Código?"))</f>
        <v/>
      </c>
      <c r="F906" s="32">
        <f>IF(C906&lt;&gt;"Venta","",D906*IFERROR(INDEX(Productos!$D$2:$D$501,MATCH(B906,Productos!$A$2:$A$501,0)),0))</f>
        <v/>
      </c>
      <c r="G906" s="32">
        <f>IF(C906&lt;&gt;"Venta","",D906*IFERROR(INDEX(Productos!$E$2:$E$501,MATCH(B906,Productos!$A$2:$A$501,0)),0))</f>
        <v/>
      </c>
      <c r="H906" s="33">
        <f>IF(A906="","",MONTH(A906))</f>
        <v/>
      </c>
      <c r="I906" s="33">
        <f>IF(A906="","",YEAR(A906))</f>
        <v/>
      </c>
    </row>
    <row r="907" ht="15" customHeight="1" s="21">
      <c r="A907" s="34" t="n"/>
      <c r="B907" s="30" t="n"/>
      <c r="C907" s="30" t="n"/>
      <c r="D907" s="30" t="n"/>
      <c r="E907" s="33">
        <f>IF(B907="","",IFERROR(INDEX(Productos!$B$2:$B$501,MATCH(B907,Productos!$A$2:$A$501,0)),"¿Código?"))</f>
        <v/>
      </c>
      <c r="F907" s="32">
        <f>IF(C907&lt;&gt;"Venta","",D907*IFERROR(INDEX(Productos!$D$2:$D$501,MATCH(B907,Productos!$A$2:$A$501,0)),0))</f>
        <v/>
      </c>
      <c r="G907" s="32">
        <f>IF(C907&lt;&gt;"Venta","",D907*IFERROR(INDEX(Productos!$E$2:$E$501,MATCH(B907,Productos!$A$2:$A$501,0)),0))</f>
        <v/>
      </c>
      <c r="H907" s="33">
        <f>IF(A907="","",MONTH(A907))</f>
        <v/>
      </c>
      <c r="I907" s="33">
        <f>IF(A907="","",YEAR(A907))</f>
        <v/>
      </c>
    </row>
    <row r="908" ht="15" customHeight="1" s="21">
      <c r="A908" s="34" t="n"/>
      <c r="B908" s="30" t="n"/>
      <c r="C908" s="30" t="n"/>
      <c r="D908" s="30" t="n"/>
      <c r="E908" s="33">
        <f>IF(B908="","",IFERROR(INDEX(Productos!$B$2:$B$501,MATCH(B908,Productos!$A$2:$A$501,0)),"¿Código?"))</f>
        <v/>
      </c>
      <c r="F908" s="32">
        <f>IF(C908&lt;&gt;"Venta","",D908*IFERROR(INDEX(Productos!$D$2:$D$501,MATCH(B908,Productos!$A$2:$A$501,0)),0))</f>
        <v/>
      </c>
      <c r="G908" s="32">
        <f>IF(C908&lt;&gt;"Venta","",D908*IFERROR(INDEX(Productos!$E$2:$E$501,MATCH(B908,Productos!$A$2:$A$501,0)),0))</f>
        <v/>
      </c>
      <c r="H908" s="33">
        <f>IF(A908="","",MONTH(A908))</f>
        <v/>
      </c>
      <c r="I908" s="33">
        <f>IF(A908="","",YEAR(A908))</f>
        <v/>
      </c>
    </row>
    <row r="909" ht="15" customHeight="1" s="21">
      <c r="A909" s="34" t="n"/>
      <c r="B909" s="30" t="n"/>
      <c r="C909" s="30" t="n"/>
      <c r="D909" s="30" t="n"/>
      <c r="E909" s="33">
        <f>IF(B909="","",IFERROR(INDEX(Productos!$B$2:$B$501,MATCH(B909,Productos!$A$2:$A$501,0)),"¿Código?"))</f>
        <v/>
      </c>
      <c r="F909" s="32">
        <f>IF(C909&lt;&gt;"Venta","",D909*IFERROR(INDEX(Productos!$D$2:$D$501,MATCH(B909,Productos!$A$2:$A$501,0)),0))</f>
        <v/>
      </c>
      <c r="G909" s="32">
        <f>IF(C909&lt;&gt;"Venta","",D909*IFERROR(INDEX(Productos!$E$2:$E$501,MATCH(B909,Productos!$A$2:$A$501,0)),0))</f>
        <v/>
      </c>
      <c r="H909" s="33">
        <f>IF(A909="","",MONTH(A909))</f>
        <v/>
      </c>
      <c r="I909" s="33">
        <f>IF(A909="","",YEAR(A909))</f>
        <v/>
      </c>
    </row>
    <row r="910" ht="15" customHeight="1" s="21">
      <c r="A910" s="34" t="n"/>
      <c r="B910" s="30" t="n"/>
      <c r="C910" s="30" t="n"/>
      <c r="D910" s="30" t="n"/>
      <c r="E910" s="33">
        <f>IF(B910="","",IFERROR(INDEX(Productos!$B$2:$B$501,MATCH(B910,Productos!$A$2:$A$501,0)),"¿Código?"))</f>
        <v/>
      </c>
      <c r="F910" s="32">
        <f>IF(C910&lt;&gt;"Venta","",D910*IFERROR(INDEX(Productos!$D$2:$D$501,MATCH(B910,Productos!$A$2:$A$501,0)),0))</f>
        <v/>
      </c>
      <c r="G910" s="32">
        <f>IF(C910&lt;&gt;"Venta","",D910*IFERROR(INDEX(Productos!$E$2:$E$501,MATCH(B910,Productos!$A$2:$A$501,0)),0))</f>
        <v/>
      </c>
      <c r="H910" s="33">
        <f>IF(A910="","",MONTH(A910))</f>
        <v/>
      </c>
      <c r="I910" s="33">
        <f>IF(A910="","",YEAR(A910))</f>
        <v/>
      </c>
    </row>
    <row r="911" ht="15" customHeight="1" s="21">
      <c r="A911" s="34" t="n"/>
      <c r="B911" s="30" t="n"/>
      <c r="C911" s="30" t="n"/>
      <c r="D911" s="30" t="n"/>
      <c r="E911" s="33">
        <f>IF(B911="","",IFERROR(INDEX(Productos!$B$2:$B$501,MATCH(B911,Productos!$A$2:$A$501,0)),"¿Código?"))</f>
        <v/>
      </c>
      <c r="F911" s="32">
        <f>IF(C911&lt;&gt;"Venta","",D911*IFERROR(INDEX(Productos!$D$2:$D$501,MATCH(B911,Productos!$A$2:$A$501,0)),0))</f>
        <v/>
      </c>
      <c r="G911" s="32">
        <f>IF(C911&lt;&gt;"Venta","",D911*IFERROR(INDEX(Productos!$E$2:$E$501,MATCH(B911,Productos!$A$2:$A$501,0)),0))</f>
        <v/>
      </c>
      <c r="H911" s="33">
        <f>IF(A911="","",MONTH(A911))</f>
        <v/>
      </c>
      <c r="I911" s="33">
        <f>IF(A911="","",YEAR(A911))</f>
        <v/>
      </c>
    </row>
    <row r="912" ht="15" customHeight="1" s="21">
      <c r="A912" s="34" t="n"/>
      <c r="B912" s="30" t="n"/>
      <c r="C912" s="30" t="n"/>
      <c r="D912" s="30" t="n"/>
      <c r="E912" s="33">
        <f>IF(B912="","",IFERROR(INDEX(Productos!$B$2:$B$501,MATCH(B912,Productos!$A$2:$A$501,0)),"¿Código?"))</f>
        <v/>
      </c>
      <c r="F912" s="32">
        <f>IF(C912&lt;&gt;"Venta","",D912*IFERROR(INDEX(Productos!$D$2:$D$501,MATCH(B912,Productos!$A$2:$A$501,0)),0))</f>
        <v/>
      </c>
      <c r="G912" s="32">
        <f>IF(C912&lt;&gt;"Venta","",D912*IFERROR(INDEX(Productos!$E$2:$E$501,MATCH(B912,Productos!$A$2:$A$501,0)),0))</f>
        <v/>
      </c>
      <c r="H912" s="33">
        <f>IF(A912="","",MONTH(A912))</f>
        <v/>
      </c>
      <c r="I912" s="33">
        <f>IF(A912="","",YEAR(A912))</f>
        <v/>
      </c>
    </row>
    <row r="913" ht="15" customHeight="1" s="21">
      <c r="A913" s="34" t="n"/>
      <c r="B913" s="30" t="n"/>
      <c r="C913" s="30" t="n"/>
      <c r="D913" s="30" t="n"/>
      <c r="E913" s="33">
        <f>IF(B913="","",IFERROR(INDEX(Productos!$B$2:$B$501,MATCH(B913,Productos!$A$2:$A$501,0)),"¿Código?"))</f>
        <v/>
      </c>
      <c r="F913" s="32">
        <f>IF(C913&lt;&gt;"Venta","",D913*IFERROR(INDEX(Productos!$D$2:$D$501,MATCH(B913,Productos!$A$2:$A$501,0)),0))</f>
        <v/>
      </c>
      <c r="G913" s="32">
        <f>IF(C913&lt;&gt;"Venta","",D913*IFERROR(INDEX(Productos!$E$2:$E$501,MATCH(B913,Productos!$A$2:$A$501,0)),0))</f>
        <v/>
      </c>
      <c r="H913" s="33">
        <f>IF(A913="","",MONTH(A913))</f>
        <v/>
      </c>
      <c r="I913" s="33">
        <f>IF(A913="","",YEAR(A913))</f>
        <v/>
      </c>
    </row>
    <row r="914" ht="15" customHeight="1" s="21">
      <c r="A914" s="34" t="n"/>
      <c r="B914" s="30" t="n"/>
      <c r="C914" s="30" t="n"/>
      <c r="D914" s="30" t="n"/>
      <c r="E914" s="33">
        <f>IF(B914="","",IFERROR(INDEX(Productos!$B$2:$B$501,MATCH(B914,Productos!$A$2:$A$501,0)),"¿Código?"))</f>
        <v/>
      </c>
      <c r="F914" s="32">
        <f>IF(C914&lt;&gt;"Venta","",D914*IFERROR(INDEX(Productos!$D$2:$D$501,MATCH(B914,Productos!$A$2:$A$501,0)),0))</f>
        <v/>
      </c>
      <c r="G914" s="32">
        <f>IF(C914&lt;&gt;"Venta","",D914*IFERROR(INDEX(Productos!$E$2:$E$501,MATCH(B914,Productos!$A$2:$A$501,0)),0))</f>
        <v/>
      </c>
      <c r="H914" s="33">
        <f>IF(A914="","",MONTH(A914))</f>
        <v/>
      </c>
      <c r="I914" s="33">
        <f>IF(A914="","",YEAR(A914))</f>
        <v/>
      </c>
    </row>
    <row r="915" ht="15" customHeight="1" s="21">
      <c r="A915" s="34" t="n"/>
      <c r="B915" s="30" t="n"/>
      <c r="C915" s="30" t="n"/>
      <c r="D915" s="30" t="n"/>
      <c r="E915" s="33">
        <f>IF(B915="","",IFERROR(INDEX(Productos!$B$2:$B$501,MATCH(B915,Productos!$A$2:$A$501,0)),"¿Código?"))</f>
        <v/>
      </c>
      <c r="F915" s="32">
        <f>IF(C915&lt;&gt;"Venta","",D915*IFERROR(INDEX(Productos!$D$2:$D$501,MATCH(B915,Productos!$A$2:$A$501,0)),0))</f>
        <v/>
      </c>
      <c r="G915" s="32">
        <f>IF(C915&lt;&gt;"Venta","",D915*IFERROR(INDEX(Productos!$E$2:$E$501,MATCH(B915,Productos!$A$2:$A$501,0)),0))</f>
        <v/>
      </c>
      <c r="H915" s="33">
        <f>IF(A915="","",MONTH(A915))</f>
        <v/>
      </c>
      <c r="I915" s="33">
        <f>IF(A915="","",YEAR(A915))</f>
        <v/>
      </c>
    </row>
    <row r="916" ht="15" customHeight="1" s="21">
      <c r="A916" s="34" t="n"/>
      <c r="B916" s="30" t="n"/>
      <c r="C916" s="30" t="n"/>
      <c r="D916" s="30" t="n"/>
      <c r="E916" s="33">
        <f>IF(B916="","",IFERROR(INDEX(Productos!$B$2:$B$501,MATCH(B916,Productos!$A$2:$A$501,0)),"¿Código?"))</f>
        <v/>
      </c>
      <c r="F916" s="32">
        <f>IF(C916&lt;&gt;"Venta","",D916*IFERROR(INDEX(Productos!$D$2:$D$501,MATCH(B916,Productos!$A$2:$A$501,0)),0))</f>
        <v/>
      </c>
      <c r="G916" s="32">
        <f>IF(C916&lt;&gt;"Venta","",D916*IFERROR(INDEX(Productos!$E$2:$E$501,MATCH(B916,Productos!$A$2:$A$501,0)),0))</f>
        <v/>
      </c>
      <c r="H916" s="33">
        <f>IF(A916="","",MONTH(A916))</f>
        <v/>
      </c>
      <c r="I916" s="33">
        <f>IF(A916="","",YEAR(A916))</f>
        <v/>
      </c>
    </row>
    <row r="917" ht="15" customHeight="1" s="21">
      <c r="A917" s="34" t="n"/>
      <c r="B917" s="30" t="n"/>
      <c r="C917" s="30" t="n"/>
      <c r="D917" s="30" t="n"/>
      <c r="E917" s="33">
        <f>IF(B917="","",IFERROR(INDEX(Productos!$B$2:$B$501,MATCH(B917,Productos!$A$2:$A$501,0)),"¿Código?"))</f>
        <v/>
      </c>
      <c r="F917" s="32">
        <f>IF(C917&lt;&gt;"Venta","",D917*IFERROR(INDEX(Productos!$D$2:$D$501,MATCH(B917,Productos!$A$2:$A$501,0)),0))</f>
        <v/>
      </c>
      <c r="G917" s="32">
        <f>IF(C917&lt;&gt;"Venta","",D917*IFERROR(INDEX(Productos!$E$2:$E$501,MATCH(B917,Productos!$A$2:$A$501,0)),0))</f>
        <v/>
      </c>
      <c r="H917" s="33">
        <f>IF(A917="","",MONTH(A917))</f>
        <v/>
      </c>
      <c r="I917" s="33">
        <f>IF(A917="","",YEAR(A917))</f>
        <v/>
      </c>
    </row>
    <row r="918" ht="15" customHeight="1" s="21">
      <c r="A918" s="34" t="n"/>
      <c r="B918" s="30" t="n"/>
      <c r="C918" s="30" t="n"/>
      <c r="D918" s="30" t="n"/>
      <c r="E918" s="33">
        <f>IF(B918="","",IFERROR(INDEX(Productos!$B$2:$B$501,MATCH(B918,Productos!$A$2:$A$501,0)),"¿Código?"))</f>
        <v/>
      </c>
      <c r="F918" s="32">
        <f>IF(C918&lt;&gt;"Venta","",D918*IFERROR(INDEX(Productos!$D$2:$D$501,MATCH(B918,Productos!$A$2:$A$501,0)),0))</f>
        <v/>
      </c>
      <c r="G918" s="32">
        <f>IF(C918&lt;&gt;"Venta","",D918*IFERROR(INDEX(Productos!$E$2:$E$501,MATCH(B918,Productos!$A$2:$A$501,0)),0))</f>
        <v/>
      </c>
      <c r="H918" s="33">
        <f>IF(A918="","",MONTH(A918))</f>
        <v/>
      </c>
      <c r="I918" s="33">
        <f>IF(A918="","",YEAR(A918))</f>
        <v/>
      </c>
    </row>
    <row r="919" ht="15" customHeight="1" s="21">
      <c r="A919" s="34" t="n"/>
      <c r="B919" s="30" t="n"/>
      <c r="C919" s="30" t="n"/>
      <c r="D919" s="30" t="n"/>
      <c r="E919" s="33">
        <f>IF(B919="","",IFERROR(INDEX(Productos!$B$2:$B$501,MATCH(B919,Productos!$A$2:$A$501,0)),"¿Código?"))</f>
        <v/>
      </c>
      <c r="F919" s="32">
        <f>IF(C919&lt;&gt;"Venta","",D919*IFERROR(INDEX(Productos!$D$2:$D$501,MATCH(B919,Productos!$A$2:$A$501,0)),0))</f>
        <v/>
      </c>
      <c r="G919" s="32">
        <f>IF(C919&lt;&gt;"Venta","",D919*IFERROR(INDEX(Productos!$E$2:$E$501,MATCH(B919,Productos!$A$2:$A$501,0)),0))</f>
        <v/>
      </c>
      <c r="H919" s="33">
        <f>IF(A919="","",MONTH(A919))</f>
        <v/>
      </c>
      <c r="I919" s="33">
        <f>IF(A919="","",YEAR(A919))</f>
        <v/>
      </c>
    </row>
    <row r="920" ht="15" customHeight="1" s="21">
      <c r="A920" s="34" t="n"/>
      <c r="B920" s="30" t="n"/>
      <c r="C920" s="30" t="n"/>
      <c r="D920" s="30" t="n"/>
      <c r="E920" s="33">
        <f>IF(B920="","",IFERROR(INDEX(Productos!$B$2:$B$501,MATCH(B920,Productos!$A$2:$A$501,0)),"¿Código?"))</f>
        <v/>
      </c>
      <c r="F920" s="32">
        <f>IF(C920&lt;&gt;"Venta","",D920*IFERROR(INDEX(Productos!$D$2:$D$501,MATCH(B920,Productos!$A$2:$A$501,0)),0))</f>
        <v/>
      </c>
      <c r="G920" s="32">
        <f>IF(C920&lt;&gt;"Venta","",D920*IFERROR(INDEX(Productos!$E$2:$E$501,MATCH(B920,Productos!$A$2:$A$501,0)),0))</f>
        <v/>
      </c>
      <c r="H920" s="33">
        <f>IF(A920="","",MONTH(A920))</f>
        <v/>
      </c>
      <c r="I920" s="33">
        <f>IF(A920="","",YEAR(A920))</f>
        <v/>
      </c>
    </row>
    <row r="921" ht="15" customHeight="1" s="21">
      <c r="A921" s="34" t="n"/>
      <c r="B921" s="30" t="n"/>
      <c r="C921" s="30" t="n"/>
      <c r="D921" s="30" t="n"/>
      <c r="E921" s="33">
        <f>IF(B921="","",IFERROR(INDEX(Productos!$B$2:$B$501,MATCH(B921,Productos!$A$2:$A$501,0)),"¿Código?"))</f>
        <v/>
      </c>
      <c r="F921" s="32">
        <f>IF(C921&lt;&gt;"Venta","",D921*IFERROR(INDEX(Productos!$D$2:$D$501,MATCH(B921,Productos!$A$2:$A$501,0)),0))</f>
        <v/>
      </c>
      <c r="G921" s="32">
        <f>IF(C921&lt;&gt;"Venta","",D921*IFERROR(INDEX(Productos!$E$2:$E$501,MATCH(B921,Productos!$A$2:$A$501,0)),0))</f>
        <v/>
      </c>
      <c r="H921" s="33">
        <f>IF(A921="","",MONTH(A921))</f>
        <v/>
      </c>
      <c r="I921" s="33">
        <f>IF(A921="","",YEAR(A921))</f>
        <v/>
      </c>
    </row>
    <row r="922" ht="15" customHeight="1" s="21">
      <c r="A922" s="34" t="n"/>
      <c r="B922" s="30" t="n"/>
      <c r="C922" s="30" t="n"/>
      <c r="D922" s="30" t="n"/>
      <c r="E922" s="33">
        <f>IF(B922="","",IFERROR(INDEX(Productos!$B$2:$B$501,MATCH(B922,Productos!$A$2:$A$501,0)),"¿Código?"))</f>
        <v/>
      </c>
      <c r="F922" s="32">
        <f>IF(C922&lt;&gt;"Venta","",D922*IFERROR(INDEX(Productos!$D$2:$D$501,MATCH(B922,Productos!$A$2:$A$501,0)),0))</f>
        <v/>
      </c>
      <c r="G922" s="32">
        <f>IF(C922&lt;&gt;"Venta","",D922*IFERROR(INDEX(Productos!$E$2:$E$501,MATCH(B922,Productos!$A$2:$A$501,0)),0))</f>
        <v/>
      </c>
      <c r="H922" s="33">
        <f>IF(A922="","",MONTH(A922))</f>
        <v/>
      </c>
      <c r="I922" s="33">
        <f>IF(A922="","",YEAR(A922))</f>
        <v/>
      </c>
    </row>
    <row r="923" ht="15" customHeight="1" s="21">
      <c r="A923" s="34" t="n"/>
      <c r="B923" s="30" t="n"/>
      <c r="C923" s="30" t="n"/>
      <c r="D923" s="30" t="n"/>
      <c r="E923" s="33">
        <f>IF(B923="","",IFERROR(INDEX(Productos!$B$2:$B$501,MATCH(B923,Productos!$A$2:$A$501,0)),"¿Código?"))</f>
        <v/>
      </c>
      <c r="F923" s="32">
        <f>IF(C923&lt;&gt;"Venta","",D923*IFERROR(INDEX(Productos!$D$2:$D$501,MATCH(B923,Productos!$A$2:$A$501,0)),0))</f>
        <v/>
      </c>
      <c r="G923" s="32">
        <f>IF(C923&lt;&gt;"Venta","",D923*IFERROR(INDEX(Productos!$E$2:$E$501,MATCH(B923,Productos!$A$2:$A$501,0)),0))</f>
        <v/>
      </c>
      <c r="H923" s="33">
        <f>IF(A923="","",MONTH(A923))</f>
        <v/>
      </c>
      <c r="I923" s="33">
        <f>IF(A923="","",YEAR(A923))</f>
        <v/>
      </c>
    </row>
    <row r="924" ht="15" customHeight="1" s="21">
      <c r="A924" s="34" t="n"/>
      <c r="B924" s="30" t="n"/>
      <c r="C924" s="30" t="n"/>
      <c r="D924" s="30" t="n"/>
      <c r="E924" s="33">
        <f>IF(B924="","",IFERROR(INDEX(Productos!$B$2:$B$501,MATCH(B924,Productos!$A$2:$A$501,0)),"¿Código?"))</f>
        <v/>
      </c>
      <c r="F924" s="32">
        <f>IF(C924&lt;&gt;"Venta","",D924*IFERROR(INDEX(Productos!$D$2:$D$501,MATCH(B924,Productos!$A$2:$A$501,0)),0))</f>
        <v/>
      </c>
      <c r="G924" s="32">
        <f>IF(C924&lt;&gt;"Venta","",D924*IFERROR(INDEX(Productos!$E$2:$E$501,MATCH(B924,Productos!$A$2:$A$501,0)),0))</f>
        <v/>
      </c>
      <c r="H924" s="33">
        <f>IF(A924="","",MONTH(A924))</f>
        <v/>
      </c>
      <c r="I924" s="33">
        <f>IF(A924="","",YEAR(A924))</f>
        <v/>
      </c>
    </row>
    <row r="925" ht="15" customHeight="1" s="21">
      <c r="A925" s="34" t="n"/>
      <c r="B925" s="30" t="n"/>
      <c r="C925" s="30" t="n"/>
      <c r="D925" s="30" t="n"/>
      <c r="E925" s="33">
        <f>IF(B925="","",IFERROR(INDEX(Productos!$B$2:$B$501,MATCH(B925,Productos!$A$2:$A$501,0)),"¿Código?"))</f>
        <v/>
      </c>
      <c r="F925" s="32">
        <f>IF(C925&lt;&gt;"Venta","",D925*IFERROR(INDEX(Productos!$D$2:$D$501,MATCH(B925,Productos!$A$2:$A$501,0)),0))</f>
        <v/>
      </c>
      <c r="G925" s="32">
        <f>IF(C925&lt;&gt;"Venta","",D925*IFERROR(INDEX(Productos!$E$2:$E$501,MATCH(B925,Productos!$A$2:$A$501,0)),0))</f>
        <v/>
      </c>
      <c r="H925" s="33">
        <f>IF(A925="","",MONTH(A925))</f>
        <v/>
      </c>
      <c r="I925" s="33">
        <f>IF(A925="","",YEAR(A925))</f>
        <v/>
      </c>
    </row>
    <row r="926" ht="15" customHeight="1" s="21">
      <c r="A926" s="34" t="n"/>
      <c r="B926" s="30" t="n"/>
      <c r="C926" s="30" t="n"/>
      <c r="D926" s="30" t="n"/>
      <c r="E926" s="33">
        <f>IF(B926="","",IFERROR(INDEX(Productos!$B$2:$B$501,MATCH(B926,Productos!$A$2:$A$501,0)),"¿Código?"))</f>
        <v/>
      </c>
      <c r="F926" s="32">
        <f>IF(C926&lt;&gt;"Venta","",D926*IFERROR(INDEX(Productos!$D$2:$D$501,MATCH(B926,Productos!$A$2:$A$501,0)),0))</f>
        <v/>
      </c>
      <c r="G926" s="32">
        <f>IF(C926&lt;&gt;"Venta","",D926*IFERROR(INDEX(Productos!$E$2:$E$501,MATCH(B926,Productos!$A$2:$A$501,0)),0))</f>
        <v/>
      </c>
      <c r="H926" s="33">
        <f>IF(A926="","",MONTH(A926))</f>
        <v/>
      </c>
      <c r="I926" s="33">
        <f>IF(A926="","",YEAR(A926))</f>
        <v/>
      </c>
    </row>
    <row r="927" ht="15" customHeight="1" s="21">
      <c r="A927" s="34" t="n"/>
      <c r="B927" s="30" t="n"/>
      <c r="C927" s="30" t="n"/>
      <c r="D927" s="30" t="n"/>
      <c r="E927" s="33">
        <f>IF(B927="","",IFERROR(INDEX(Productos!$B$2:$B$501,MATCH(B927,Productos!$A$2:$A$501,0)),"¿Código?"))</f>
        <v/>
      </c>
      <c r="F927" s="32">
        <f>IF(C927&lt;&gt;"Venta","",D927*IFERROR(INDEX(Productos!$D$2:$D$501,MATCH(B927,Productos!$A$2:$A$501,0)),0))</f>
        <v/>
      </c>
      <c r="G927" s="32">
        <f>IF(C927&lt;&gt;"Venta","",D927*IFERROR(INDEX(Productos!$E$2:$E$501,MATCH(B927,Productos!$A$2:$A$501,0)),0))</f>
        <v/>
      </c>
      <c r="H927" s="33">
        <f>IF(A927="","",MONTH(A927))</f>
        <v/>
      </c>
      <c r="I927" s="33">
        <f>IF(A927="","",YEAR(A927))</f>
        <v/>
      </c>
    </row>
    <row r="928" ht="15" customHeight="1" s="21">
      <c r="A928" s="34" t="n"/>
      <c r="B928" s="30" t="n"/>
      <c r="C928" s="30" t="n"/>
      <c r="D928" s="30" t="n"/>
      <c r="E928" s="33">
        <f>IF(B928="","",IFERROR(INDEX(Productos!$B$2:$B$501,MATCH(B928,Productos!$A$2:$A$501,0)),"¿Código?"))</f>
        <v/>
      </c>
      <c r="F928" s="32">
        <f>IF(C928&lt;&gt;"Venta","",D928*IFERROR(INDEX(Productos!$D$2:$D$501,MATCH(B928,Productos!$A$2:$A$501,0)),0))</f>
        <v/>
      </c>
      <c r="G928" s="32">
        <f>IF(C928&lt;&gt;"Venta","",D928*IFERROR(INDEX(Productos!$E$2:$E$501,MATCH(B928,Productos!$A$2:$A$501,0)),0))</f>
        <v/>
      </c>
      <c r="H928" s="33">
        <f>IF(A928="","",MONTH(A928))</f>
        <v/>
      </c>
      <c r="I928" s="33">
        <f>IF(A928="","",YEAR(A928))</f>
        <v/>
      </c>
    </row>
    <row r="929" ht="15" customHeight="1" s="21">
      <c r="A929" s="34" t="n"/>
      <c r="B929" s="30" t="n"/>
      <c r="C929" s="30" t="n"/>
      <c r="D929" s="30" t="n"/>
      <c r="E929" s="33">
        <f>IF(B929="","",IFERROR(INDEX(Productos!$B$2:$B$501,MATCH(B929,Productos!$A$2:$A$501,0)),"¿Código?"))</f>
        <v/>
      </c>
      <c r="F929" s="32">
        <f>IF(C929&lt;&gt;"Venta","",D929*IFERROR(INDEX(Productos!$D$2:$D$501,MATCH(B929,Productos!$A$2:$A$501,0)),0))</f>
        <v/>
      </c>
      <c r="G929" s="32">
        <f>IF(C929&lt;&gt;"Venta","",D929*IFERROR(INDEX(Productos!$E$2:$E$501,MATCH(B929,Productos!$A$2:$A$501,0)),0))</f>
        <v/>
      </c>
      <c r="H929" s="33">
        <f>IF(A929="","",MONTH(A929))</f>
        <v/>
      </c>
      <c r="I929" s="33">
        <f>IF(A929="","",YEAR(A929))</f>
        <v/>
      </c>
    </row>
    <row r="930" ht="15" customHeight="1" s="21">
      <c r="A930" s="34" t="n"/>
      <c r="B930" s="30" t="n"/>
      <c r="C930" s="30" t="n"/>
      <c r="D930" s="30" t="n"/>
      <c r="E930" s="33">
        <f>IF(B930="","",IFERROR(INDEX(Productos!$B$2:$B$501,MATCH(B930,Productos!$A$2:$A$501,0)),"¿Código?"))</f>
        <v/>
      </c>
      <c r="F930" s="32">
        <f>IF(C930&lt;&gt;"Venta","",D930*IFERROR(INDEX(Productos!$D$2:$D$501,MATCH(B930,Productos!$A$2:$A$501,0)),0))</f>
        <v/>
      </c>
      <c r="G930" s="32">
        <f>IF(C930&lt;&gt;"Venta","",D930*IFERROR(INDEX(Productos!$E$2:$E$501,MATCH(B930,Productos!$A$2:$A$501,0)),0))</f>
        <v/>
      </c>
      <c r="H930" s="33">
        <f>IF(A930="","",MONTH(A930))</f>
        <v/>
      </c>
      <c r="I930" s="33">
        <f>IF(A930="","",YEAR(A930))</f>
        <v/>
      </c>
    </row>
    <row r="931" ht="15" customHeight="1" s="21">
      <c r="A931" s="34" t="n"/>
      <c r="B931" s="30" t="n"/>
      <c r="C931" s="30" t="n"/>
      <c r="D931" s="30" t="n"/>
      <c r="E931" s="33">
        <f>IF(B931="","",IFERROR(INDEX(Productos!$B$2:$B$501,MATCH(B931,Productos!$A$2:$A$501,0)),"¿Código?"))</f>
        <v/>
      </c>
      <c r="F931" s="32">
        <f>IF(C931&lt;&gt;"Venta","",D931*IFERROR(INDEX(Productos!$D$2:$D$501,MATCH(B931,Productos!$A$2:$A$501,0)),0))</f>
        <v/>
      </c>
      <c r="G931" s="32">
        <f>IF(C931&lt;&gt;"Venta","",D931*IFERROR(INDEX(Productos!$E$2:$E$501,MATCH(B931,Productos!$A$2:$A$501,0)),0))</f>
        <v/>
      </c>
      <c r="H931" s="33">
        <f>IF(A931="","",MONTH(A931))</f>
        <v/>
      </c>
      <c r="I931" s="33">
        <f>IF(A931="","",YEAR(A931))</f>
        <v/>
      </c>
    </row>
    <row r="932" ht="15" customHeight="1" s="21">
      <c r="A932" s="34" t="n"/>
      <c r="B932" s="30" t="n"/>
      <c r="C932" s="30" t="n"/>
      <c r="D932" s="30" t="n"/>
      <c r="E932" s="33">
        <f>IF(B932="","",IFERROR(INDEX(Productos!$B$2:$B$501,MATCH(B932,Productos!$A$2:$A$501,0)),"¿Código?"))</f>
        <v/>
      </c>
      <c r="F932" s="32">
        <f>IF(C932&lt;&gt;"Venta","",D932*IFERROR(INDEX(Productos!$D$2:$D$501,MATCH(B932,Productos!$A$2:$A$501,0)),0))</f>
        <v/>
      </c>
      <c r="G932" s="32">
        <f>IF(C932&lt;&gt;"Venta","",D932*IFERROR(INDEX(Productos!$E$2:$E$501,MATCH(B932,Productos!$A$2:$A$501,0)),0))</f>
        <v/>
      </c>
      <c r="H932" s="33">
        <f>IF(A932="","",MONTH(A932))</f>
        <v/>
      </c>
      <c r="I932" s="33">
        <f>IF(A932="","",YEAR(A932))</f>
        <v/>
      </c>
    </row>
    <row r="933" ht="15" customHeight="1" s="21">
      <c r="A933" s="34" t="n"/>
      <c r="B933" s="30" t="n"/>
      <c r="C933" s="30" t="n"/>
      <c r="D933" s="30" t="n"/>
      <c r="E933" s="33">
        <f>IF(B933="","",IFERROR(INDEX(Productos!$B$2:$B$501,MATCH(B933,Productos!$A$2:$A$501,0)),"¿Código?"))</f>
        <v/>
      </c>
      <c r="F933" s="32">
        <f>IF(C933&lt;&gt;"Venta","",D933*IFERROR(INDEX(Productos!$D$2:$D$501,MATCH(B933,Productos!$A$2:$A$501,0)),0))</f>
        <v/>
      </c>
      <c r="G933" s="32">
        <f>IF(C933&lt;&gt;"Venta","",D933*IFERROR(INDEX(Productos!$E$2:$E$501,MATCH(B933,Productos!$A$2:$A$501,0)),0))</f>
        <v/>
      </c>
      <c r="H933" s="33">
        <f>IF(A933="","",MONTH(A933))</f>
        <v/>
      </c>
      <c r="I933" s="33">
        <f>IF(A933="","",YEAR(A933))</f>
        <v/>
      </c>
    </row>
    <row r="934" ht="15" customHeight="1" s="21">
      <c r="A934" s="34" t="n"/>
      <c r="B934" s="30" t="n"/>
      <c r="C934" s="30" t="n"/>
      <c r="D934" s="30" t="n"/>
      <c r="E934" s="33">
        <f>IF(B934="","",IFERROR(INDEX(Productos!$B$2:$B$501,MATCH(B934,Productos!$A$2:$A$501,0)),"¿Código?"))</f>
        <v/>
      </c>
      <c r="F934" s="32">
        <f>IF(C934&lt;&gt;"Venta","",D934*IFERROR(INDEX(Productos!$D$2:$D$501,MATCH(B934,Productos!$A$2:$A$501,0)),0))</f>
        <v/>
      </c>
      <c r="G934" s="32">
        <f>IF(C934&lt;&gt;"Venta","",D934*IFERROR(INDEX(Productos!$E$2:$E$501,MATCH(B934,Productos!$A$2:$A$501,0)),0))</f>
        <v/>
      </c>
      <c r="H934" s="33">
        <f>IF(A934="","",MONTH(A934))</f>
        <v/>
      </c>
      <c r="I934" s="33">
        <f>IF(A934="","",YEAR(A934))</f>
        <v/>
      </c>
    </row>
    <row r="935" ht="15" customHeight="1" s="21">
      <c r="A935" s="34" t="n"/>
      <c r="B935" s="30" t="n"/>
      <c r="C935" s="30" t="n"/>
      <c r="D935" s="30" t="n"/>
      <c r="E935" s="33">
        <f>IF(B935="","",IFERROR(INDEX(Productos!$B$2:$B$501,MATCH(B935,Productos!$A$2:$A$501,0)),"¿Código?"))</f>
        <v/>
      </c>
      <c r="F935" s="32">
        <f>IF(C935&lt;&gt;"Venta","",D935*IFERROR(INDEX(Productos!$D$2:$D$501,MATCH(B935,Productos!$A$2:$A$501,0)),0))</f>
        <v/>
      </c>
      <c r="G935" s="32">
        <f>IF(C935&lt;&gt;"Venta","",D935*IFERROR(INDEX(Productos!$E$2:$E$501,MATCH(B935,Productos!$A$2:$A$501,0)),0))</f>
        <v/>
      </c>
      <c r="H935" s="33">
        <f>IF(A935="","",MONTH(A935))</f>
        <v/>
      </c>
      <c r="I935" s="33">
        <f>IF(A935="","",YEAR(A935))</f>
        <v/>
      </c>
    </row>
    <row r="936" ht="15" customHeight="1" s="21">
      <c r="A936" s="34" t="n"/>
      <c r="B936" s="30" t="n"/>
      <c r="C936" s="30" t="n"/>
      <c r="D936" s="30" t="n"/>
      <c r="E936" s="33">
        <f>IF(B936="","",IFERROR(INDEX(Productos!$B$2:$B$501,MATCH(B936,Productos!$A$2:$A$501,0)),"¿Código?"))</f>
        <v/>
      </c>
      <c r="F936" s="32">
        <f>IF(C936&lt;&gt;"Venta","",D936*IFERROR(INDEX(Productos!$D$2:$D$501,MATCH(B936,Productos!$A$2:$A$501,0)),0))</f>
        <v/>
      </c>
      <c r="G936" s="32">
        <f>IF(C936&lt;&gt;"Venta","",D936*IFERROR(INDEX(Productos!$E$2:$E$501,MATCH(B936,Productos!$A$2:$A$501,0)),0))</f>
        <v/>
      </c>
      <c r="H936" s="33">
        <f>IF(A936="","",MONTH(A936))</f>
        <v/>
      </c>
      <c r="I936" s="33">
        <f>IF(A936="","",YEAR(A936))</f>
        <v/>
      </c>
    </row>
    <row r="937" ht="15" customHeight="1" s="21">
      <c r="A937" s="34" t="n"/>
      <c r="B937" s="30" t="n"/>
      <c r="C937" s="30" t="n"/>
      <c r="D937" s="30" t="n"/>
      <c r="E937" s="33">
        <f>IF(B937="","",IFERROR(INDEX(Productos!$B$2:$B$501,MATCH(B937,Productos!$A$2:$A$501,0)),"¿Código?"))</f>
        <v/>
      </c>
      <c r="F937" s="32">
        <f>IF(C937&lt;&gt;"Venta","",D937*IFERROR(INDEX(Productos!$D$2:$D$501,MATCH(B937,Productos!$A$2:$A$501,0)),0))</f>
        <v/>
      </c>
      <c r="G937" s="32">
        <f>IF(C937&lt;&gt;"Venta","",D937*IFERROR(INDEX(Productos!$E$2:$E$501,MATCH(B937,Productos!$A$2:$A$501,0)),0))</f>
        <v/>
      </c>
      <c r="H937" s="33">
        <f>IF(A937="","",MONTH(A937))</f>
        <v/>
      </c>
      <c r="I937" s="33">
        <f>IF(A937="","",YEAR(A937))</f>
        <v/>
      </c>
    </row>
    <row r="938" ht="15" customHeight="1" s="21">
      <c r="A938" s="34" t="n"/>
      <c r="B938" s="30" t="n"/>
      <c r="C938" s="30" t="n"/>
      <c r="D938" s="30" t="n"/>
      <c r="E938" s="33">
        <f>IF(B938="","",IFERROR(INDEX(Productos!$B$2:$B$501,MATCH(B938,Productos!$A$2:$A$501,0)),"¿Código?"))</f>
        <v/>
      </c>
      <c r="F938" s="32">
        <f>IF(C938&lt;&gt;"Venta","",D938*IFERROR(INDEX(Productos!$D$2:$D$501,MATCH(B938,Productos!$A$2:$A$501,0)),0))</f>
        <v/>
      </c>
      <c r="G938" s="32">
        <f>IF(C938&lt;&gt;"Venta","",D938*IFERROR(INDEX(Productos!$E$2:$E$501,MATCH(B938,Productos!$A$2:$A$501,0)),0))</f>
        <v/>
      </c>
      <c r="H938" s="33">
        <f>IF(A938="","",MONTH(A938))</f>
        <v/>
      </c>
      <c r="I938" s="33">
        <f>IF(A938="","",YEAR(A938))</f>
        <v/>
      </c>
    </row>
    <row r="939" ht="15" customHeight="1" s="21">
      <c r="A939" s="34" t="n"/>
      <c r="B939" s="30" t="n"/>
      <c r="C939" s="30" t="n"/>
      <c r="D939" s="30" t="n"/>
      <c r="E939" s="33">
        <f>IF(B939="","",IFERROR(INDEX(Productos!$B$2:$B$501,MATCH(B939,Productos!$A$2:$A$501,0)),"¿Código?"))</f>
        <v/>
      </c>
      <c r="F939" s="32">
        <f>IF(C939&lt;&gt;"Venta","",D939*IFERROR(INDEX(Productos!$D$2:$D$501,MATCH(B939,Productos!$A$2:$A$501,0)),0))</f>
        <v/>
      </c>
      <c r="G939" s="32">
        <f>IF(C939&lt;&gt;"Venta","",D939*IFERROR(INDEX(Productos!$E$2:$E$501,MATCH(B939,Productos!$A$2:$A$501,0)),0))</f>
        <v/>
      </c>
      <c r="H939" s="33">
        <f>IF(A939="","",MONTH(A939))</f>
        <v/>
      </c>
      <c r="I939" s="33">
        <f>IF(A939="","",YEAR(A939))</f>
        <v/>
      </c>
    </row>
    <row r="940" ht="15" customHeight="1" s="21">
      <c r="A940" s="34" t="n"/>
      <c r="B940" s="30" t="n"/>
      <c r="C940" s="30" t="n"/>
      <c r="D940" s="30" t="n"/>
      <c r="E940" s="33">
        <f>IF(B940="","",IFERROR(INDEX(Productos!$B$2:$B$501,MATCH(B940,Productos!$A$2:$A$501,0)),"¿Código?"))</f>
        <v/>
      </c>
      <c r="F940" s="32">
        <f>IF(C940&lt;&gt;"Venta","",D940*IFERROR(INDEX(Productos!$D$2:$D$501,MATCH(B940,Productos!$A$2:$A$501,0)),0))</f>
        <v/>
      </c>
      <c r="G940" s="32">
        <f>IF(C940&lt;&gt;"Venta","",D940*IFERROR(INDEX(Productos!$E$2:$E$501,MATCH(B940,Productos!$A$2:$A$501,0)),0))</f>
        <v/>
      </c>
      <c r="H940" s="33">
        <f>IF(A940="","",MONTH(A940))</f>
        <v/>
      </c>
      <c r="I940" s="33">
        <f>IF(A940="","",YEAR(A940))</f>
        <v/>
      </c>
    </row>
    <row r="941" ht="15" customHeight="1" s="21">
      <c r="A941" s="34" t="n"/>
      <c r="B941" s="30" t="n"/>
      <c r="C941" s="30" t="n"/>
      <c r="D941" s="30" t="n"/>
      <c r="E941" s="33">
        <f>IF(B941="","",IFERROR(INDEX(Productos!$B$2:$B$501,MATCH(B941,Productos!$A$2:$A$501,0)),"¿Código?"))</f>
        <v/>
      </c>
      <c r="F941" s="32">
        <f>IF(C941&lt;&gt;"Venta","",D941*IFERROR(INDEX(Productos!$D$2:$D$501,MATCH(B941,Productos!$A$2:$A$501,0)),0))</f>
        <v/>
      </c>
      <c r="G941" s="32">
        <f>IF(C941&lt;&gt;"Venta","",D941*IFERROR(INDEX(Productos!$E$2:$E$501,MATCH(B941,Productos!$A$2:$A$501,0)),0))</f>
        <v/>
      </c>
      <c r="H941" s="33">
        <f>IF(A941="","",MONTH(A941))</f>
        <v/>
      </c>
      <c r="I941" s="33">
        <f>IF(A941="","",YEAR(A941))</f>
        <v/>
      </c>
    </row>
    <row r="942" ht="15" customHeight="1" s="21">
      <c r="A942" s="34" t="n"/>
      <c r="B942" s="30" t="n"/>
      <c r="C942" s="30" t="n"/>
      <c r="D942" s="30" t="n"/>
      <c r="E942" s="33">
        <f>IF(B942="","",IFERROR(INDEX(Productos!$B$2:$B$501,MATCH(B942,Productos!$A$2:$A$501,0)),"¿Código?"))</f>
        <v/>
      </c>
      <c r="F942" s="32">
        <f>IF(C942&lt;&gt;"Venta","",D942*IFERROR(INDEX(Productos!$D$2:$D$501,MATCH(B942,Productos!$A$2:$A$501,0)),0))</f>
        <v/>
      </c>
      <c r="G942" s="32">
        <f>IF(C942&lt;&gt;"Venta","",D942*IFERROR(INDEX(Productos!$E$2:$E$501,MATCH(B942,Productos!$A$2:$A$501,0)),0))</f>
        <v/>
      </c>
      <c r="H942" s="33">
        <f>IF(A942="","",MONTH(A942))</f>
        <v/>
      </c>
      <c r="I942" s="33">
        <f>IF(A942="","",YEAR(A942))</f>
        <v/>
      </c>
    </row>
    <row r="943" ht="15" customHeight="1" s="21">
      <c r="A943" s="34" t="n"/>
      <c r="B943" s="30" t="n"/>
      <c r="C943" s="30" t="n"/>
      <c r="D943" s="30" t="n"/>
      <c r="E943" s="33">
        <f>IF(B943="","",IFERROR(INDEX(Productos!$B$2:$B$501,MATCH(B943,Productos!$A$2:$A$501,0)),"¿Código?"))</f>
        <v/>
      </c>
      <c r="F943" s="32">
        <f>IF(C943&lt;&gt;"Venta","",D943*IFERROR(INDEX(Productos!$D$2:$D$501,MATCH(B943,Productos!$A$2:$A$501,0)),0))</f>
        <v/>
      </c>
      <c r="G943" s="32">
        <f>IF(C943&lt;&gt;"Venta","",D943*IFERROR(INDEX(Productos!$E$2:$E$501,MATCH(B943,Productos!$A$2:$A$501,0)),0))</f>
        <v/>
      </c>
      <c r="H943" s="33">
        <f>IF(A943="","",MONTH(A943))</f>
        <v/>
      </c>
      <c r="I943" s="33">
        <f>IF(A943="","",YEAR(A943))</f>
        <v/>
      </c>
    </row>
    <row r="944" ht="15" customHeight="1" s="21">
      <c r="A944" s="34" t="n"/>
      <c r="B944" s="30" t="n"/>
      <c r="C944" s="30" t="n"/>
      <c r="D944" s="30" t="n"/>
      <c r="E944" s="33">
        <f>IF(B944="","",IFERROR(INDEX(Productos!$B$2:$B$501,MATCH(B944,Productos!$A$2:$A$501,0)),"¿Código?"))</f>
        <v/>
      </c>
      <c r="F944" s="32">
        <f>IF(C944&lt;&gt;"Venta","",D944*IFERROR(INDEX(Productos!$D$2:$D$501,MATCH(B944,Productos!$A$2:$A$501,0)),0))</f>
        <v/>
      </c>
      <c r="G944" s="32">
        <f>IF(C944&lt;&gt;"Venta","",D944*IFERROR(INDEX(Productos!$E$2:$E$501,MATCH(B944,Productos!$A$2:$A$501,0)),0))</f>
        <v/>
      </c>
      <c r="H944" s="33">
        <f>IF(A944="","",MONTH(A944))</f>
        <v/>
      </c>
      <c r="I944" s="33">
        <f>IF(A944="","",YEAR(A944))</f>
        <v/>
      </c>
    </row>
    <row r="945" ht="15" customHeight="1" s="21">
      <c r="A945" s="34" t="n"/>
      <c r="B945" s="30" t="n"/>
      <c r="C945" s="30" t="n"/>
      <c r="D945" s="30" t="n"/>
      <c r="E945" s="33">
        <f>IF(B945="","",IFERROR(INDEX(Productos!$B$2:$B$501,MATCH(B945,Productos!$A$2:$A$501,0)),"¿Código?"))</f>
        <v/>
      </c>
      <c r="F945" s="32">
        <f>IF(C945&lt;&gt;"Venta","",D945*IFERROR(INDEX(Productos!$D$2:$D$501,MATCH(B945,Productos!$A$2:$A$501,0)),0))</f>
        <v/>
      </c>
      <c r="G945" s="32">
        <f>IF(C945&lt;&gt;"Venta","",D945*IFERROR(INDEX(Productos!$E$2:$E$501,MATCH(B945,Productos!$A$2:$A$501,0)),0))</f>
        <v/>
      </c>
      <c r="H945" s="33">
        <f>IF(A945="","",MONTH(A945))</f>
        <v/>
      </c>
      <c r="I945" s="33">
        <f>IF(A945="","",YEAR(A945))</f>
        <v/>
      </c>
    </row>
    <row r="946" ht="15" customHeight="1" s="21">
      <c r="A946" s="34" t="n"/>
      <c r="B946" s="30" t="n"/>
      <c r="C946" s="30" t="n"/>
      <c r="D946" s="30" t="n"/>
      <c r="E946" s="33">
        <f>IF(B946="","",IFERROR(INDEX(Productos!$B$2:$B$501,MATCH(B946,Productos!$A$2:$A$501,0)),"¿Código?"))</f>
        <v/>
      </c>
      <c r="F946" s="32">
        <f>IF(C946&lt;&gt;"Venta","",D946*IFERROR(INDEX(Productos!$D$2:$D$501,MATCH(B946,Productos!$A$2:$A$501,0)),0))</f>
        <v/>
      </c>
      <c r="G946" s="32">
        <f>IF(C946&lt;&gt;"Venta","",D946*IFERROR(INDEX(Productos!$E$2:$E$501,MATCH(B946,Productos!$A$2:$A$501,0)),0))</f>
        <v/>
      </c>
      <c r="H946" s="33">
        <f>IF(A946="","",MONTH(A946))</f>
        <v/>
      </c>
      <c r="I946" s="33">
        <f>IF(A946="","",YEAR(A946))</f>
        <v/>
      </c>
    </row>
    <row r="947" ht="15" customHeight="1" s="21">
      <c r="A947" s="34" t="n"/>
      <c r="B947" s="30" t="n"/>
      <c r="C947" s="30" t="n"/>
      <c r="D947" s="30" t="n"/>
      <c r="E947" s="33">
        <f>IF(B947="","",IFERROR(INDEX(Productos!$B$2:$B$501,MATCH(B947,Productos!$A$2:$A$501,0)),"¿Código?"))</f>
        <v/>
      </c>
      <c r="F947" s="32">
        <f>IF(C947&lt;&gt;"Venta","",D947*IFERROR(INDEX(Productos!$D$2:$D$501,MATCH(B947,Productos!$A$2:$A$501,0)),0))</f>
        <v/>
      </c>
      <c r="G947" s="32">
        <f>IF(C947&lt;&gt;"Venta","",D947*IFERROR(INDEX(Productos!$E$2:$E$501,MATCH(B947,Productos!$A$2:$A$501,0)),0))</f>
        <v/>
      </c>
      <c r="H947" s="33">
        <f>IF(A947="","",MONTH(A947))</f>
        <v/>
      </c>
      <c r="I947" s="33">
        <f>IF(A947="","",YEAR(A947))</f>
        <v/>
      </c>
    </row>
    <row r="948" ht="15" customHeight="1" s="21">
      <c r="A948" s="34" t="n"/>
      <c r="B948" s="30" t="n"/>
      <c r="C948" s="30" t="n"/>
      <c r="D948" s="30" t="n"/>
      <c r="E948" s="33">
        <f>IF(B948="","",IFERROR(INDEX(Productos!$B$2:$B$501,MATCH(B948,Productos!$A$2:$A$501,0)),"¿Código?"))</f>
        <v/>
      </c>
      <c r="F948" s="32">
        <f>IF(C948&lt;&gt;"Venta","",D948*IFERROR(INDEX(Productos!$D$2:$D$501,MATCH(B948,Productos!$A$2:$A$501,0)),0))</f>
        <v/>
      </c>
      <c r="G948" s="32">
        <f>IF(C948&lt;&gt;"Venta","",D948*IFERROR(INDEX(Productos!$E$2:$E$501,MATCH(B948,Productos!$A$2:$A$501,0)),0))</f>
        <v/>
      </c>
      <c r="H948" s="33">
        <f>IF(A948="","",MONTH(A948))</f>
        <v/>
      </c>
      <c r="I948" s="33">
        <f>IF(A948="","",YEAR(A948))</f>
        <v/>
      </c>
    </row>
    <row r="949" ht="15" customHeight="1" s="21">
      <c r="A949" s="34" t="n"/>
      <c r="B949" s="30" t="n"/>
      <c r="C949" s="30" t="n"/>
      <c r="D949" s="30" t="n"/>
      <c r="E949" s="33">
        <f>IF(B949="","",IFERROR(INDEX(Productos!$B$2:$B$501,MATCH(B949,Productos!$A$2:$A$501,0)),"¿Código?"))</f>
        <v/>
      </c>
      <c r="F949" s="32">
        <f>IF(C949&lt;&gt;"Venta","",D949*IFERROR(INDEX(Productos!$D$2:$D$501,MATCH(B949,Productos!$A$2:$A$501,0)),0))</f>
        <v/>
      </c>
      <c r="G949" s="32">
        <f>IF(C949&lt;&gt;"Venta","",D949*IFERROR(INDEX(Productos!$E$2:$E$501,MATCH(B949,Productos!$A$2:$A$501,0)),0))</f>
        <v/>
      </c>
      <c r="H949" s="33">
        <f>IF(A949="","",MONTH(A949))</f>
        <v/>
      </c>
      <c r="I949" s="33">
        <f>IF(A949="","",YEAR(A949))</f>
        <v/>
      </c>
    </row>
    <row r="950" ht="15" customHeight="1" s="21">
      <c r="A950" s="34" t="n"/>
      <c r="B950" s="30" t="n"/>
      <c r="C950" s="30" t="n"/>
      <c r="D950" s="30" t="n"/>
      <c r="E950" s="33">
        <f>IF(B950="","",IFERROR(INDEX(Productos!$B$2:$B$501,MATCH(B950,Productos!$A$2:$A$501,0)),"¿Código?"))</f>
        <v/>
      </c>
      <c r="F950" s="32">
        <f>IF(C950&lt;&gt;"Venta","",D950*IFERROR(INDEX(Productos!$D$2:$D$501,MATCH(B950,Productos!$A$2:$A$501,0)),0))</f>
        <v/>
      </c>
      <c r="G950" s="32">
        <f>IF(C950&lt;&gt;"Venta","",D950*IFERROR(INDEX(Productos!$E$2:$E$501,MATCH(B950,Productos!$A$2:$A$501,0)),0))</f>
        <v/>
      </c>
      <c r="H950" s="33">
        <f>IF(A950="","",MONTH(A950))</f>
        <v/>
      </c>
      <c r="I950" s="33">
        <f>IF(A950="","",YEAR(A950))</f>
        <v/>
      </c>
    </row>
    <row r="951" ht="15" customHeight="1" s="21">
      <c r="A951" s="34" t="n"/>
      <c r="B951" s="30" t="n"/>
      <c r="C951" s="30" t="n"/>
      <c r="D951" s="30" t="n"/>
      <c r="E951" s="33">
        <f>IF(B951="","",IFERROR(INDEX(Productos!$B$2:$B$501,MATCH(B951,Productos!$A$2:$A$501,0)),"¿Código?"))</f>
        <v/>
      </c>
      <c r="F951" s="32">
        <f>IF(C951&lt;&gt;"Venta","",D951*IFERROR(INDEX(Productos!$D$2:$D$501,MATCH(B951,Productos!$A$2:$A$501,0)),0))</f>
        <v/>
      </c>
      <c r="G951" s="32">
        <f>IF(C951&lt;&gt;"Venta","",D951*IFERROR(INDEX(Productos!$E$2:$E$501,MATCH(B951,Productos!$A$2:$A$501,0)),0))</f>
        <v/>
      </c>
      <c r="H951" s="33">
        <f>IF(A951="","",MONTH(A951))</f>
        <v/>
      </c>
      <c r="I951" s="33">
        <f>IF(A951="","",YEAR(A951))</f>
        <v/>
      </c>
    </row>
    <row r="952" ht="15" customHeight="1" s="21">
      <c r="A952" s="34" t="n"/>
      <c r="B952" s="30" t="n"/>
      <c r="C952" s="30" t="n"/>
      <c r="D952" s="30" t="n"/>
      <c r="E952" s="33">
        <f>IF(B952="","",IFERROR(INDEX(Productos!$B$2:$B$501,MATCH(B952,Productos!$A$2:$A$501,0)),"¿Código?"))</f>
        <v/>
      </c>
      <c r="F952" s="32">
        <f>IF(C952&lt;&gt;"Venta","",D952*IFERROR(INDEX(Productos!$D$2:$D$501,MATCH(B952,Productos!$A$2:$A$501,0)),0))</f>
        <v/>
      </c>
      <c r="G952" s="32">
        <f>IF(C952&lt;&gt;"Venta","",D952*IFERROR(INDEX(Productos!$E$2:$E$501,MATCH(B952,Productos!$A$2:$A$501,0)),0))</f>
        <v/>
      </c>
      <c r="H952" s="33">
        <f>IF(A952="","",MONTH(A952))</f>
        <v/>
      </c>
      <c r="I952" s="33">
        <f>IF(A952="","",YEAR(A952))</f>
        <v/>
      </c>
    </row>
    <row r="953" ht="15" customHeight="1" s="21">
      <c r="A953" s="34" t="n"/>
      <c r="B953" s="30" t="n"/>
      <c r="C953" s="30" t="n"/>
      <c r="D953" s="30" t="n"/>
      <c r="E953" s="33">
        <f>IF(B953="","",IFERROR(INDEX(Productos!$B$2:$B$501,MATCH(B953,Productos!$A$2:$A$501,0)),"¿Código?"))</f>
        <v/>
      </c>
      <c r="F953" s="32">
        <f>IF(C953&lt;&gt;"Venta","",D953*IFERROR(INDEX(Productos!$D$2:$D$501,MATCH(B953,Productos!$A$2:$A$501,0)),0))</f>
        <v/>
      </c>
      <c r="G953" s="32">
        <f>IF(C953&lt;&gt;"Venta","",D953*IFERROR(INDEX(Productos!$E$2:$E$501,MATCH(B953,Productos!$A$2:$A$501,0)),0))</f>
        <v/>
      </c>
      <c r="H953" s="33">
        <f>IF(A953="","",MONTH(A953))</f>
        <v/>
      </c>
      <c r="I953" s="33">
        <f>IF(A953="","",YEAR(A953))</f>
        <v/>
      </c>
    </row>
    <row r="954" ht="15" customHeight="1" s="21">
      <c r="A954" s="34" t="n"/>
      <c r="B954" s="30" t="n"/>
      <c r="C954" s="30" t="n"/>
      <c r="D954" s="30" t="n"/>
      <c r="E954" s="33">
        <f>IF(B954="","",IFERROR(INDEX(Productos!$B$2:$B$501,MATCH(B954,Productos!$A$2:$A$501,0)),"¿Código?"))</f>
        <v/>
      </c>
      <c r="F954" s="32">
        <f>IF(C954&lt;&gt;"Venta","",D954*IFERROR(INDEX(Productos!$D$2:$D$501,MATCH(B954,Productos!$A$2:$A$501,0)),0))</f>
        <v/>
      </c>
      <c r="G954" s="32">
        <f>IF(C954&lt;&gt;"Venta","",D954*IFERROR(INDEX(Productos!$E$2:$E$501,MATCH(B954,Productos!$A$2:$A$501,0)),0))</f>
        <v/>
      </c>
      <c r="H954" s="33">
        <f>IF(A954="","",MONTH(A954))</f>
        <v/>
      </c>
      <c r="I954" s="33">
        <f>IF(A954="","",YEAR(A954))</f>
        <v/>
      </c>
    </row>
    <row r="955" ht="15" customHeight="1" s="21">
      <c r="A955" s="34" t="n"/>
      <c r="B955" s="30" t="n"/>
      <c r="C955" s="30" t="n"/>
      <c r="D955" s="30" t="n"/>
      <c r="E955" s="33">
        <f>IF(B955="","",IFERROR(INDEX(Productos!$B$2:$B$501,MATCH(B955,Productos!$A$2:$A$501,0)),"¿Código?"))</f>
        <v/>
      </c>
      <c r="F955" s="32">
        <f>IF(C955&lt;&gt;"Venta","",D955*IFERROR(INDEX(Productos!$D$2:$D$501,MATCH(B955,Productos!$A$2:$A$501,0)),0))</f>
        <v/>
      </c>
      <c r="G955" s="32">
        <f>IF(C955&lt;&gt;"Venta","",D955*IFERROR(INDEX(Productos!$E$2:$E$501,MATCH(B955,Productos!$A$2:$A$501,0)),0))</f>
        <v/>
      </c>
      <c r="H955" s="33">
        <f>IF(A955="","",MONTH(A955))</f>
        <v/>
      </c>
      <c r="I955" s="33">
        <f>IF(A955="","",YEAR(A955))</f>
        <v/>
      </c>
    </row>
    <row r="956" ht="15" customHeight="1" s="21">
      <c r="A956" s="34" t="n"/>
      <c r="B956" s="30" t="n"/>
      <c r="C956" s="30" t="n"/>
      <c r="D956" s="30" t="n"/>
      <c r="E956" s="33">
        <f>IF(B956="","",IFERROR(INDEX(Productos!$B$2:$B$501,MATCH(B956,Productos!$A$2:$A$501,0)),"¿Código?"))</f>
        <v/>
      </c>
      <c r="F956" s="32">
        <f>IF(C956&lt;&gt;"Venta","",D956*IFERROR(INDEX(Productos!$D$2:$D$501,MATCH(B956,Productos!$A$2:$A$501,0)),0))</f>
        <v/>
      </c>
      <c r="G956" s="32">
        <f>IF(C956&lt;&gt;"Venta","",D956*IFERROR(INDEX(Productos!$E$2:$E$501,MATCH(B956,Productos!$A$2:$A$501,0)),0))</f>
        <v/>
      </c>
      <c r="H956" s="33">
        <f>IF(A956="","",MONTH(A956))</f>
        <v/>
      </c>
      <c r="I956" s="33">
        <f>IF(A956="","",YEAR(A956))</f>
        <v/>
      </c>
    </row>
    <row r="957" ht="15" customHeight="1" s="21">
      <c r="A957" s="34" t="n"/>
      <c r="B957" s="30" t="n"/>
      <c r="C957" s="30" t="n"/>
      <c r="D957" s="30" t="n"/>
      <c r="E957" s="33">
        <f>IF(B957="","",IFERROR(INDEX(Productos!$B$2:$B$501,MATCH(B957,Productos!$A$2:$A$501,0)),"¿Código?"))</f>
        <v/>
      </c>
      <c r="F957" s="32">
        <f>IF(C957&lt;&gt;"Venta","",D957*IFERROR(INDEX(Productos!$D$2:$D$501,MATCH(B957,Productos!$A$2:$A$501,0)),0))</f>
        <v/>
      </c>
      <c r="G957" s="32">
        <f>IF(C957&lt;&gt;"Venta","",D957*IFERROR(INDEX(Productos!$E$2:$E$501,MATCH(B957,Productos!$A$2:$A$501,0)),0))</f>
        <v/>
      </c>
      <c r="H957" s="33">
        <f>IF(A957="","",MONTH(A957))</f>
        <v/>
      </c>
      <c r="I957" s="33">
        <f>IF(A957="","",YEAR(A957))</f>
        <v/>
      </c>
    </row>
    <row r="958" ht="15" customHeight="1" s="21">
      <c r="A958" s="34" t="n"/>
      <c r="B958" s="30" t="n"/>
      <c r="C958" s="30" t="n"/>
      <c r="D958" s="30" t="n"/>
      <c r="E958" s="33">
        <f>IF(B958="","",IFERROR(INDEX(Productos!$B$2:$B$501,MATCH(B958,Productos!$A$2:$A$501,0)),"¿Código?"))</f>
        <v/>
      </c>
      <c r="F958" s="32">
        <f>IF(C958&lt;&gt;"Venta","",D958*IFERROR(INDEX(Productos!$D$2:$D$501,MATCH(B958,Productos!$A$2:$A$501,0)),0))</f>
        <v/>
      </c>
      <c r="G958" s="32">
        <f>IF(C958&lt;&gt;"Venta","",D958*IFERROR(INDEX(Productos!$E$2:$E$501,MATCH(B958,Productos!$A$2:$A$501,0)),0))</f>
        <v/>
      </c>
      <c r="H958" s="33">
        <f>IF(A958="","",MONTH(A958))</f>
        <v/>
      </c>
      <c r="I958" s="33">
        <f>IF(A958="","",YEAR(A958))</f>
        <v/>
      </c>
    </row>
    <row r="959" ht="15" customHeight="1" s="21">
      <c r="A959" s="34" t="n"/>
      <c r="B959" s="30" t="n"/>
      <c r="C959" s="30" t="n"/>
      <c r="D959" s="30" t="n"/>
      <c r="E959" s="33">
        <f>IF(B959="","",IFERROR(INDEX(Productos!$B$2:$B$501,MATCH(B959,Productos!$A$2:$A$501,0)),"¿Código?"))</f>
        <v/>
      </c>
      <c r="F959" s="32">
        <f>IF(C959&lt;&gt;"Venta","",D959*IFERROR(INDEX(Productos!$D$2:$D$501,MATCH(B959,Productos!$A$2:$A$501,0)),0))</f>
        <v/>
      </c>
      <c r="G959" s="32">
        <f>IF(C959&lt;&gt;"Venta","",D959*IFERROR(INDEX(Productos!$E$2:$E$501,MATCH(B959,Productos!$A$2:$A$501,0)),0))</f>
        <v/>
      </c>
      <c r="H959" s="33">
        <f>IF(A959="","",MONTH(A959))</f>
        <v/>
      </c>
      <c r="I959" s="33">
        <f>IF(A959="","",YEAR(A959))</f>
        <v/>
      </c>
    </row>
    <row r="960" ht="15" customHeight="1" s="21">
      <c r="A960" s="34" t="n"/>
      <c r="B960" s="30" t="n"/>
      <c r="C960" s="30" t="n"/>
      <c r="D960" s="30" t="n"/>
      <c r="E960" s="33">
        <f>IF(B960="","",IFERROR(INDEX(Productos!$B$2:$B$501,MATCH(B960,Productos!$A$2:$A$501,0)),"¿Código?"))</f>
        <v/>
      </c>
      <c r="F960" s="32">
        <f>IF(C960&lt;&gt;"Venta","",D960*IFERROR(INDEX(Productos!$D$2:$D$501,MATCH(B960,Productos!$A$2:$A$501,0)),0))</f>
        <v/>
      </c>
      <c r="G960" s="32">
        <f>IF(C960&lt;&gt;"Venta","",D960*IFERROR(INDEX(Productos!$E$2:$E$501,MATCH(B960,Productos!$A$2:$A$501,0)),0))</f>
        <v/>
      </c>
      <c r="H960" s="33">
        <f>IF(A960="","",MONTH(A960))</f>
        <v/>
      </c>
      <c r="I960" s="33">
        <f>IF(A960="","",YEAR(A960))</f>
        <v/>
      </c>
    </row>
    <row r="961" ht="15" customHeight="1" s="21">
      <c r="A961" s="34" t="n"/>
      <c r="B961" s="30" t="n"/>
      <c r="C961" s="30" t="n"/>
      <c r="D961" s="30" t="n"/>
      <c r="E961" s="33">
        <f>IF(B961="","",IFERROR(INDEX(Productos!$B$2:$B$501,MATCH(B961,Productos!$A$2:$A$501,0)),"¿Código?"))</f>
        <v/>
      </c>
      <c r="F961" s="32">
        <f>IF(C961&lt;&gt;"Venta","",D961*IFERROR(INDEX(Productos!$D$2:$D$501,MATCH(B961,Productos!$A$2:$A$501,0)),0))</f>
        <v/>
      </c>
      <c r="G961" s="32">
        <f>IF(C961&lt;&gt;"Venta","",D961*IFERROR(INDEX(Productos!$E$2:$E$501,MATCH(B961,Productos!$A$2:$A$501,0)),0))</f>
        <v/>
      </c>
      <c r="H961" s="33">
        <f>IF(A961="","",MONTH(A961))</f>
        <v/>
      </c>
      <c r="I961" s="33">
        <f>IF(A961="","",YEAR(A961))</f>
        <v/>
      </c>
    </row>
    <row r="962" ht="15" customHeight="1" s="21">
      <c r="A962" s="34" t="n"/>
      <c r="B962" s="30" t="n"/>
      <c r="C962" s="30" t="n"/>
      <c r="D962" s="30" t="n"/>
      <c r="E962" s="33">
        <f>IF(B962="","",IFERROR(INDEX(Productos!$B$2:$B$501,MATCH(B962,Productos!$A$2:$A$501,0)),"¿Código?"))</f>
        <v/>
      </c>
      <c r="F962" s="32">
        <f>IF(C962&lt;&gt;"Venta","",D962*IFERROR(INDEX(Productos!$D$2:$D$501,MATCH(B962,Productos!$A$2:$A$501,0)),0))</f>
        <v/>
      </c>
      <c r="G962" s="32">
        <f>IF(C962&lt;&gt;"Venta","",D962*IFERROR(INDEX(Productos!$E$2:$E$501,MATCH(B962,Productos!$A$2:$A$501,0)),0))</f>
        <v/>
      </c>
      <c r="H962" s="33">
        <f>IF(A962="","",MONTH(A962))</f>
        <v/>
      </c>
      <c r="I962" s="33">
        <f>IF(A962="","",YEAR(A962))</f>
        <v/>
      </c>
    </row>
    <row r="963" ht="15" customHeight="1" s="21">
      <c r="A963" s="34" t="n"/>
      <c r="B963" s="30" t="n"/>
      <c r="C963" s="30" t="n"/>
      <c r="D963" s="30" t="n"/>
      <c r="E963" s="33">
        <f>IF(B963="","",IFERROR(INDEX(Productos!$B$2:$B$501,MATCH(B963,Productos!$A$2:$A$501,0)),"¿Código?"))</f>
        <v/>
      </c>
      <c r="F963" s="32">
        <f>IF(C963&lt;&gt;"Venta","",D963*IFERROR(INDEX(Productos!$D$2:$D$501,MATCH(B963,Productos!$A$2:$A$501,0)),0))</f>
        <v/>
      </c>
      <c r="G963" s="32">
        <f>IF(C963&lt;&gt;"Venta","",D963*IFERROR(INDEX(Productos!$E$2:$E$501,MATCH(B963,Productos!$A$2:$A$501,0)),0))</f>
        <v/>
      </c>
      <c r="H963" s="33">
        <f>IF(A963="","",MONTH(A963))</f>
        <v/>
      </c>
      <c r="I963" s="33">
        <f>IF(A963="","",YEAR(A963))</f>
        <v/>
      </c>
    </row>
    <row r="964" ht="15" customHeight="1" s="21">
      <c r="A964" s="34" t="n"/>
      <c r="B964" s="30" t="n"/>
      <c r="C964" s="30" t="n"/>
      <c r="D964" s="30" t="n"/>
      <c r="E964" s="33">
        <f>IF(B964="","",IFERROR(INDEX(Productos!$B$2:$B$501,MATCH(B964,Productos!$A$2:$A$501,0)),"¿Código?"))</f>
        <v/>
      </c>
      <c r="F964" s="32">
        <f>IF(C964&lt;&gt;"Venta","",D964*IFERROR(INDEX(Productos!$D$2:$D$501,MATCH(B964,Productos!$A$2:$A$501,0)),0))</f>
        <v/>
      </c>
      <c r="G964" s="32">
        <f>IF(C964&lt;&gt;"Venta","",D964*IFERROR(INDEX(Productos!$E$2:$E$501,MATCH(B964,Productos!$A$2:$A$501,0)),0))</f>
        <v/>
      </c>
      <c r="H964" s="33">
        <f>IF(A964="","",MONTH(A964))</f>
        <v/>
      </c>
      <c r="I964" s="33">
        <f>IF(A964="","",YEAR(A964))</f>
        <v/>
      </c>
    </row>
    <row r="965" ht="15" customHeight="1" s="21">
      <c r="A965" s="34" t="n"/>
      <c r="B965" s="30" t="n"/>
      <c r="C965" s="30" t="n"/>
      <c r="D965" s="30" t="n"/>
      <c r="E965" s="33">
        <f>IF(B965="","",IFERROR(INDEX(Productos!$B$2:$B$501,MATCH(B965,Productos!$A$2:$A$501,0)),"¿Código?"))</f>
        <v/>
      </c>
      <c r="F965" s="32">
        <f>IF(C965&lt;&gt;"Venta","",D965*IFERROR(INDEX(Productos!$D$2:$D$501,MATCH(B965,Productos!$A$2:$A$501,0)),0))</f>
        <v/>
      </c>
      <c r="G965" s="32">
        <f>IF(C965&lt;&gt;"Venta","",D965*IFERROR(INDEX(Productos!$E$2:$E$501,MATCH(B965,Productos!$A$2:$A$501,0)),0))</f>
        <v/>
      </c>
      <c r="H965" s="33">
        <f>IF(A965="","",MONTH(A965))</f>
        <v/>
      </c>
      <c r="I965" s="33">
        <f>IF(A965="","",YEAR(A965))</f>
        <v/>
      </c>
    </row>
    <row r="966" ht="15" customHeight="1" s="21">
      <c r="A966" s="34" t="n"/>
      <c r="B966" s="30" t="n"/>
      <c r="C966" s="30" t="n"/>
      <c r="D966" s="30" t="n"/>
      <c r="E966" s="33">
        <f>IF(B966="","",IFERROR(INDEX(Productos!$B$2:$B$501,MATCH(B966,Productos!$A$2:$A$501,0)),"¿Código?"))</f>
        <v/>
      </c>
      <c r="F966" s="32">
        <f>IF(C966&lt;&gt;"Venta","",D966*IFERROR(INDEX(Productos!$D$2:$D$501,MATCH(B966,Productos!$A$2:$A$501,0)),0))</f>
        <v/>
      </c>
      <c r="G966" s="32">
        <f>IF(C966&lt;&gt;"Venta","",D966*IFERROR(INDEX(Productos!$E$2:$E$501,MATCH(B966,Productos!$A$2:$A$501,0)),0))</f>
        <v/>
      </c>
      <c r="H966" s="33">
        <f>IF(A966="","",MONTH(A966))</f>
        <v/>
      </c>
      <c r="I966" s="33">
        <f>IF(A966="","",YEAR(A966))</f>
        <v/>
      </c>
    </row>
    <row r="967" ht="15" customHeight="1" s="21">
      <c r="A967" s="34" t="n"/>
      <c r="B967" s="30" t="n"/>
      <c r="C967" s="30" t="n"/>
      <c r="D967" s="30" t="n"/>
      <c r="E967" s="33">
        <f>IF(B967="","",IFERROR(INDEX(Productos!$B$2:$B$501,MATCH(B967,Productos!$A$2:$A$501,0)),"¿Código?"))</f>
        <v/>
      </c>
      <c r="F967" s="32">
        <f>IF(C967&lt;&gt;"Venta","",D967*IFERROR(INDEX(Productos!$D$2:$D$501,MATCH(B967,Productos!$A$2:$A$501,0)),0))</f>
        <v/>
      </c>
      <c r="G967" s="32">
        <f>IF(C967&lt;&gt;"Venta","",D967*IFERROR(INDEX(Productos!$E$2:$E$501,MATCH(B967,Productos!$A$2:$A$501,0)),0))</f>
        <v/>
      </c>
      <c r="H967" s="33">
        <f>IF(A967="","",MONTH(A967))</f>
        <v/>
      </c>
      <c r="I967" s="33">
        <f>IF(A967="","",YEAR(A967))</f>
        <v/>
      </c>
    </row>
    <row r="968" ht="15" customHeight="1" s="21">
      <c r="A968" s="34" t="n"/>
      <c r="B968" s="30" t="n"/>
      <c r="C968" s="30" t="n"/>
      <c r="D968" s="30" t="n"/>
      <c r="E968" s="33">
        <f>IF(B968="","",IFERROR(INDEX(Productos!$B$2:$B$501,MATCH(B968,Productos!$A$2:$A$501,0)),"¿Código?"))</f>
        <v/>
      </c>
      <c r="F968" s="32">
        <f>IF(C968&lt;&gt;"Venta","",D968*IFERROR(INDEX(Productos!$D$2:$D$501,MATCH(B968,Productos!$A$2:$A$501,0)),0))</f>
        <v/>
      </c>
      <c r="G968" s="32">
        <f>IF(C968&lt;&gt;"Venta","",D968*IFERROR(INDEX(Productos!$E$2:$E$501,MATCH(B968,Productos!$A$2:$A$501,0)),0))</f>
        <v/>
      </c>
      <c r="H968" s="33">
        <f>IF(A968="","",MONTH(A968))</f>
        <v/>
      </c>
      <c r="I968" s="33">
        <f>IF(A968="","",YEAR(A968))</f>
        <v/>
      </c>
    </row>
    <row r="969" ht="15" customHeight="1" s="21">
      <c r="A969" s="34" t="n"/>
      <c r="B969" s="30" t="n"/>
      <c r="C969" s="30" t="n"/>
      <c r="D969" s="30" t="n"/>
      <c r="E969" s="33">
        <f>IF(B969="","",IFERROR(INDEX(Productos!$B$2:$B$501,MATCH(B969,Productos!$A$2:$A$501,0)),"¿Código?"))</f>
        <v/>
      </c>
      <c r="F969" s="32">
        <f>IF(C969&lt;&gt;"Venta","",D969*IFERROR(INDEX(Productos!$D$2:$D$501,MATCH(B969,Productos!$A$2:$A$501,0)),0))</f>
        <v/>
      </c>
      <c r="G969" s="32">
        <f>IF(C969&lt;&gt;"Venta","",D969*IFERROR(INDEX(Productos!$E$2:$E$501,MATCH(B969,Productos!$A$2:$A$501,0)),0))</f>
        <v/>
      </c>
      <c r="H969" s="33">
        <f>IF(A969="","",MONTH(A969))</f>
        <v/>
      </c>
      <c r="I969" s="33">
        <f>IF(A969="","",YEAR(A969))</f>
        <v/>
      </c>
    </row>
    <row r="970" ht="15" customHeight="1" s="21">
      <c r="A970" s="34" t="n"/>
      <c r="B970" s="30" t="n"/>
      <c r="C970" s="30" t="n"/>
      <c r="D970" s="30" t="n"/>
      <c r="E970" s="33">
        <f>IF(B970="","",IFERROR(INDEX(Productos!$B$2:$B$501,MATCH(B970,Productos!$A$2:$A$501,0)),"¿Código?"))</f>
        <v/>
      </c>
      <c r="F970" s="32">
        <f>IF(C970&lt;&gt;"Venta","",D970*IFERROR(INDEX(Productos!$D$2:$D$501,MATCH(B970,Productos!$A$2:$A$501,0)),0))</f>
        <v/>
      </c>
      <c r="G970" s="32">
        <f>IF(C970&lt;&gt;"Venta","",D970*IFERROR(INDEX(Productos!$E$2:$E$501,MATCH(B970,Productos!$A$2:$A$501,0)),0))</f>
        <v/>
      </c>
      <c r="H970" s="33">
        <f>IF(A970="","",MONTH(A970))</f>
        <v/>
      </c>
      <c r="I970" s="33">
        <f>IF(A970="","",YEAR(A970))</f>
        <v/>
      </c>
    </row>
    <row r="971" ht="15" customHeight="1" s="21">
      <c r="A971" s="34" t="n"/>
      <c r="B971" s="30" t="n"/>
      <c r="C971" s="30" t="n"/>
      <c r="D971" s="30" t="n"/>
      <c r="E971" s="33">
        <f>IF(B971="","",IFERROR(INDEX(Productos!$B$2:$B$501,MATCH(B971,Productos!$A$2:$A$501,0)),"¿Código?"))</f>
        <v/>
      </c>
      <c r="F971" s="32">
        <f>IF(C971&lt;&gt;"Venta","",D971*IFERROR(INDEX(Productos!$D$2:$D$501,MATCH(B971,Productos!$A$2:$A$501,0)),0))</f>
        <v/>
      </c>
      <c r="G971" s="32">
        <f>IF(C971&lt;&gt;"Venta","",D971*IFERROR(INDEX(Productos!$E$2:$E$501,MATCH(B971,Productos!$A$2:$A$501,0)),0))</f>
        <v/>
      </c>
      <c r="H971" s="33">
        <f>IF(A971="","",MONTH(A971))</f>
        <v/>
      </c>
      <c r="I971" s="33">
        <f>IF(A971="","",YEAR(A971))</f>
        <v/>
      </c>
    </row>
    <row r="972" ht="15" customHeight="1" s="21">
      <c r="A972" s="34" t="n"/>
      <c r="B972" s="30" t="n"/>
      <c r="C972" s="30" t="n"/>
      <c r="D972" s="30" t="n"/>
      <c r="E972" s="33">
        <f>IF(B972="","",IFERROR(INDEX(Productos!$B$2:$B$501,MATCH(B972,Productos!$A$2:$A$501,0)),"¿Código?"))</f>
        <v/>
      </c>
      <c r="F972" s="32">
        <f>IF(C972&lt;&gt;"Venta","",D972*IFERROR(INDEX(Productos!$D$2:$D$501,MATCH(B972,Productos!$A$2:$A$501,0)),0))</f>
        <v/>
      </c>
      <c r="G972" s="32">
        <f>IF(C972&lt;&gt;"Venta","",D972*IFERROR(INDEX(Productos!$E$2:$E$501,MATCH(B972,Productos!$A$2:$A$501,0)),0))</f>
        <v/>
      </c>
      <c r="H972" s="33">
        <f>IF(A972="","",MONTH(A972))</f>
        <v/>
      </c>
      <c r="I972" s="33">
        <f>IF(A972="","",YEAR(A972))</f>
        <v/>
      </c>
    </row>
    <row r="973" ht="15" customHeight="1" s="21">
      <c r="A973" s="34" t="n"/>
      <c r="B973" s="30" t="n"/>
      <c r="C973" s="30" t="n"/>
      <c r="D973" s="30" t="n"/>
      <c r="E973" s="33">
        <f>IF(B973="","",IFERROR(INDEX(Productos!$B$2:$B$501,MATCH(B973,Productos!$A$2:$A$501,0)),"¿Código?"))</f>
        <v/>
      </c>
      <c r="F973" s="32">
        <f>IF(C973&lt;&gt;"Venta","",D973*IFERROR(INDEX(Productos!$D$2:$D$501,MATCH(B973,Productos!$A$2:$A$501,0)),0))</f>
        <v/>
      </c>
      <c r="G973" s="32">
        <f>IF(C973&lt;&gt;"Venta","",D973*IFERROR(INDEX(Productos!$E$2:$E$501,MATCH(B973,Productos!$A$2:$A$501,0)),0))</f>
        <v/>
      </c>
      <c r="H973" s="33">
        <f>IF(A973="","",MONTH(A973))</f>
        <v/>
      </c>
      <c r="I973" s="33">
        <f>IF(A973="","",YEAR(A973))</f>
        <v/>
      </c>
    </row>
    <row r="974" ht="15" customHeight="1" s="21">
      <c r="A974" s="34" t="n"/>
      <c r="B974" s="30" t="n"/>
      <c r="C974" s="30" t="n"/>
      <c r="D974" s="30" t="n"/>
      <c r="E974" s="33">
        <f>IF(B974="","",IFERROR(INDEX(Productos!$B$2:$B$501,MATCH(B974,Productos!$A$2:$A$501,0)),"¿Código?"))</f>
        <v/>
      </c>
      <c r="F974" s="32">
        <f>IF(C974&lt;&gt;"Venta","",D974*IFERROR(INDEX(Productos!$D$2:$D$501,MATCH(B974,Productos!$A$2:$A$501,0)),0))</f>
        <v/>
      </c>
      <c r="G974" s="32">
        <f>IF(C974&lt;&gt;"Venta","",D974*IFERROR(INDEX(Productos!$E$2:$E$501,MATCH(B974,Productos!$A$2:$A$501,0)),0))</f>
        <v/>
      </c>
      <c r="H974" s="33">
        <f>IF(A974="","",MONTH(A974))</f>
        <v/>
      </c>
      <c r="I974" s="33">
        <f>IF(A974="","",YEAR(A974))</f>
        <v/>
      </c>
    </row>
    <row r="975" ht="15" customHeight="1" s="21">
      <c r="A975" s="34" t="n"/>
      <c r="B975" s="30" t="n"/>
      <c r="C975" s="30" t="n"/>
      <c r="D975" s="30" t="n"/>
      <c r="E975" s="33">
        <f>IF(B975="","",IFERROR(INDEX(Productos!$B$2:$B$501,MATCH(B975,Productos!$A$2:$A$501,0)),"¿Código?"))</f>
        <v/>
      </c>
      <c r="F975" s="32">
        <f>IF(C975&lt;&gt;"Venta","",D975*IFERROR(INDEX(Productos!$D$2:$D$501,MATCH(B975,Productos!$A$2:$A$501,0)),0))</f>
        <v/>
      </c>
      <c r="G975" s="32">
        <f>IF(C975&lt;&gt;"Venta","",D975*IFERROR(INDEX(Productos!$E$2:$E$501,MATCH(B975,Productos!$A$2:$A$501,0)),0))</f>
        <v/>
      </c>
      <c r="H975" s="33">
        <f>IF(A975="","",MONTH(A975))</f>
        <v/>
      </c>
      <c r="I975" s="33">
        <f>IF(A975="","",YEAR(A975))</f>
        <v/>
      </c>
    </row>
    <row r="976" ht="15" customHeight="1" s="21">
      <c r="A976" s="34" t="n"/>
      <c r="B976" s="30" t="n"/>
      <c r="C976" s="30" t="n"/>
      <c r="D976" s="30" t="n"/>
      <c r="E976" s="33">
        <f>IF(B976="","",IFERROR(INDEX(Productos!$B$2:$B$501,MATCH(B976,Productos!$A$2:$A$501,0)),"¿Código?"))</f>
        <v/>
      </c>
      <c r="F976" s="32">
        <f>IF(C976&lt;&gt;"Venta","",D976*IFERROR(INDEX(Productos!$D$2:$D$501,MATCH(B976,Productos!$A$2:$A$501,0)),0))</f>
        <v/>
      </c>
      <c r="G976" s="32">
        <f>IF(C976&lt;&gt;"Venta","",D976*IFERROR(INDEX(Productos!$E$2:$E$501,MATCH(B976,Productos!$A$2:$A$501,0)),0))</f>
        <v/>
      </c>
      <c r="H976" s="33">
        <f>IF(A976="","",MONTH(A976))</f>
        <v/>
      </c>
      <c r="I976" s="33">
        <f>IF(A976="","",YEAR(A976))</f>
        <v/>
      </c>
    </row>
    <row r="977" ht="15" customHeight="1" s="21">
      <c r="A977" s="34" t="n"/>
      <c r="B977" s="30" t="n"/>
      <c r="C977" s="30" t="n"/>
      <c r="D977" s="30" t="n"/>
      <c r="E977" s="33">
        <f>IF(B977="","",IFERROR(INDEX(Productos!$B$2:$B$501,MATCH(B977,Productos!$A$2:$A$501,0)),"¿Código?"))</f>
        <v/>
      </c>
      <c r="F977" s="32">
        <f>IF(C977&lt;&gt;"Venta","",D977*IFERROR(INDEX(Productos!$D$2:$D$501,MATCH(B977,Productos!$A$2:$A$501,0)),0))</f>
        <v/>
      </c>
      <c r="G977" s="32">
        <f>IF(C977&lt;&gt;"Venta","",D977*IFERROR(INDEX(Productos!$E$2:$E$501,MATCH(B977,Productos!$A$2:$A$501,0)),0))</f>
        <v/>
      </c>
      <c r="H977" s="33">
        <f>IF(A977="","",MONTH(A977))</f>
        <v/>
      </c>
      <c r="I977" s="33">
        <f>IF(A977="","",YEAR(A977))</f>
        <v/>
      </c>
    </row>
    <row r="978" ht="15" customHeight="1" s="21">
      <c r="A978" s="34" t="n"/>
      <c r="B978" s="30" t="n"/>
      <c r="C978" s="30" t="n"/>
      <c r="D978" s="30" t="n"/>
      <c r="E978" s="33">
        <f>IF(B978="","",IFERROR(INDEX(Productos!$B$2:$B$501,MATCH(B978,Productos!$A$2:$A$501,0)),"¿Código?"))</f>
        <v/>
      </c>
      <c r="F978" s="32">
        <f>IF(C978&lt;&gt;"Venta","",D978*IFERROR(INDEX(Productos!$D$2:$D$501,MATCH(B978,Productos!$A$2:$A$501,0)),0))</f>
        <v/>
      </c>
      <c r="G978" s="32">
        <f>IF(C978&lt;&gt;"Venta","",D978*IFERROR(INDEX(Productos!$E$2:$E$501,MATCH(B978,Productos!$A$2:$A$501,0)),0))</f>
        <v/>
      </c>
      <c r="H978" s="33">
        <f>IF(A978="","",MONTH(A978))</f>
        <v/>
      </c>
      <c r="I978" s="33">
        <f>IF(A978="","",YEAR(A978))</f>
        <v/>
      </c>
    </row>
    <row r="979" ht="15" customHeight="1" s="21">
      <c r="A979" s="34" t="n"/>
      <c r="B979" s="30" t="n"/>
      <c r="C979" s="30" t="n"/>
      <c r="D979" s="30" t="n"/>
      <c r="E979" s="33">
        <f>IF(B979="","",IFERROR(INDEX(Productos!$B$2:$B$501,MATCH(B979,Productos!$A$2:$A$501,0)),"¿Código?"))</f>
        <v/>
      </c>
      <c r="F979" s="32">
        <f>IF(C979&lt;&gt;"Venta","",D979*IFERROR(INDEX(Productos!$D$2:$D$501,MATCH(B979,Productos!$A$2:$A$501,0)),0))</f>
        <v/>
      </c>
      <c r="G979" s="32">
        <f>IF(C979&lt;&gt;"Venta","",D979*IFERROR(INDEX(Productos!$E$2:$E$501,MATCH(B979,Productos!$A$2:$A$501,0)),0))</f>
        <v/>
      </c>
      <c r="H979" s="33">
        <f>IF(A979="","",MONTH(A979))</f>
        <v/>
      </c>
      <c r="I979" s="33">
        <f>IF(A979="","",YEAR(A979))</f>
        <v/>
      </c>
    </row>
    <row r="980" ht="15" customHeight="1" s="21">
      <c r="A980" s="34" t="n"/>
      <c r="B980" s="30" t="n"/>
      <c r="C980" s="30" t="n"/>
      <c r="D980" s="30" t="n"/>
      <c r="E980" s="33">
        <f>IF(B980="","",IFERROR(INDEX(Productos!$B$2:$B$501,MATCH(B980,Productos!$A$2:$A$501,0)),"¿Código?"))</f>
        <v/>
      </c>
      <c r="F980" s="32">
        <f>IF(C980&lt;&gt;"Venta","",D980*IFERROR(INDEX(Productos!$D$2:$D$501,MATCH(B980,Productos!$A$2:$A$501,0)),0))</f>
        <v/>
      </c>
      <c r="G980" s="32">
        <f>IF(C980&lt;&gt;"Venta","",D980*IFERROR(INDEX(Productos!$E$2:$E$501,MATCH(B980,Productos!$A$2:$A$501,0)),0))</f>
        <v/>
      </c>
      <c r="H980" s="33">
        <f>IF(A980="","",MONTH(A980))</f>
        <v/>
      </c>
      <c r="I980" s="33">
        <f>IF(A980="","",YEAR(A980))</f>
        <v/>
      </c>
    </row>
    <row r="981" ht="15" customHeight="1" s="21">
      <c r="A981" s="34" t="n"/>
      <c r="B981" s="30" t="n"/>
      <c r="C981" s="30" t="n"/>
      <c r="D981" s="30" t="n"/>
      <c r="E981" s="33">
        <f>IF(B981="","",IFERROR(INDEX(Productos!$B$2:$B$501,MATCH(B981,Productos!$A$2:$A$501,0)),"¿Código?"))</f>
        <v/>
      </c>
      <c r="F981" s="32">
        <f>IF(C981&lt;&gt;"Venta","",D981*IFERROR(INDEX(Productos!$D$2:$D$501,MATCH(B981,Productos!$A$2:$A$501,0)),0))</f>
        <v/>
      </c>
      <c r="G981" s="32">
        <f>IF(C981&lt;&gt;"Venta","",D981*IFERROR(INDEX(Productos!$E$2:$E$501,MATCH(B981,Productos!$A$2:$A$501,0)),0))</f>
        <v/>
      </c>
      <c r="H981" s="33">
        <f>IF(A981="","",MONTH(A981))</f>
        <v/>
      </c>
      <c r="I981" s="33">
        <f>IF(A981="","",YEAR(A981))</f>
        <v/>
      </c>
    </row>
    <row r="982" ht="15" customHeight="1" s="21">
      <c r="A982" s="34" t="n"/>
      <c r="B982" s="30" t="n"/>
      <c r="C982" s="30" t="n"/>
      <c r="D982" s="30" t="n"/>
      <c r="E982" s="33">
        <f>IF(B982="","",IFERROR(INDEX(Productos!$B$2:$B$501,MATCH(B982,Productos!$A$2:$A$501,0)),"¿Código?"))</f>
        <v/>
      </c>
      <c r="F982" s="32">
        <f>IF(C982&lt;&gt;"Venta","",D982*IFERROR(INDEX(Productos!$D$2:$D$501,MATCH(B982,Productos!$A$2:$A$501,0)),0))</f>
        <v/>
      </c>
      <c r="G982" s="32">
        <f>IF(C982&lt;&gt;"Venta","",D982*IFERROR(INDEX(Productos!$E$2:$E$501,MATCH(B982,Productos!$A$2:$A$501,0)),0))</f>
        <v/>
      </c>
      <c r="H982" s="33">
        <f>IF(A982="","",MONTH(A982))</f>
        <v/>
      </c>
      <c r="I982" s="33">
        <f>IF(A982="","",YEAR(A982))</f>
        <v/>
      </c>
    </row>
    <row r="983" ht="15" customHeight="1" s="21">
      <c r="A983" s="34" t="n"/>
      <c r="B983" s="30" t="n"/>
      <c r="C983" s="30" t="n"/>
      <c r="D983" s="30" t="n"/>
      <c r="E983" s="33">
        <f>IF(B983="","",IFERROR(INDEX(Productos!$B$2:$B$501,MATCH(B983,Productos!$A$2:$A$501,0)),"¿Código?"))</f>
        <v/>
      </c>
      <c r="F983" s="32">
        <f>IF(C983&lt;&gt;"Venta","",D983*IFERROR(INDEX(Productos!$D$2:$D$501,MATCH(B983,Productos!$A$2:$A$501,0)),0))</f>
        <v/>
      </c>
      <c r="G983" s="32">
        <f>IF(C983&lt;&gt;"Venta","",D983*IFERROR(INDEX(Productos!$E$2:$E$501,MATCH(B983,Productos!$A$2:$A$501,0)),0))</f>
        <v/>
      </c>
      <c r="H983" s="33">
        <f>IF(A983="","",MONTH(A983))</f>
        <v/>
      </c>
      <c r="I983" s="33">
        <f>IF(A983="","",YEAR(A983))</f>
        <v/>
      </c>
    </row>
    <row r="984" ht="15" customHeight="1" s="21">
      <c r="A984" s="34" t="n"/>
      <c r="B984" s="30" t="n"/>
      <c r="C984" s="30" t="n"/>
      <c r="D984" s="30" t="n"/>
      <c r="E984" s="33">
        <f>IF(B984="","",IFERROR(INDEX(Productos!$B$2:$B$501,MATCH(B984,Productos!$A$2:$A$501,0)),"¿Código?"))</f>
        <v/>
      </c>
      <c r="F984" s="32">
        <f>IF(C984&lt;&gt;"Venta","",D984*IFERROR(INDEX(Productos!$D$2:$D$501,MATCH(B984,Productos!$A$2:$A$501,0)),0))</f>
        <v/>
      </c>
      <c r="G984" s="32">
        <f>IF(C984&lt;&gt;"Venta","",D984*IFERROR(INDEX(Productos!$E$2:$E$501,MATCH(B984,Productos!$A$2:$A$501,0)),0))</f>
        <v/>
      </c>
      <c r="H984" s="33">
        <f>IF(A984="","",MONTH(A984))</f>
        <v/>
      </c>
      <c r="I984" s="33">
        <f>IF(A984="","",YEAR(A984))</f>
        <v/>
      </c>
    </row>
    <row r="985" ht="15" customHeight="1" s="21">
      <c r="A985" s="34" t="n"/>
      <c r="B985" s="30" t="n"/>
      <c r="C985" s="30" t="n"/>
      <c r="D985" s="30" t="n"/>
      <c r="E985" s="33">
        <f>IF(B985="","",IFERROR(INDEX(Productos!$B$2:$B$501,MATCH(B985,Productos!$A$2:$A$501,0)),"¿Código?"))</f>
        <v/>
      </c>
      <c r="F985" s="32">
        <f>IF(C985&lt;&gt;"Venta","",D985*IFERROR(INDEX(Productos!$D$2:$D$501,MATCH(B985,Productos!$A$2:$A$501,0)),0))</f>
        <v/>
      </c>
      <c r="G985" s="32">
        <f>IF(C985&lt;&gt;"Venta","",D985*IFERROR(INDEX(Productos!$E$2:$E$501,MATCH(B985,Productos!$A$2:$A$501,0)),0))</f>
        <v/>
      </c>
      <c r="H985" s="33">
        <f>IF(A985="","",MONTH(A985))</f>
        <v/>
      </c>
      <c r="I985" s="33">
        <f>IF(A985="","",YEAR(A985))</f>
        <v/>
      </c>
    </row>
    <row r="986" ht="15" customHeight="1" s="21">
      <c r="A986" s="34" t="n"/>
      <c r="B986" s="30" t="n"/>
      <c r="C986" s="30" t="n"/>
      <c r="D986" s="30" t="n"/>
      <c r="E986" s="33">
        <f>IF(B986="","",IFERROR(INDEX(Productos!$B$2:$B$501,MATCH(B986,Productos!$A$2:$A$501,0)),"¿Código?"))</f>
        <v/>
      </c>
      <c r="F986" s="32">
        <f>IF(C986&lt;&gt;"Venta","",D986*IFERROR(INDEX(Productos!$D$2:$D$501,MATCH(B986,Productos!$A$2:$A$501,0)),0))</f>
        <v/>
      </c>
      <c r="G986" s="32">
        <f>IF(C986&lt;&gt;"Venta","",D986*IFERROR(INDEX(Productos!$E$2:$E$501,MATCH(B986,Productos!$A$2:$A$501,0)),0))</f>
        <v/>
      </c>
      <c r="H986" s="33">
        <f>IF(A986="","",MONTH(A986))</f>
        <v/>
      </c>
      <c r="I986" s="33">
        <f>IF(A986="","",YEAR(A986))</f>
        <v/>
      </c>
    </row>
    <row r="987" ht="15" customHeight="1" s="21">
      <c r="A987" s="34" t="n"/>
      <c r="B987" s="30" t="n"/>
      <c r="C987" s="30" t="n"/>
      <c r="D987" s="30" t="n"/>
      <c r="E987" s="33">
        <f>IF(B987="","",IFERROR(INDEX(Productos!$B$2:$B$501,MATCH(B987,Productos!$A$2:$A$501,0)),"¿Código?"))</f>
        <v/>
      </c>
      <c r="F987" s="32">
        <f>IF(C987&lt;&gt;"Venta","",D987*IFERROR(INDEX(Productos!$D$2:$D$501,MATCH(B987,Productos!$A$2:$A$501,0)),0))</f>
        <v/>
      </c>
      <c r="G987" s="32">
        <f>IF(C987&lt;&gt;"Venta","",D987*IFERROR(INDEX(Productos!$E$2:$E$501,MATCH(B987,Productos!$A$2:$A$501,0)),0))</f>
        <v/>
      </c>
      <c r="H987" s="33">
        <f>IF(A987="","",MONTH(A987))</f>
        <v/>
      </c>
      <c r="I987" s="33">
        <f>IF(A987="","",YEAR(A987))</f>
        <v/>
      </c>
    </row>
    <row r="988" ht="15" customHeight="1" s="21">
      <c r="A988" s="34" t="n"/>
      <c r="B988" s="30" t="n"/>
      <c r="C988" s="30" t="n"/>
      <c r="D988" s="30" t="n"/>
      <c r="E988" s="33">
        <f>IF(B988="","",IFERROR(INDEX(Productos!$B$2:$B$501,MATCH(B988,Productos!$A$2:$A$501,0)),"¿Código?"))</f>
        <v/>
      </c>
      <c r="F988" s="32">
        <f>IF(C988&lt;&gt;"Venta","",D988*IFERROR(INDEX(Productos!$D$2:$D$501,MATCH(B988,Productos!$A$2:$A$501,0)),0))</f>
        <v/>
      </c>
      <c r="G988" s="32">
        <f>IF(C988&lt;&gt;"Venta","",D988*IFERROR(INDEX(Productos!$E$2:$E$501,MATCH(B988,Productos!$A$2:$A$501,0)),0))</f>
        <v/>
      </c>
      <c r="H988" s="33">
        <f>IF(A988="","",MONTH(A988))</f>
        <v/>
      </c>
      <c r="I988" s="33">
        <f>IF(A988="","",YEAR(A988))</f>
        <v/>
      </c>
    </row>
    <row r="989" ht="15" customHeight="1" s="21">
      <c r="A989" s="34" t="n"/>
      <c r="B989" s="30" t="n"/>
      <c r="C989" s="30" t="n"/>
      <c r="D989" s="30" t="n"/>
      <c r="E989" s="33">
        <f>IF(B989="","",IFERROR(INDEX(Productos!$B$2:$B$501,MATCH(B989,Productos!$A$2:$A$501,0)),"¿Código?"))</f>
        <v/>
      </c>
      <c r="F989" s="32">
        <f>IF(C989&lt;&gt;"Venta","",D989*IFERROR(INDEX(Productos!$D$2:$D$501,MATCH(B989,Productos!$A$2:$A$501,0)),0))</f>
        <v/>
      </c>
      <c r="G989" s="32">
        <f>IF(C989&lt;&gt;"Venta","",D989*IFERROR(INDEX(Productos!$E$2:$E$501,MATCH(B989,Productos!$A$2:$A$501,0)),0))</f>
        <v/>
      </c>
      <c r="H989" s="33">
        <f>IF(A989="","",MONTH(A989))</f>
        <v/>
      </c>
      <c r="I989" s="33">
        <f>IF(A989="","",YEAR(A989))</f>
        <v/>
      </c>
    </row>
    <row r="990" ht="15" customHeight="1" s="21">
      <c r="A990" s="34" t="n"/>
      <c r="B990" s="30" t="n"/>
      <c r="C990" s="30" t="n"/>
      <c r="D990" s="30" t="n"/>
      <c r="E990" s="33">
        <f>IF(B990="","",IFERROR(INDEX(Productos!$B$2:$B$501,MATCH(B990,Productos!$A$2:$A$501,0)),"¿Código?"))</f>
        <v/>
      </c>
      <c r="F990" s="32">
        <f>IF(C990&lt;&gt;"Venta","",D990*IFERROR(INDEX(Productos!$D$2:$D$501,MATCH(B990,Productos!$A$2:$A$501,0)),0))</f>
        <v/>
      </c>
      <c r="G990" s="32">
        <f>IF(C990&lt;&gt;"Venta","",D990*IFERROR(INDEX(Productos!$E$2:$E$501,MATCH(B990,Productos!$A$2:$A$501,0)),0))</f>
        <v/>
      </c>
      <c r="H990" s="33">
        <f>IF(A990="","",MONTH(A990))</f>
        <v/>
      </c>
      <c r="I990" s="33">
        <f>IF(A990="","",YEAR(A990))</f>
        <v/>
      </c>
    </row>
    <row r="991" ht="15" customHeight="1" s="21">
      <c r="A991" s="34" t="n"/>
      <c r="B991" s="30" t="n"/>
      <c r="C991" s="30" t="n"/>
      <c r="D991" s="30" t="n"/>
      <c r="E991" s="33">
        <f>IF(B991="","",IFERROR(INDEX(Productos!$B$2:$B$501,MATCH(B991,Productos!$A$2:$A$501,0)),"¿Código?"))</f>
        <v/>
      </c>
      <c r="F991" s="32">
        <f>IF(C991&lt;&gt;"Venta","",D991*IFERROR(INDEX(Productos!$D$2:$D$501,MATCH(B991,Productos!$A$2:$A$501,0)),0))</f>
        <v/>
      </c>
      <c r="G991" s="32">
        <f>IF(C991&lt;&gt;"Venta","",D991*IFERROR(INDEX(Productos!$E$2:$E$501,MATCH(B991,Productos!$A$2:$A$501,0)),0))</f>
        <v/>
      </c>
      <c r="H991" s="33">
        <f>IF(A991="","",MONTH(A991))</f>
        <v/>
      </c>
      <c r="I991" s="33">
        <f>IF(A991="","",YEAR(A991))</f>
        <v/>
      </c>
    </row>
    <row r="992" ht="15" customHeight="1" s="21">
      <c r="A992" s="34" t="n"/>
      <c r="B992" s="30" t="n"/>
      <c r="C992" s="30" t="n"/>
      <c r="D992" s="30" t="n"/>
      <c r="E992" s="33">
        <f>IF(B992="","",IFERROR(INDEX(Productos!$B$2:$B$501,MATCH(B992,Productos!$A$2:$A$501,0)),"¿Código?"))</f>
        <v/>
      </c>
      <c r="F992" s="32">
        <f>IF(C992&lt;&gt;"Venta","",D992*IFERROR(INDEX(Productos!$D$2:$D$501,MATCH(B992,Productos!$A$2:$A$501,0)),0))</f>
        <v/>
      </c>
      <c r="G992" s="32">
        <f>IF(C992&lt;&gt;"Venta","",D992*IFERROR(INDEX(Productos!$E$2:$E$501,MATCH(B992,Productos!$A$2:$A$501,0)),0))</f>
        <v/>
      </c>
      <c r="H992" s="33">
        <f>IF(A992="","",MONTH(A992))</f>
        <v/>
      </c>
      <c r="I992" s="33">
        <f>IF(A992="","",YEAR(A992))</f>
        <v/>
      </c>
    </row>
    <row r="993" ht="15" customHeight="1" s="21">
      <c r="A993" s="34" t="n"/>
      <c r="B993" s="30" t="n"/>
      <c r="C993" s="30" t="n"/>
      <c r="D993" s="30" t="n"/>
      <c r="E993" s="33">
        <f>IF(B993="","",IFERROR(INDEX(Productos!$B$2:$B$501,MATCH(B993,Productos!$A$2:$A$501,0)),"¿Código?"))</f>
        <v/>
      </c>
      <c r="F993" s="32">
        <f>IF(C993&lt;&gt;"Venta","",D993*IFERROR(INDEX(Productos!$D$2:$D$501,MATCH(B993,Productos!$A$2:$A$501,0)),0))</f>
        <v/>
      </c>
      <c r="G993" s="32">
        <f>IF(C993&lt;&gt;"Venta","",D993*IFERROR(INDEX(Productos!$E$2:$E$501,MATCH(B993,Productos!$A$2:$A$501,0)),0))</f>
        <v/>
      </c>
      <c r="H993" s="33">
        <f>IF(A993="","",MONTH(A993))</f>
        <v/>
      </c>
      <c r="I993" s="33">
        <f>IF(A993="","",YEAR(A993))</f>
        <v/>
      </c>
    </row>
    <row r="994" ht="15" customHeight="1" s="21">
      <c r="A994" s="34" t="n"/>
      <c r="B994" s="30" t="n"/>
      <c r="C994" s="30" t="n"/>
      <c r="D994" s="30" t="n"/>
      <c r="E994" s="33">
        <f>IF(B994="","",IFERROR(INDEX(Productos!$B$2:$B$501,MATCH(B994,Productos!$A$2:$A$501,0)),"¿Código?"))</f>
        <v/>
      </c>
      <c r="F994" s="32">
        <f>IF(C994&lt;&gt;"Venta","",D994*IFERROR(INDEX(Productos!$D$2:$D$501,MATCH(B994,Productos!$A$2:$A$501,0)),0))</f>
        <v/>
      </c>
      <c r="G994" s="32">
        <f>IF(C994&lt;&gt;"Venta","",D994*IFERROR(INDEX(Productos!$E$2:$E$501,MATCH(B994,Productos!$A$2:$A$501,0)),0))</f>
        <v/>
      </c>
      <c r="H994" s="33">
        <f>IF(A994="","",MONTH(A994))</f>
        <v/>
      </c>
      <c r="I994" s="33">
        <f>IF(A994="","",YEAR(A994))</f>
        <v/>
      </c>
    </row>
    <row r="995" ht="15" customHeight="1" s="21">
      <c r="A995" s="34" t="n"/>
      <c r="B995" s="30" t="n"/>
      <c r="C995" s="30" t="n"/>
      <c r="D995" s="30" t="n"/>
      <c r="E995" s="33">
        <f>IF(B995="","",IFERROR(INDEX(Productos!$B$2:$B$501,MATCH(B995,Productos!$A$2:$A$501,0)),"¿Código?"))</f>
        <v/>
      </c>
      <c r="F995" s="32">
        <f>IF(C995&lt;&gt;"Venta","",D995*IFERROR(INDEX(Productos!$D$2:$D$501,MATCH(B995,Productos!$A$2:$A$501,0)),0))</f>
        <v/>
      </c>
      <c r="G995" s="32">
        <f>IF(C995&lt;&gt;"Venta","",D995*IFERROR(INDEX(Productos!$E$2:$E$501,MATCH(B995,Productos!$A$2:$A$501,0)),0))</f>
        <v/>
      </c>
      <c r="H995" s="33">
        <f>IF(A995="","",MONTH(A995))</f>
        <v/>
      </c>
      <c r="I995" s="33">
        <f>IF(A995="","",YEAR(A995))</f>
        <v/>
      </c>
    </row>
    <row r="996" ht="15" customHeight="1" s="21">
      <c r="A996" s="34" t="n"/>
      <c r="B996" s="30" t="n"/>
      <c r="C996" s="30" t="n"/>
      <c r="D996" s="30" t="n"/>
      <c r="E996" s="33">
        <f>IF(B996="","",IFERROR(INDEX(Productos!$B$2:$B$501,MATCH(B996,Productos!$A$2:$A$501,0)),"¿Código?"))</f>
        <v/>
      </c>
      <c r="F996" s="32">
        <f>IF(C996&lt;&gt;"Venta","",D996*IFERROR(INDEX(Productos!$D$2:$D$501,MATCH(B996,Productos!$A$2:$A$501,0)),0))</f>
        <v/>
      </c>
      <c r="G996" s="32">
        <f>IF(C996&lt;&gt;"Venta","",D996*IFERROR(INDEX(Productos!$E$2:$E$501,MATCH(B996,Productos!$A$2:$A$501,0)),0))</f>
        <v/>
      </c>
      <c r="H996" s="33">
        <f>IF(A996="","",MONTH(A996))</f>
        <v/>
      </c>
      <c r="I996" s="33">
        <f>IF(A996="","",YEAR(A996))</f>
        <v/>
      </c>
    </row>
    <row r="997" ht="15" customHeight="1" s="21">
      <c r="A997" s="34" t="n"/>
      <c r="B997" s="30" t="n"/>
      <c r="C997" s="30" t="n"/>
      <c r="D997" s="30" t="n"/>
      <c r="E997" s="33">
        <f>IF(B997="","",IFERROR(INDEX(Productos!$B$2:$B$501,MATCH(B997,Productos!$A$2:$A$501,0)),"¿Código?"))</f>
        <v/>
      </c>
      <c r="F997" s="32">
        <f>IF(C997&lt;&gt;"Venta","",D997*IFERROR(INDEX(Productos!$D$2:$D$501,MATCH(B997,Productos!$A$2:$A$501,0)),0))</f>
        <v/>
      </c>
      <c r="G997" s="32">
        <f>IF(C997&lt;&gt;"Venta","",D997*IFERROR(INDEX(Productos!$E$2:$E$501,MATCH(B997,Productos!$A$2:$A$501,0)),0))</f>
        <v/>
      </c>
      <c r="H997" s="33">
        <f>IF(A997="","",MONTH(A997))</f>
        <v/>
      </c>
      <c r="I997" s="33">
        <f>IF(A997="","",YEAR(A997))</f>
        <v/>
      </c>
    </row>
    <row r="998" ht="15" customHeight="1" s="21">
      <c r="A998" s="34" t="n"/>
      <c r="B998" s="30" t="n"/>
      <c r="C998" s="30" t="n"/>
      <c r="D998" s="30" t="n"/>
      <c r="E998" s="33">
        <f>IF(B998="","",IFERROR(INDEX(Productos!$B$2:$B$501,MATCH(B998,Productos!$A$2:$A$501,0)),"¿Código?"))</f>
        <v/>
      </c>
      <c r="F998" s="32">
        <f>IF(C998&lt;&gt;"Venta","",D998*IFERROR(INDEX(Productos!$D$2:$D$501,MATCH(B998,Productos!$A$2:$A$501,0)),0))</f>
        <v/>
      </c>
      <c r="G998" s="32">
        <f>IF(C998&lt;&gt;"Venta","",D998*IFERROR(INDEX(Productos!$E$2:$E$501,MATCH(B998,Productos!$A$2:$A$501,0)),0))</f>
        <v/>
      </c>
      <c r="H998" s="33">
        <f>IF(A998="","",MONTH(A998))</f>
        <v/>
      </c>
      <c r="I998" s="33">
        <f>IF(A998="","",YEAR(A998))</f>
        <v/>
      </c>
    </row>
    <row r="999" ht="15" customHeight="1" s="21">
      <c r="A999" s="34" t="n"/>
      <c r="B999" s="30" t="n"/>
      <c r="C999" s="30" t="n"/>
      <c r="D999" s="30" t="n"/>
      <c r="E999" s="33">
        <f>IF(B999="","",IFERROR(INDEX(Productos!$B$2:$B$501,MATCH(B999,Productos!$A$2:$A$501,0)),"¿Código?"))</f>
        <v/>
      </c>
      <c r="F999" s="32">
        <f>IF(C999&lt;&gt;"Venta","",D999*IFERROR(INDEX(Productos!$D$2:$D$501,MATCH(B999,Productos!$A$2:$A$501,0)),0))</f>
        <v/>
      </c>
      <c r="G999" s="32">
        <f>IF(C999&lt;&gt;"Venta","",D999*IFERROR(INDEX(Productos!$E$2:$E$501,MATCH(B999,Productos!$A$2:$A$501,0)),0))</f>
        <v/>
      </c>
      <c r="H999" s="33">
        <f>IF(A999="","",MONTH(A999))</f>
        <v/>
      </c>
      <c r="I999" s="33">
        <f>IF(A999="","",YEAR(A999))</f>
        <v/>
      </c>
    </row>
    <row r="1000" ht="15" customHeight="1" s="21">
      <c r="A1000" s="34" t="n"/>
      <c r="B1000" s="30" t="n"/>
      <c r="C1000" s="30" t="n"/>
      <c r="D1000" s="30" t="n"/>
      <c r="E1000" s="33">
        <f>IF(B1000="","",IFERROR(INDEX(Productos!$B$2:$B$501,MATCH(B1000,Productos!$A$2:$A$501,0)),"¿Código?"))</f>
        <v/>
      </c>
      <c r="F1000" s="32">
        <f>IF(C1000&lt;&gt;"Venta","",D1000*IFERROR(INDEX(Productos!$D$2:$D$501,MATCH(B1000,Productos!$A$2:$A$501,0)),0))</f>
        <v/>
      </c>
      <c r="G1000" s="32">
        <f>IF(C1000&lt;&gt;"Venta","",D1000*IFERROR(INDEX(Productos!$E$2:$E$501,MATCH(B1000,Productos!$A$2:$A$501,0)),0))</f>
        <v/>
      </c>
      <c r="H1000" s="33">
        <f>IF(A1000="","",MONTH(A1000))</f>
        <v/>
      </c>
      <c r="I1000" s="33">
        <f>IF(A1000="","",YEAR(A1000))</f>
        <v/>
      </c>
    </row>
    <row r="1001" ht="15" customHeight="1" s="21">
      <c r="A1001" s="34" t="n"/>
      <c r="B1001" s="30" t="n"/>
      <c r="C1001" s="30" t="n"/>
      <c r="D1001" s="30" t="n"/>
      <c r="E1001" s="33">
        <f>IF(B1001="","",IFERROR(INDEX(Productos!$B$2:$B$501,MATCH(B1001,Productos!$A$2:$A$501,0)),"¿Código?"))</f>
        <v/>
      </c>
      <c r="F1001" s="32">
        <f>IF(C1001&lt;&gt;"Venta","",D1001*IFERROR(INDEX(Productos!$D$2:$D$501,MATCH(B1001,Productos!$A$2:$A$501,0)),0))</f>
        <v/>
      </c>
      <c r="G1001" s="32">
        <f>IF(C1001&lt;&gt;"Venta","",D1001*IFERROR(INDEX(Productos!$E$2:$E$501,MATCH(B1001,Productos!$A$2:$A$501,0)),0))</f>
        <v/>
      </c>
      <c r="H1001" s="33">
        <f>IF(A1001="","",MONTH(A1001))</f>
        <v/>
      </c>
      <c r="I1001" s="33">
        <f>IF(A1001="","",YEAR(A1001))</f>
        <v/>
      </c>
    </row>
    <row r="1002" ht="15" customHeight="1" s="21">
      <c r="A1002" s="34" t="n"/>
      <c r="B1002" s="30" t="n"/>
      <c r="C1002" s="30" t="n"/>
      <c r="D1002" s="30" t="n"/>
      <c r="E1002" s="33">
        <f>IF(B1002="","",IFERROR(INDEX(Productos!$B$2:$B$501,MATCH(B1002,Productos!$A$2:$A$501,0)),"¿Código?"))</f>
        <v/>
      </c>
      <c r="F1002" s="32">
        <f>IF(C1002&lt;&gt;"Venta","",D1002*IFERROR(INDEX(Productos!$D$2:$D$501,MATCH(B1002,Productos!$A$2:$A$501,0)),0))</f>
        <v/>
      </c>
      <c r="G1002" s="32">
        <f>IF(C1002&lt;&gt;"Venta","",D1002*IFERROR(INDEX(Productos!$E$2:$E$501,MATCH(B1002,Productos!$A$2:$A$501,0)),0))</f>
        <v/>
      </c>
      <c r="H1002" s="33">
        <f>IF(A1002="","",MONTH(A1002))</f>
        <v/>
      </c>
      <c r="I1002" s="33">
        <f>IF(A1002="","",YEAR(A1002))</f>
        <v/>
      </c>
    </row>
    <row r="1003" ht="15" customHeight="1" s="21">
      <c r="A1003" s="34" t="n"/>
      <c r="B1003" s="30" t="n"/>
      <c r="C1003" s="30" t="n"/>
      <c r="D1003" s="30" t="n"/>
      <c r="E1003" s="33">
        <f>IF(B1003="","",IFERROR(INDEX(Productos!$B$2:$B$501,MATCH(B1003,Productos!$A$2:$A$501,0)),"¿Código?"))</f>
        <v/>
      </c>
      <c r="F1003" s="32">
        <f>IF(C1003&lt;&gt;"Venta","",D1003*IFERROR(INDEX(Productos!$D$2:$D$501,MATCH(B1003,Productos!$A$2:$A$501,0)),0))</f>
        <v/>
      </c>
      <c r="G1003" s="32">
        <f>IF(C1003&lt;&gt;"Venta","",D1003*IFERROR(INDEX(Productos!$E$2:$E$501,MATCH(B1003,Productos!$A$2:$A$501,0)),0))</f>
        <v/>
      </c>
      <c r="H1003" s="33">
        <f>IF(A1003="","",MONTH(A1003))</f>
        <v/>
      </c>
      <c r="I1003" s="33">
        <f>IF(A1003="","",YEAR(A1003))</f>
        <v/>
      </c>
    </row>
    <row r="1004" ht="15" customHeight="1" s="21">
      <c r="A1004" s="34" t="n"/>
      <c r="B1004" s="30" t="n"/>
      <c r="C1004" s="30" t="n"/>
      <c r="D1004" s="30" t="n"/>
      <c r="E1004" s="33">
        <f>IF(B1004="","",IFERROR(INDEX(Productos!$B$2:$B$501,MATCH(B1004,Productos!$A$2:$A$501,0)),"¿Código?"))</f>
        <v/>
      </c>
      <c r="F1004" s="32">
        <f>IF(C1004&lt;&gt;"Venta","",D1004*IFERROR(INDEX(Productos!$D$2:$D$501,MATCH(B1004,Productos!$A$2:$A$501,0)),0))</f>
        <v/>
      </c>
      <c r="G1004" s="32">
        <f>IF(C1004&lt;&gt;"Venta","",D1004*IFERROR(INDEX(Productos!$E$2:$E$501,MATCH(B1004,Productos!$A$2:$A$501,0)),0))</f>
        <v/>
      </c>
      <c r="H1004" s="33">
        <f>IF(A1004="","",MONTH(A1004))</f>
        <v/>
      </c>
      <c r="I1004" s="33">
        <f>IF(A1004="","",YEAR(A1004))</f>
        <v/>
      </c>
    </row>
    <row r="1005" ht="15" customHeight="1" s="21">
      <c r="A1005" s="34" t="n"/>
      <c r="B1005" s="30" t="n"/>
      <c r="C1005" s="30" t="n"/>
      <c r="D1005" s="30" t="n"/>
      <c r="E1005" s="33">
        <f>IF(B1005="","",IFERROR(INDEX(Productos!$B$2:$B$501,MATCH(B1005,Productos!$A$2:$A$501,0)),"¿Código?"))</f>
        <v/>
      </c>
      <c r="F1005" s="32">
        <f>IF(C1005&lt;&gt;"Venta","",D1005*IFERROR(INDEX(Productos!$D$2:$D$501,MATCH(B1005,Productos!$A$2:$A$501,0)),0))</f>
        <v/>
      </c>
      <c r="G1005" s="32">
        <f>IF(C1005&lt;&gt;"Venta","",D1005*IFERROR(INDEX(Productos!$E$2:$E$501,MATCH(B1005,Productos!$A$2:$A$501,0)),0))</f>
        <v/>
      </c>
      <c r="H1005" s="33">
        <f>IF(A1005="","",MONTH(A1005))</f>
        <v/>
      </c>
      <c r="I1005" s="33">
        <f>IF(A1005="","",YEAR(A1005))</f>
        <v/>
      </c>
    </row>
    <row r="1006" ht="15" customHeight="1" s="21">
      <c r="A1006" s="34" t="n"/>
      <c r="B1006" s="30" t="n"/>
      <c r="C1006" s="30" t="n"/>
      <c r="D1006" s="30" t="n"/>
      <c r="E1006" s="33">
        <f>IF(B1006="","",IFERROR(INDEX(Productos!$B$2:$B$501,MATCH(B1006,Productos!$A$2:$A$501,0)),"¿Código?"))</f>
        <v/>
      </c>
      <c r="F1006" s="32">
        <f>IF(C1006&lt;&gt;"Venta","",D1006*IFERROR(INDEX(Productos!$D$2:$D$501,MATCH(B1006,Productos!$A$2:$A$501,0)),0))</f>
        <v/>
      </c>
      <c r="G1006" s="32">
        <f>IF(C1006&lt;&gt;"Venta","",D1006*IFERROR(INDEX(Productos!$E$2:$E$501,MATCH(B1006,Productos!$A$2:$A$501,0)),0))</f>
        <v/>
      </c>
      <c r="H1006" s="33">
        <f>IF(A1006="","",MONTH(A1006))</f>
        <v/>
      </c>
      <c r="I1006" s="33">
        <f>IF(A1006="","",YEAR(A1006))</f>
        <v/>
      </c>
    </row>
    <row r="1007" ht="15" customHeight="1" s="21">
      <c r="A1007" s="34" t="n"/>
      <c r="B1007" s="30" t="n"/>
      <c r="C1007" s="30" t="n"/>
      <c r="D1007" s="30" t="n"/>
      <c r="E1007" s="33">
        <f>IF(B1007="","",IFERROR(INDEX(Productos!$B$2:$B$501,MATCH(B1007,Productos!$A$2:$A$501,0)),"¿Código?"))</f>
        <v/>
      </c>
      <c r="F1007" s="32">
        <f>IF(C1007&lt;&gt;"Venta","",D1007*IFERROR(INDEX(Productos!$D$2:$D$501,MATCH(B1007,Productos!$A$2:$A$501,0)),0))</f>
        <v/>
      </c>
      <c r="G1007" s="32">
        <f>IF(C1007&lt;&gt;"Venta","",D1007*IFERROR(INDEX(Productos!$E$2:$E$501,MATCH(B1007,Productos!$A$2:$A$501,0)),0))</f>
        <v/>
      </c>
      <c r="H1007" s="33">
        <f>IF(A1007="","",MONTH(A1007))</f>
        <v/>
      </c>
      <c r="I1007" s="33">
        <f>IF(A1007="","",YEAR(A1007))</f>
        <v/>
      </c>
    </row>
    <row r="1008" ht="15" customHeight="1" s="21">
      <c r="A1008" s="34" t="n"/>
      <c r="B1008" s="30" t="n"/>
      <c r="C1008" s="30" t="n"/>
      <c r="D1008" s="30" t="n"/>
      <c r="E1008" s="33">
        <f>IF(B1008="","",IFERROR(INDEX(Productos!$B$2:$B$501,MATCH(B1008,Productos!$A$2:$A$501,0)),"¿Código?"))</f>
        <v/>
      </c>
      <c r="F1008" s="32">
        <f>IF(C1008&lt;&gt;"Venta","",D1008*IFERROR(INDEX(Productos!$D$2:$D$501,MATCH(B1008,Productos!$A$2:$A$501,0)),0))</f>
        <v/>
      </c>
      <c r="G1008" s="32">
        <f>IF(C1008&lt;&gt;"Venta","",D1008*IFERROR(INDEX(Productos!$E$2:$E$501,MATCH(B1008,Productos!$A$2:$A$501,0)),0))</f>
        <v/>
      </c>
      <c r="H1008" s="33">
        <f>IF(A1008="","",MONTH(A1008))</f>
        <v/>
      </c>
      <c r="I1008" s="33">
        <f>IF(A1008="","",YEAR(A1008))</f>
        <v/>
      </c>
    </row>
    <row r="1009" ht="15" customHeight="1" s="21">
      <c r="A1009" s="34" t="n"/>
      <c r="B1009" s="30" t="n"/>
      <c r="C1009" s="30" t="n"/>
      <c r="D1009" s="30" t="n"/>
      <c r="E1009" s="33">
        <f>IF(B1009="","",IFERROR(INDEX(Productos!$B$2:$B$501,MATCH(B1009,Productos!$A$2:$A$501,0)),"¿Código?"))</f>
        <v/>
      </c>
      <c r="F1009" s="32">
        <f>IF(C1009&lt;&gt;"Venta","",D1009*IFERROR(INDEX(Productos!$D$2:$D$501,MATCH(B1009,Productos!$A$2:$A$501,0)),0))</f>
        <v/>
      </c>
      <c r="G1009" s="32">
        <f>IF(C1009&lt;&gt;"Venta","",D1009*IFERROR(INDEX(Productos!$E$2:$E$501,MATCH(B1009,Productos!$A$2:$A$501,0)),0))</f>
        <v/>
      </c>
      <c r="H1009" s="33">
        <f>IF(A1009="","",MONTH(A1009))</f>
        <v/>
      </c>
      <c r="I1009" s="33">
        <f>IF(A1009="","",YEAR(A1009))</f>
        <v/>
      </c>
    </row>
    <row r="1010" ht="15" customHeight="1" s="21">
      <c r="A1010" s="34" t="n"/>
      <c r="B1010" s="30" t="n"/>
      <c r="C1010" s="30" t="n"/>
      <c r="D1010" s="30" t="n"/>
      <c r="E1010" s="33">
        <f>IF(B1010="","",IFERROR(INDEX(Productos!$B$2:$B$501,MATCH(B1010,Productos!$A$2:$A$501,0)),"¿Código?"))</f>
        <v/>
      </c>
      <c r="F1010" s="32">
        <f>IF(C1010&lt;&gt;"Venta","",D1010*IFERROR(INDEX(Productos!$D$2:$D$501,MATCH(B1010,Productos!$A$2:$A$501,0)),0))</f>
        <v/>
      </c>
      <c r="G1010" s="32">
        <f>IF(C1010&lt;&gt;"Venta","",D1010*IFERROR(INDEX(Productos!$E$2:$E$501,MATCH(B1010,Productos!$A$2:$A$501,0)),0))</f>
        <v/>
      </c>
      <c r="H1010" s="33">
        <f>IF(A1010="","",MONTH(A1010))</f>
        <v/>
      </c>
      <c r="I1010" s="33">
        <f>IF(A1010="","",YEAR(A1010))</f>
        <v/>
      </c>
    </row>
    <row r="1011" ht="15" customHeight="1" s="21">
      <c r="A1011" s="34" t="n"/>
      <c r="B1011" s="30" t="n"/>
      <c r="C1011" s="30" t="n"/>
      <c r="D1011" s="30" t="n"/>
      <c r="E1011" s="33">
        <f>IF(B1011="","",IFERROR(INDEX(Productos!$B$2:$B$501,MATCH(B1011,Productos!$A$2:$A$501,0)),"¿Código?"))</f>
        <v/>
      </c>
      <c r="F1011" s="32">
        <f>IF(C1011&lt;&gt;"Venta","",D1011*IFERROR(INDEX(Productos!$D$2:$D$501,MATCH(B1011,Productos!$A$2:$A$501,0)),0))</f>
        <v/>
      </c>
      <c r="G1011" s="32">
        <f>IF(C1011&lt;&gt;"Venta","",D1011*IFERROR(INDEX(Productos!$E$2:$E$501,MATCH(B1011,Productos!$A$2:$A$501,0)),0))</f>
        <v/>
      </c>
      <c r="H1011" s="33">
        <f>IF(A1011="","",MONTH(A1011))</f>
        <v/>
      </c>
      <c r="I1011" s="33">
        <f>IF(A1011="","",YEAR(A1011))</f>
        <v/>
      </c>
    </row>
    <row r="1012" ht="15" customHeight="1" s="21">
      <c r="A1012" s="34" t="n"/>
      <c r="B1012" s="30" t="n"/>
      <c r="C1012" s="30" t="n"/>
      <c r="D1012" s="30" t="n"/>
      <c r="E1012" s="33">
        <f>IF(B1012="","",IFERROR(INDEX(Productos!$B$2:$B$501,MATCH(B1012,Productos!$A$2:$A$501,0)),"¿Código?"))</f>
        <v/>
      </c>
      <c r="F1012" s="32">
        <f>IF(C1012&lt;&gt;"Venta","",D1012*IFERROR(INDEX(Productos!$D$2:$D$501,MATCH(B1012,Productos!$A$2:$A$501,0)),0))</f>
        <v/>
      </c>
      <c r="G1012" s="32">
        <f>IF(C1012&lt;&gt;"Venta","",D1012*IFERROR(INDEX(Productos!$E$2:$E$501,MATCH(B1012,Productos!$A$2:$A$501,0)),0))</f>
        <v/>
      </c>
      <c r="H1012" s="33">
        <f>IF(A1012="","",MONTH(A1012))</f>
        <v/>
      </c>
      <c r="I1012" s="33">
        <f>IF(A1012="","",YEAR(A1012))</f>
        <v/>
      </c>
    </row>
    <row r="1013" ht="15" customHeight="1" s="21">
      <c r="A1013" s="34" t="n"/>
      <c r="B1013" s="30" t="n"/>
      <c r="C1013" s="30" t="n"/>
      <c r="D1013" s="30" t="n"/>
      <c r="E1013" s="33">
        <f>IF(B1013="","",IFERROR(INDEX(Productos!$B$2:$B$501,MATCH(B1013,Productos!$A$2:$A$501,0)),"¿Código?"))</f>
        <v/>
      </c>
      <c r="F1013" s="32">
        <f>IF(C1013&lt;&gt;"Venta","",D1013*IFERROR(INDEX(Productos!$D$2:$D$501,MATCH(B1013,Productos!$A$2:$A$501,0)),0))</f>
        <v/>
      </c>
      <c r="G1013" s="32">
        <f>IF(C1013&lt;&gt;"Venta","",D1013*IFERROR(INDEX(Productos!$E$2:$E$501,MATCH(B1013,Productos!$A$2:$A$501,0)),0))</f>
        <v/>
      </c>
      <c r="H1013" s="33">
        <f>IF(A1013="","",MONTH(A1013))</f>
        <v/>
      </c>
      <c r="I1013" s="33">
        <f>IF(A1013="","",YEAR(A1013))</f>
        <v/>
      </c>
    </row>
    <row r="1014" ht="15" customHeight="1" s="21">
      <c r="A1014" s="34" t="n"/>
      <c r="B1014" s="30" t="n"/>
      <c r="C1014" s="30" t="n"/>
      <c r="D1014" s="30" t="n"/>
      <c r="E1014" s="33">
        <f>IF(B1014="","",IFERROR(INDEX(Productos!$B$2:$B$501,MATCH(B1014,Productos!$A$2:$A$501,0)),"¿Código?"))</f>
        <v/>
      </c>
      <c r="F1014" s="32">
        <f>IF(C1014&lt;&gt;"Venta","",D1014*IFERROR(INDEX(Productos!$D$2:$D$501,MATCH(B1014,Productos!$A$2:$A$501,0)),0))</f>
        <v/>
      </c>
      <c r="G1014" s="32">
        <f>IF(C1014&lt;&gt;"Venta","",D1014*IFERROR(INDEX(Productos!$E$2:$E$501,MATCH(B1014,Productos!$A$2:$A$501,0)),0))</f>
        <v/>
      </c>
      <c r="H1014" s="33">
        <f>IF(A1014="","",MONTH(A1014))</f>
        <v/>
      </c>
      <c r="I1014" s="33">
        <f>IF(A1014="","",YEAR(A1014))</f>
        <v/>
      </c>
    </row>
    <row r="1015" ht="15" customHeight="1" s="21">
      <c r="A1015" s="34" t="n"/>
      <c r="B1015" s="30" t="n"/>
      <c r="C1015" s="30" t="n"/>
      <c r="D1015" s="30" t="n"/>
      <c r="E1015" s="33">
        <f>IF(B1015="","",IFERROR(INDEX(Productos!$B$2:$B$501,MATCH(B1015,Productos!$A$2:$A$501,0)),"¿Código?"))</f>
        <v/>
      </c>
      <c r="F1015" s="32">
        <f>IF(C1015&lt;&gt;"Venta","",D1015*IFERROR(INDEX(Productos!$D$2:$D$501,MATCH(B1015,Productos!$A$2:$A$501,0)),0))</f>
        <v/>
      </c>
      <c r="G1015" s="32">
        <f>IF(C1015&lt;&gt;"Venta","",D1015*IFERROR(INDEX(Productos!$E$2:$E$501,MATCH(B1015,Productos!$A$2:$A$501,0)),0))</f>
        <v/>
      </c>
      <c r="H1015" s="33">
        <f>IF(A1015="","",MONTH(A1015))</f>
        <v/>
      </c>
      <c r="I1015" s="33">
        <f>IF(A1015="","",YEAR(A1015))</f>
        <v/>
      </c>
    </row>
    <row r="1016" ht="15" customHeight="1" s="21">
      <c r="A1016" s="34" t="n"/>
      <c r="B1016" s="30" t="n"/>
      <c r="C1016" s="30" t="n"/>
      <c r="D1016" s="30" t="n"/>
      <c r="E1016" s="33">
        <f>IF(B1016="","",IFERROR(INDEX(Productos!$B$2:$B$501,MATCH(B1016,Productos!$A$2:$A$501,0)),"¿Código?"))</f>
        <v/>
      </c>
      <c r="F1016" s="32">
        <f>IF(C1016&lt;&gt;"Venta","",D1016*IFERROR(INDEX(Productos!$D$2:$D$501,MATCH(B1016,Productos!$A$2:$A$501,0)),0))</f>
        <v/>
      </c>
      <c r="G1016" s="32">
        <f>IF(C1016&lt;&gt;"Venta","",D1016*IFERROR(INDEX(Productos!$E$2:$E$501,MATCH(B1016,Productos!$A$2:$A$501,0)),0))</f>
        <v/>
      </c>
      <c r="H1016" s="33">
        <f>IF(A1016="","",MONTH(A1016))</f>
        <v/>
      </c>
      <c r="I1016" s="33">
        <f>IF(A1016="","",YEAR(A1016))</f>
        <v/>
      </c>
    </row>
    <row r="1017" ht="15" customHeight="1" s="21">
      <c r="A1017" s="34" t="n"/>
      <c r="B1017" s="30" t="n"/>
      <c r="C1017" s="30" t="n"/>
      <c r="D1017" s="30" t="n"/>
      <c r="E1017" s="33">
        <f>IF(B1017="","",IFERROR(INDEX(Productos!$B$2:$B$501,MATCH(B1017,Productos!$A$2:$A$501,0)),"¿Código?"))</f>
        <v/>
      </c>
      <c r="F1017" s="32">
        <f>IF(C1017&lt;&gt;"Venta","",D1017*IFERROR(INDEX(Productos!$D$2:$D$501,MATCH(B1017,Productos!$A$2:$A$501,0)),0))</f>
        <v/>
      </c>
      <c r="G1017" s="32">
        <f>IF(C1017&lt;&gt;"Venta","",D1017*IFERROR(INDEX(Productos!$E$2:$E$501,MATCH(B1017,Productos!$A$2:$A$501,0)),0))</f>
        <v/>
      </c>
      <c r="H1017" s="33">
        <f>IF(A1017="","",MONTH(A1017))</f>
        <v/>
      </c>
      <c r="I1017" s="33">
        <f>IF(A1017="","",YEAR(A1017))</f>
        <v/>
      </c>
    </row>
    <row r="1018" ht="15" customHeight="1" s="21">
      <c r="A1018" s="34" t="n"/>
      <c r="B1018" s="30" t="n"/>
      <c r="C1018" s="30" t="n"/>
      <c r="D1018" s="30" t="n"/>
      <c r="E1018" s="33">
        <f>IF(B1018="","",IFERROR(INDEX(Productos!$B$2:$B$501,MATCH(B1018,Productos!$A$2:$A$501,0)),"¿Código?"))</f>
        <v/>
      </c>
      <c r="F1018" s="32">
        <f>IF(C1018&lt;&gt;"Venta","",D1018*IFERROR(INDEX(Productos!$D$2:$D$501,MATCH(B1018,Productos!$A$2:$A$501,0)),0))</f>
        <v/>
      </c>
      <c r="G1018" s="32">
        <f>IF(C1018&lt;&gt;"Venta","",D1018*IFERROR(INDEX(Productos!$E$2:$E$501,MATCH(B1018,Productos!$A$2:$A$501,0)),0))</f>
        <v/>
      </c>
      <c r="H1018" s="33">
        <f>IF(A1018="","",MONTH(A1018))</f>
        <v/>
      </c>
      <c r="I1018" s="33">
        <f>IF(A1018="","",YEAR(A1018))</f>
        <v/>
      </c>
    </row>
    <row r="1019" ht="15" customHeight="1" s="21">
      <c r="A1019" s="34" t="n"/>
      <c r="B1019" s="30" t="n"/>
      <c r="C1019" s="30" t="n"/>
      <c r="D1019" s="30" t="n"/>
      <c r="E1019" s="33">
        <f>IF(B1019="","",IFERROR(INDEX(Productos!$B$2:$B$501,MATCH(B1019,Productos!$A$2:$A$501,0)),"¿Código?"))</f>
        <v/>
      </c>
      <c r="F1019" s="32">
        <f>IF(C1019&lt;&gt;"Venta","",D1019*IFERROR(INDEX(Productos!$D$2:$D$501,MATCH(B1019,Productos!$A$2:$A$501,0)),0))</f>
        <v/>
      </c>
      <c r="G1019" s="32">
        <f>IF(C1019&lt;&gt;"Venta","",D1019*IFERROR(INDEX(Productos!$E$2:$E$501,MATCH(B1019,Productos!$A$2:$A$501,0)),0))</f>
        <v/>
      </c>
      <c r="H1019" s="33">
        <f>IF(A1019="","",MONTH(A1019))</f>
        <v/>
      </c>
      <c r="I1019" s="33">
        <f>IF(A1019="","",YEAR(A1019))</f>
        <v/>
      </c>
    </row>
    <row r="1020" ht="15" customHeight="1" s="21">
      <c r="A1020" s="34" t="n"/>
      <c r="B1020" s="30" t="n"/>
      <c r="C1020" s="30" t="n"/>
      <c r="D1020" s="30" t="n"/>
      <c r="E1020" s="33">
        <f>IF(B1020="","",IFERROR(INDEX(Productos!$B$2:$B$501,MATCH(B1020,Productos!$A$2:$A$501,0)),"¿Código?"))</f>
        <v/>
      </c>
      <c r="F1020" s="32">
        <f>IF(C1020&lt;&gt;"Venta","",D1020*IFERROR(INDEX(Productos!$D$2:$D$501,MATCH(B1020,Productos!$A$2:$A$501,0)),0))</f>
        <v/>
      </c>
      <c r="G1020" s="32">
        <f>IF(C1020&lt;&gt;"Venta","",D1020*IFERROR(INDEX(Productos!$E$2:$E$501,MATCH(B1020,Productos!$A$2:$A$501,0)),0))</f>
        <v/>
      </c>
      <c r="H1020" s="33">
        <f>IF(A1020="","",MONTH(A1020))</f>
        <v/>
      </c>
      <c r="I1020" s="33">
        <f>IF(A1020="","",YEAR(A1020))</f>
        <v/>
      </c>
    </row>
    <row r="1021" ht="15" customHeight="1" s="21">
      <c r="A1021" s="34" t="n"/>
      <c r="B1021" s="30" t="n"/>
      <c r="C1021" s="30" t="n"/>
      <c r="D1021" s="30" t="n"/>
      <c r="E1021" s="33">
        <f>IF(B1021="","",IFERROR(INDEX(Productos!$B$2:$B$501,MATCH(B1021,Productos!$A$2:$A$501,0)),"¿Código?"))</f>
        <v/>
      </c>
      <c r="F1021" s="32">
        <f>IF(C1021&lt;&gt;"Venta","",D1021*IFERROR(INDEX(Productos!$D$2:$D$501,MATCH(B1021,Productos!$A$2:$A$501,0)),0))</f>
        <v/>
      </c>
      <c r="G1021" s="32">
        <f>IF(C1021&lt;&gt;"Venta","",D1021*IFERROR(INDEX(Productos!$E$2:$E$501,MATCH(B1021,Productos!$A$2:$A$501,0)),0))</f>
        <v/>
      </c>
      <c r="H1021" s="33">
        <f>IF(A1021="","",MONTH(A1021))</f>
        <v/>
      </c>
      <c r="I1021" s="33">
        <f>IF(A1021="","",YEAR(A1021))</f>
        <v/>
      </c>
    </row>
    <row r="1022" ht="15" customHeight="1" s="21">
      <c r="A1022" s="34" t="n"/>
      <c r="B1022" s="30" t="n"/>
      <c r="C1022" s="30" t="n"/>
      <c r="D1022" s="30" t="n"/>
      <c r="E1022" s="33">
        <f>IF(B1022="","",IFERROR(INDEX(Productos!$B$2:$B$501,MATCH(B1022,Productos!$A$2:$A$501,0)),"¿Código?"))</f>
        <v/>
      </c>
      <c r="F1022" s="32">
        <f>IF(C1022&lt;&gt;"Venta","",D1022*IFERROR(INDEX(Productos!$D$2:$D$501,MATCH(B1022,Productos!$A$2:$A$501,0)),0))</f>
        <v/>
      </c>
      <c r="G1022" s="32">
        <f>IF(C1022&lt;&gt;"Venta","",D1022*IFERROR(INDEX(Productos!$E$2:$E$501,MATCH(B1022,Productos!$A$2:$A$501,0)),0))</f>
        <v/>
      </c>
      <c r="H1022" s="33">
        <f>IF(A1022="","",MONTH(A1022))</f>
        <v/>
      </c>
      <c r="I1022" s="33">
        <f>IF(A1022="","",YEAR(A1022))</f>
        <v/>
      </c>
    </row>
    <row r="1023" ht="15" customHeight="1" s="21">
      <c r="A1023" s="34" t="n"/>
      <c r="B1023" s="30" t="n"/>
      <c r="C1023" s="30" t="n"/>
      <c r="D1023" s="30" t="n"/>
      <c r="E1023" s="33">
        <f>IF(B1023="","",IFERROR(INDEX(Productos!$B$2:$B$501,MATCH(B1023,Productos!$A$2:$A$501,0)),"¿Código?"))</f>
        <v/>
      </c>
      <c r="F1023" s="32">
        <f>IF(C1023&lt;&gt;"Venta","",D1023*IFERROR(INDEX(Productos!$D$2:$D$501,MATCH(B1023,Productos!$A$2:$A$501,0)),0))</f>
        <v/>
      </c>
      <c r="G1023" s="32">
        <f>IF(C1023&lt;&gt;"Venta","",D1023*IFERROR(INDEX(Productos!$E$2:$E$501,MATCH(B1023,Productos!$A$2:$A$501,0)),0))</f>
        <v/>
      </c>
      <c r="H1023" s="33">
        <f>IF(A1023="","",MONTH(A1023))</f>
        <v/>
      </c>
      <c r="I1023" s="33">
        <f>IF(A1023="","",YEAR(A1023))</f>
        <v/>
      </c>
    </row>
    <row r="1024" ht="15" customHeight="1" s="21">
      <c r="A1024" s="34" t="n"/>
      <c r="B1024" s="30" t="n"/>
      <c r="C1024" s="30" t="n"/>
      <c r="D1024" s="30" t="n"/>
      <c r="E1024" s="33">
        <f>IF(B1024="","",IFERROR(INDEX(Productos!$B$2:$B$501,MATCH(B1024,Productos!$A$2:$A$501,0)),"¿Código?"))</f>
        <v/>
      </c>
      <c r="F1024" s="32">
        <f>IF(C1024&lt;&gt;"Venta","",D1024*IFERROR(INDEX(Productos!$D$2:$D$501,MATCH(B1024,Productos!$A$2:$A$501,0)),0))</f>
        <v/>
      </c>
      <c r="G1024" s="32">
        <f>IF(C1024&lt;&gt;"Venta","",D1024*IFERROR(INDEX(Productos!$E$2:$E$501,MATCH(B1024,Productos!$A$2:$A$501,0)),0))</f>
        <v/>
      </c>
      <c r="H1024" s="33">
        <f>IF(A1024="","",MONTH(A1024))</f>
        <v/>
      </c>
      <c r="I1024" s="33">
        <f>IF(A1024="","",YEAR(A1024))</f>
        <v/>
      </c>
    </row>
    <row r="1025" ht="15" customHeight="1" s="21">
      <c r="A1025" s="34" t="n"/>
      <c r="B1025" s="30" t="n"/>
      <c r="C1025" s="30" t="n"/>
      <c r="D1025" s="30" t="n"/>
      <c r="E1025" s="33">
        <f>IF(B1025="","",IFERROR(INDEX(Productos!$B$2:$B$501,MATCH(B1025,Productos!$A$2:$A$501,0)),"¿Código?"))</f>
        <v/>
      </c>
      <c r="F1025" s="32">
        <f>IF(C1025&lt;&gt;"Venta","",D1025*IFERROR(INDEX(Productos!$D$2:$D$501,MATCH(B1025,Productos!$A$2:$A$501,0)),0))</f>
        <v/>
      </c>
      <c r="G1025" s="32">
        <f>IF(C1025&lt;&gt;"Venta","",D1025*IFERROR(INDEX(Productos!$E$2:$E$501,MATCH(B1025,Productos!$A$2:$A$501,0)),0))</f>
        <v/>
      </c>
      <c r="H1025" s="33">
        <f>IF(A1025="","",MONTH(A1025))</f>
        <v/>
      </c>
      <c r="I1025" s="33">
        <f>IF(A1025="","",YEAR(A1025))</f>
        <v/>
      </c>
    </row>
    <row r="1026" ht="15" customHeight="1" s="21">
      <c r="A1026" s="34" t="n"/>
      <c r="B1026" s="30" t="n"/>
      <c r="C1026" s="30" t="n"/>
      <c r="D1026" s="30" t="n"/>
      <c r="E1026" s="33">
        <f>IF(B1026="","",IFERROR(INDEX(Productos!$B$2:$B$501,MATCH(B1026,Productos!$A$2:$A$501,0)),"¿Código?"))</f>
        <v/>
      </c>
      <c r="F1026" s="32">
        <f>IF(C1026&lt;&gt;"Venta","",D1026*IFERROR(INDEX(Productos!$D$2:$D$501,MATCH(B1026,Productos!$A$2:$A$501,0)),0))</f>
        <v/>
      </c>
      <c r="G1026" s="32">
        <f>IF(C1026&lt;&gt;"Venta","",D1026*IFERROR(INDEX(Productos!$E$2:$E$501,MATCH(B1026,Productos!$A$2:$A$501,0)),0))</f>
        <v/>
      </c>
      <c r="H1026" s="33">
        <f>IF(A1026="","",MONTH(A1026))</f>
        <v/>
      </c>
      <c r="I1026" s="33">
        <f>IF(A1026="","",YEAR(A1026))</f>
        <v/>
      </c>
    </row>
    <row r="1027" ht="15" customHeight="1" s="21">
      <c r="A1027" s="34" t="n"/>
      <c r="B1027" s="30" t="n"/>
      <c r="C1027" s="30" t="n"/>
      <c r="D1027" s="30" t="n"/>
      <c r="E1027" s="33">
        <f>IF(B1027="","",IFERROR(INDEX(Productos!$B$2:$B$501,MATCH(B1027,Productos!$A$2:$A$501,0)),"¿Código?"))</f>
        <v/>
      </c>
      <c r="F1027" s="32">
        <f>IF(C1027&lt;&gt;"Venta","",D1027*IFERROR(INDEX(Productos!$D$2:$D$501,MATCH(B1027,Productos!$A$2:$A$501,0)),0))</f>
        <v/>
      </c>
      <c r="G1027" s="32">
        <f>IF(C1027&lt;&gt;"Venta","",D1027*IFERROR(INDEX(Productos!$E$2:$E$501,MATCH(B1027,Productos!$A$2:$A$501,0)),0))</f>
        <v/>
      </c>
      <c r="H1027" s="33">
        <f>IF(A1027="","",MONTH(A1027))</f>
        <v/>
      </c>
      <c r="I1027" s="33">
        <f>IF(A1027="","",YEAR(A1027))</f>
        <v/>
      </c>
    </row>
    <row r="1028" ht="15" customHeight="1" s="21">
      <c r="A1028" s="34" t="n"/>
      <c r="B1028" s="30" t="n"/>
      <c r="C1028" s="30" t="n"/>
      <c r="D1028" s="30" t="n"/>
      <c r="E1028" s="33">
        <f>IF(B1028="","",IFERROR(INDEX(Productos!$B$2:$B$501,MATCH(B1028,Productos!$A$2:$A$501,0)),"¿Código?"))</f>
        <v/>
      </c>
      <c r="F1028" s="32">
        <f>IF(C1028&lt;&gt;"Venta","",D1028*IFERROR(INDEX(Productos!$D$2:$D$501,MATCH(B1028,Productos!$A$2:$A$501,0)),0))</f>
        <v/>
      </c>
      <c r="G1028" s="32">
        <f>IF(C1028&lt;&gt;"Venta","",D1028*IFERROR(INDEX(Productos!$E$2:$E$501,MATCH(B1028,Productos!$A$2:$A$501,0)),0))</f>
        <v/>
      </c>
      <c r="H1028" s="33">
        <f>IF(A1028="","",MONTH(A1028))</f>
        <v/>
      </c>
      <c r="I1028" s="33">
        <f>IF(A1028="","",YEAR(A1028))</f>
        <v/>
      </c>
    </row>
    <row r="1029" ht="15" customHeight="1" s="21">
      <c r="A1029" s="34" t="n"/>
      <c r="B1029" s="30" t="n"/>
      <c r="C1029" s="30" t="n"/>
      <c r="D1029" s="30" t="n"/>
      <c r="E1029" s="33">
        <f>IF(B1029="","",IFERROR(INDEX(Productos!$B$2:$B$501,MATCH(B1029,Productos!$A$2:$A$501,0)),"¿Código?"))</f>
        <v/>
      </c>
      <c r="F1029" s="32">
        <f>IF(C1029&lt;&gt;"Venta","",D1029*IFERROR(INDEX(Productos!$D$2:$D$501,MATCH(B1029,Productos!$A$2:$A$501,0)),0))</f>
        <v/>
      </c>
      <c r="G1029" s="32">
        <f>IF(C1029&lt;&gt;"Venta","",D1029*IFERROR(INDEX(Productos!$E$2:$E$501,MATCH(B1029,Productos!$A$2:$A$501,0)),0))</f>
        <v/>
      </c>
      <c r="H1029" s="33">
        <f>IF(A1029="","",MONTH(A1029))</f>
        <v/>
      </c>
      <c r="I1029" s="33">
        <f>IF(A1029="","",YEAR(A1029))</f>
        <v/>
      </c>
    </row>
    <row r="1030" ht="15" customHeight="1" s="21">
      <c r="A1030" s="34" t="n"/>
      <c r="B1030" s="30" t="n"/>
      <c r="C1030" s="30" t="n"/>
      <c r="D1030" s="30" t="n"/>
      <c r="E1030" s="33">
        <f>IF(B1030="","",IFERROR(INDEX(Productos!$B$2:$B$501,MATCH(B1030,Productos!$A$2:$A$501,0)),"¿Código?"))</f>
        <v/>
      </c>
      <c r="F1030" s="32">
        <f>IF(C1030&lt;&gt;"Venta","",D1030*IFERROR(INDEX(Productos!$D$2:$D$501,MATCH(B1030,Productos!$A$2:$A$501,0)),0))</f>
        <v/>
      </c>
      <c r="G1030" s="32">
        <f>IF(C1030&lt;&gt;"Venta","",D1030*IFERROR(INDEX(Productos!$E$2:$E$501,MATCH(B1030,Productos!$A$2:$A$501,0)),0))</f>
        <v/>
      </c>
      <c r="H1030" s="33">
        <f>IF(A1030="","",MONTH(A1030))</f>
        <v/>
      </c>
      <c r="I1030" s="33">
        <f>IF(A1030="","",YEAR(A1030))</f>
        <v/>
      </c>
    </row>
    <row r="1031" ht="15" customHeight="1" s="21">
      <c r="A1031" s="34" t="n"/>
      <c r="B1031" s="30" t="n"/>
      <c r="C1031" s="30" t="n"/>
      <c r="D1031" s="30" t="n"/>
      <c r="E1031" s="33">
        <f>IF(B1031="","",IFERROR(INDEX(Productos!$B$2:$B$501,MATCH(B1031,Productos!$A$2:$A$501,0)),"¿Código?"))</f>
        <v/>
      </c>
      <c r="F1031" s="32">
        <f>IF(C1031&lt;&gt;"Venta","",D1031*IFERROR(INDEX(Productos!$D$2:$D$501,MATCH(B1031,Productos!$A$2:$A$501,0)),0))</f>
        <v/>
      </c>
      <c r="G1031" s="32">
        <f>IF(C1031&lt;&gt;"Venta","",D1031*IFERROR(INDEX(Productos!$E$2:$E$501,MATCH(B1031,Productos!$A$2:$A$501,0)),0))</f>
        <v/>
      </c>
      <c r="H1031" s="33">
        <f>IF(A1031="","",MONTH(A1031))</f>
        <v/>
      </c>
      <c r="I1031" s="33">
        <f>IF(A1031="","",YEAR(A1031))</f>
        <v/>
      </c>
    </row>
    <row r="1032" ht="15" customHeight="1" s="21">
      <c r="A1032" s="34" t="n"/>
      <c r="B1032" s="30" t="n"/>
      <c r="C1032" s="30" t="n"/>
      <c r="D1032" s="30" t="n"/>
      <c r="E1032" s="33">
        <f>IF(B1032="","",IFERROR(INDEX(Productos!$B$2:$B$501,MATCH(B1032,Productos!$A$2:$A$501,0)),"¿Código?"))</f>
        <v/>
      </c>
      <c r="F1032" s="32">
        <f>IF(C1032&lt;&gt;"Venta","",D1032*IFERROR(INDEX(Productos!$D$2:$D$501,MATCH(B1032,Productos!$A$2:$A$501,0)),0))</f>
        <v/>
      </c>
      <c r="G1032" s="32">
        <f>IF(C1032&lt;&gt;"Venta","",D1032*IFERROR(INDEX(Productos!$E$2:$E$501,MATCH(B1032,Productos!$A$2:$A$501,0)),0))</f>
        <v/>
      </c>
      <c r="H1032" s="33">
        <f>IF(A1032="","",MONTH(A1032))</f>
        <v/>
      </c>
      <c r="I1032" s="33">
        <f>IF(A1032="","",YEAR(A1032))</f>
        <v/>
      </c>
    </row>
    <row r="1033" ht="15" customHeight="1" s="21">
      <c r="A1033" s="34" t="n"/>
      <c r="B1033" s="30" t="n"/>
      <c r="C1033" s="30" t="n"/>
      <c r="D1033" s="30" t="n"/>
      <c r="E1033" s="33">
        <f>IF(B1033="","",IFERROR(INDEX(Productos!$B$2:$B$501,MATCH(B1033,Productos!$A$2:$A$501,0)),"¿Código?"))</f>
        <v/>
      </c>
      <c r="F1033" s="32">
        <f>IF(C1033&lt;&gt;"Venta","",D1033*IFERROR(INDEX(Productos!$D$2:$D$501,MATCH(B1033,Productos!$A$2:$A$501,0)),0))</f>
        <v/>
      </c>
      <c r="G1033" s="32">
        <f>IF(C1033&lt;&gt;"Venta","",D1033*IFERROR(INDEX(Productos!$E$2:$E$501,MATCH(B1033,Productos!$A$2:$A$501,0)),0))</f>
        <v/>
      </c>
      <c r="H1033" s="33">
        <f>IF(A1033="","",MONTH(A1033))</f>
        <v/>
      </c>
      <c r="I1033" s="33">
        <f>IF(A1033="","",YEAR(A1033))</f>
        <v/>
      </c>
    </row>
    <row r="1034" ht="15" customHeight="1" s="21">
      <c r="A1034" s="34" t="n"/>
      <c r="B1034" s="30" t="n"/>
      <c r="C1034" s="30" t="n"/>
      <c r="D1034" s="30" t="n"/>
      <c r="E1034" s="33">
        <f>IF(B1034="","",IFERROR(INDEX(Productos!$B$2:$B$501,MATCH(B1034,Productos!$A$2:$A$501,0)),"¿Código?"))</f>
        <v/>
      </c>
      <c r="F1034" s="32">
        <f>IF(C1034&lt;&gt;"Venta","",D1034*IFERROR(INDEX(Productos!$D$2:$D$501,MATCH(B1034,Productos!$A$2:$A$501,0)),0))</f>
        <v/>
      </c>
      <c r="G1034" s="32">
        <f>IF(C1034&lt;&gt;"Venta","",D1034*IFERROR(INDEX(Productos!$E$2:$E$501,MATCH(B1034,Productos!$A$2:$A$501,0)),0))</f>
        <v/>
      </c>
      <c r="H1034" s="33">
        <f>IF(A1034="","",MONTH(A1034))</f>
        <v/>
      </c>
      <c r="I1034" s="33">
        <f>IF(A1034="","",YEAR(A1034))</f>
        <v/>
      </c>
    </row>
    <row r="1035" ht="15" customHeight="1" s="21">
      <c r="A1035" s="34" t="n"/>
      <c r="B1035" s="30" t="n"/>
      <c r="C1035" s="30" t="n"/>
      <c r="D1035" s="30" t="n"/>
      <c r="E1035" s="33">
        <f>IF(B1035="","",IFERROR(INDEX(Productos!$B$2:$B$501,MATCH(B1035,Productos!$A$2:$A$501,0)),"¿Código?"))</f>
        <v/>
      </c>
      <c r="F1035" s="32">
        <f>IF(C1035&lt;&gt;"Venta","",D1035*IFERROR(INDEX(Productos!$D$2:$D$501,MATCH(B1035,Productos!$A$2:$A$501,0)),0))</f>
        <v/>
      </c>
      <c r="G1035" s="32">
        <f>IF(C1035&lt;&gt;"Venta","",D1035*IFERROR(INDEX(Productos!$E$2:$E$501,MATCH(B1035,Productos!$A$2:$A$501,0)),0))</f>
        <v/>
      </c>
      <c r="H1035" s="33">
        <f>IF(A1035="","",MONTH(A1035))</f>
        <v/>
      </c>
      <c r="I1035" s="33">
        <f>IF(A1035="","",YEAR(A1035))</f>
        <v/>
      </c>
    </row>
    <row r="1036" ht="15" customHeight="1" s="21">
      <c r="A1036" s="34" t="n"/>
      <c r="B1036" s="30" t="n"/>
      <c r="C1036" s="30" t="n"/>
      <c r="D1036" s="30" t="n"/>
      <c r="E1036" s="33">
        <f>IF(B1036="","",IFERROR(INDEX(Productos!$B$2:$B$501,MATCH(B1036,Productos!$A$2:$A$501,0)),"¿Código?"))</f>
        <v/>
      </c>
      <c r="F1036" s="32">
        <f>IF(C1036&lt;&gt;"Venta","",D1036*IFERROR(INDEX(Productos!$D$2:$D$501,MATCH(B1036,Productos!$A$2:$A$501,0)),0))</f>
        <v/>
      </c>
      <c r="G1036" s="32">
        <f>IF(C1036&lt;&gt;"Venta","",D1036*IFERROR(INDEX(Productos!$E$2:$E$501,MATCH(B1036,Productos!$A$2:$A$501,0)),0))</f>
        <v/>
      </c>
      <c r="H1036" s="33">
        <f>IF(A1036="","",MONTH(A1036))</f>
        <v/>
      </c>
      <c r="I1036" s="33">
        <f>IF(A1036="","",YEAR(A1036))</f>
        <v/>
      </c>
    </row>
    <row r="1037" ht="15" customHeight="1" s="21">
      <c r="A1037" s="34" t="n"/>
      <c r="B1037" s="30" t="n"/>
      <c r="C1037" s="30" t="n"/>
      <c r="D1037" s="30" t="n"/>
      <c r="E1037" s="33">
        <f>IF(B1037="","",IFERROR(INDEX(Productos!$B$2:$B$501,MATCH(B1037,Productos!$A$2:$A$501,0)),"¿Código?"))</f>
        <v/>
      </c>
      <c r="F1037" s="32">
        <f>IF(C1037&lt;&gt;"Venta","",D1037*IFERROR(INDEX(Productos!$D$2:$D$501,MATCH(B1037,Productos!$A$2:$A$501,0)),0))</f>
        <v/>
      </c>
      <c r="G1037" s="32">
        <f>IF(C1037&lt;&gt;"Venta","",D1037*IFERROR(INDEX(Productos!$E$2:$E$501,MATCH(B1037,Productos!$A$2:$A$501,0)),0))</f>
        <v/>
      </c>
      <c r="H1037" s="33">
        <f>IF(A1037="","",MONTH(A1037))</f>
        <v/>
      </c>
      <c r="I1037" s="33">
        <f>IF(A1037="","",YEAR(A1037))</f>
        <v/>
      </c>
    </row>
    <row r="1038" ht="15" customHeight="1" s="21">
      <c r="A1038" s="34" t="n"/>
      <c r="B1038" s="30" t="n"/>
      <c r="C1038" s="30" t="n"/>
      <c r="D1038" s="30" t="n"/>
      <c r="E1038" s="33">
        <f>IF(B1038="","",IFERROR(INDEX(Productos!$B$2:$B$501,MATCH(B1038,Productos!$A$2:$A$501,0)),"¿Código?"))</f>
        <v/>
      </c>
      <c r="F1038" s="32">
        <f>IF(C1038&lt;&gt;"Venta","",D1038*IFERROR(INDEX(Productos!$D$2:$D$501,MATCH(B1038,Productos!$A$2:$A$501,0)),0))</f>
        <v/>
      </c>
      <c r="G1038" s="32">
        <f>IF(C1038&lt;&gt;"Venta","",D1038*IFERROR(INDEX(Productos!$E$2:$E$501,MATCH(B1038,Productos!$A$2:$A$501,0)),0))</f>
        <v/>
      </c>
      <c r="H1038" s="33">
        <f>IF(A1038="","",MONTH(A1038))</f>
        <v/>
      </c>
      <c r="I1038" s="33">
        <f>IF(A1038="","",YEAR(A1038))</f>
        <v/>
      </c>
    </row>
    <row r="1039" ht="15" customHeight="1" s="21">
      <c r="A1039" s="34" t="n"/>
      <c r="B1039" s="30" t="n"/>
      <c r="C1039" s="30" t="n"/>
      <c r="D1039" s="30" t="n"/>
      <c r="E1039" s="33">
        <f>IF(B1039="","",IFERROR(INDEX(Productos!$B$2:$B$501,MATCH(B1039,Productos!$A$2:$A$501,0)),"¿Código?"))</f>
        <v/>
      </c>
      <c r="F1039" s="32">
        <f>IF(C1039&lt;&gt;"Venta","",D1039*IFERROR(INDEX(Productos!$D$2:$D$501,MATCH(B1039,Productos!$A$2:$A$501,0)),0))</f>
        <v/>
      </c>
      <c r="G1039" s="32">
        <f>IF(C1039&lt;&gt;"Venta","",D1039*IFERROR(INDEX(Productos!$E$2:$E$501,MATCH(B1039,Productos!$A$2:$A$501,0)),0))</f>
        <v/>
      </c>
      <c r="H1039" s="33">
        <f>IF(A1039="","",MONTH(A1039))</f>
        <v/>
      </c>
      <c r="I1039" s="33">
        <f>IF(A1039="","",YEAR(A1039))</f>
        <v/>
      </c>
    </row>
    <row r="1040" ht="15" customHeight="1" s="21">
      <c r="A1040" s="34" t="n"/>
      <c r="B1040" s="30" t="n"/>
      <c r="C1040" s="30" t="n"/>
      <c r="D1040" s="30" t="n"/>
      <c r="E1040" s="33">
        <f>IF(B1040="","",IFERROR(INDEX(Productos!$B$2:$B$501,MATCH(B1040,Productos!$A$2:$A$501,0)),"¿Código?"))</f>
        <v/>
      </c>
      <c r="F1040" s="32">
        <f>IF(C1040&lt;&gt;"Venta","",D1040*IFERROR(INDEX(Productos!$D$2:$D$501,MATCH(B1040,Productos!$A$2:$A$501,0)),0))</f>
        <v/>
      </c>
      <c r="G1040" s="32">
        <f>IF(C1040&lt;&gt;"Venta","",D1040*IFERROR(INDEX(Productos!$E$2:$E$501,MATCH(B1040,Productos!$A$2:$A$501,0)),0))</f>
        <v/>
      </c>
      <c r="H1040" s="33">
        <f>IF(A1040="","",MONTH(A1040))</f>
        <v/>
      </c>
      <c r="I1040" s="33">
        <f>IF(A1040="","",YEAR(A1040))</f>
        <v/>
      </c>
    </row>
    <row r="1041" ht="15" customHeight="1" s="21">
      <c r="A1041" s="34" t="n"/>
      <c r="B1041" s="30" t="n"/>
      <c r="C1041" s="30" t="n"/>
      <c r="D1041" s="30" t="n"/>
      <c r="E1041" s="33">
        <f>IF(B1041="","",IFERROR(INDEX(Productos!$B$2:$B$501,MATCH(B1041,Productos!$A$2:$A$501,0)),"¿Código?"))</f>
        <v/>
      </c>
      <c r="F1041" s="32">
        <f>IF(C1041&lt;&gt;"Venta","",D1041*IFERROR(INDEX(Productos!$D$2:$D$501,MATCH(B1041,Productos!$A$2:$A$501,0)),0))</f>
        <v/>
      </c>
      <c r="G1041" s="32">
        <f>IF(C1041&lt;&gt;"Venta","",D1041*IFERROR(INDEX(Productos!$E$2:$E$501,MATCH(B1041,Productos!$A$2:$A$501,0)),0))</f>
        <v/>
      </c>
      <c r="H1041" s="33">
        <f>IF(A1041="","",MONTH(A1041))</f>
        <v/>
      </c>
      <c r="I1041" s="33">
        <f>IF(A1041="","",YEAR(A1041))</f>
        <v/>
      </c>
    </row>
    <row r="1042" ht="15" customHeight="1" s="21">
      <c r="A1042" s="34" t="n"/>
      <c r="B1042" s="30" t="n"/>
      <c r="C1042" s="30" t="n"/>
      <c r="D1042" s="30" t="n"/>
      <c r="E1042" s="33">
        <f>IF(B1042="","",IFERROR(INDEX(Productos!$B$2:$B$501,MATCH(B1042,Productos!$A$2:$A$501,0)),"¿Código?"))</f>
        <v/>
      </c>
      <c r="F1042" s="32">
        <f>IF(C1042&lt;&gt;"Venta","",D1042*IFERROR(INDEX(Productos!$D$2:$D$501,MATCH(B1042,Productos!$A$2:$A$501,0)),0))</f>
        <v/>
      </c>
      <c r="G1042" s="32">
        <f>IF(C1042&lt;&gt;"Venta","",D1042*IFERROR(INDEX(Productos!$E$2:$E$501,MATCH(B1042,Productos!$A$2:$A$501,0)),0))</f>
        <v/>
      </c>
      <c r="H1042" s="33">
        <f>IF(A1042="","",MONTH(A1042))</f>
        <v/>
      </c>
      <c r="I1042" s="33">
        <f>IF(A1042="","",YEAR(A1042))</f>
        <v/>
      </c>
    </row>
    <row r="1043" ht="15" customHeight="1" s="21">
      <c r="A1043" s="34" t="n"/>
      <c r="B1043" s="30" t="n"/>
      <c r="C1043" s="30" t="n"/>
      <c r="D1043" s="30" t="n"/>
      <c r="E1043" s="33">
        <f>IF(B1043="","",IFERROR(INDEX(Productos!$B$2:$B$501,MATCH(B1043,Productos!$A$2:$A$501,0)),"¿Código?"))</f>
        <v/>
      </c>
      <c r="F1043" s="32">
        <f>IF(C1043&lt;&gt;"Venta","",D1043*IFERROR(INDEX(Productos!$D$2:$D$501,MATCH(B1043,Productos!$A$2:$A$501,0)),0))</f>
        <v/>
      </c>
      <c r="G1043" s="32">
        <f>IF(C1043&lt;&gt;"Venta","",D1043*IFERROR(INDEX(Productos!$E$2:$E$501,MATCH(B1043,Productos!$A$2:$A$501,0)),0))</f>
        <v/>
      </c>
      <c r="H1043" s="33">
        <f>IF(A1043="","",MONTH(A1043))</f>
        <v/>
      </c>
      <c r="I1043" s="33">
        <f>IF(A1043="","",YEAR(A1043))</f>
        <v/>
      </c>
    </row>
    <row r="1044" ht="15" customHeight="1" s="21">
      <c r="A1044" s="34" t="n"/>
      <c r="B1044" s="30" t="n"/>
      <c r="C1044" s="30" t="n"/>
      <c r="D1044" s="30" t="n"/>
      <c r="E1044" s="33">
        <f>IF(B1044="","",IFERROR(INDEX(Productos!$B$2:$B$501,MATCH(B1044,Productos!$A$2:$A$501,0)),"¿Código?"))</f>
        <v/>
      </c>
      <c r="F1044" s="32">
        <f>IF(C1044&lt;&gt;"Venta","",D1044*IFERROR(INDEX(Productos!$D$2:$D$501,MATCH(B1044,Productos!$A$2:$A$501,0)),0))</f>
        <v/>
      </c>
      <c r="G1044" s="32">
        <f>IF(C1044&lt;&gt;"Venta","",D1044*IFERROR(INDEX(Productos!$E$2:$E$501,MATCH(B1044,Productos!$A$2:$A$501,0)),0))</f>
        <v/>
      </c>
      <c r="H1044" s="33">
        <f>IF(A1044="","",MONTH(A1044))</f>
        <v/>
      </c>
      <c r="I1044" s="33">
        <f>IF(A1044="","",YEAR(A1044))</f>
        <v/>
      </c>
    </row>
    <row r="1045" ht="15" customHeight="1" s="21">
      <c r="A1045" s="34" t="n"/>
      <c r="B1045" s="30" t="n"/>
      <c r="C1045" s="30" t="n"/>
      <c r="D1045" s="30" t="n"/>
      <c r="E1045" s="33">
        <f>IF(B1045="","",IFERROR(INDEX(Productos!$B$2:$B$501,MATCH(B1045,Productos!$A$2:$A$501,0)),"¿Código?"))</f>
        <v/>
      </c>
      <c r="F1045" s="32">
        <f>IF(C1045&lt;&gt;"Venta","",D1045*IFERROR(INDEX(Productos!$D$2:$D$501,MATCH(B1045,Productos!$A$2:$A$501,0)),0))</f>
        <v/>
      </c>
      <c r="G1045" s="32">
        <f>IF(C1045&lt;&gt;"Venta","",D1045*IFERROR(INDEX(Productos!$E$2:$E$501,MATCH(B1045,Productos!$A$2:$A$501,0)),0))</f>
        <v/>
      </c>
      <c r="H1045" s="33">
        <f>IF(A1045="","",MONTH(A1045))</f>
        <v/>
      </c>
      <c r="I1045" s="33">
        <f>IF(A1045="","",YEAR(A1045))</f>
        <v/>
      </c>
    </row>
    <row r="1046" ht="15" customHeight="1" s="21">
      <c r="A1046" s="34" t="n"/>
      <c r="B1046" s="30" t="n"/>
      <c r="C1046" s="30" t="n"/>
      <c r="D1046" s="30" t="n"/>
      <c r="E1046" s="33">
        <f>IF(B1046="","",IFERROR(INDEX(Productos!$B$2:$B$501,MATCH(B1046,Productos!$A$2:$A$501,0)),"¿Código?"))</f>
        <v/>
      </c>
      <c r="F1046" s="32">
        <f>IF(C1046&lt;&gt;"Venta","",D1046*IFERROR(INDEX(Productos!$D$2:$D$501,MATCH(B1046,Productos!$A$2:$A$501,0)),0))</f>
        <v/>
      </c>
      <c r="G1046" s="32">
        <f>IF(C1046&lt;&gt;"Venta","",D1046*IFERROR(INDEX(Productos!$E$2:$E$501,MATCH(B1046,Productos!$A$2:$A$501,0)),0))</f>
        <v/>
      </c>
      <c r="H1046" s="33">
        <f>IF(A1046="","",MONTH(A1046))</f>
        <v/>
      </c>
      <c r="I1046" s="33">
        <f>IF(A1046="","",YEAR(A1046))</f>
        <v/>
      </c>
    </row>
    <row r="1047" ht="15" customHeight="1" s="21">
      <c r="A1047" s="34" t="n"/>
      <c r="B1047" s="30" t="n"/>
      <c r="C1047" s="30" t="n"/>
      <c r="D1047" s="30" t="n"/>
      <c r="E1047" s="33">
        <f>IF(B1047="","",IFERROR(INDEX(Productos!$B$2:$B$501,MATCH(B1047,Productos!$A$2:$A$501,0)),"¿Código?"))</f>
        <v/>
      </c>
      <c r="F1047" s="32">
        <f>IF(C1047&lt;&gt;"Venta","",D1047*IFERROR(INDEX(Productos!$D$2:$D$501,MATCH(B1047,Productos!$A$2:$A$501,0)),0))</f>
        <v/>
      </c>
      <c r="G1047" s="32">
        <f>IF(C1047&lt;&gt;"Venta","",D1047*IFERROR(INDEX(Productos!$E$2:$E$501,MATCH(B1047,Productos!$A$2:$A$501,0)),0))</f>
        <v/>
      </c>
      <c r="H1047" s="33">
        <f>IF(A1047="","",MONTH(A1047))</f>
        <v/>
      </c>
      <c r="I1047" s="33">
        <f>IF(A1047="","",YEAR(A1047))</f>
        <v/>
      </c>
    </row>
    <row r="1048" ht="15" customHeight="1" s="21">
      <c r="A1048" s="34" t="n"/>
      <c r="B1048" s="30" t="n"/>
      <c r="C1048" s="30" t="n"/>
      <c r="D1048" s="30" t="n"/>
      <c r="E1048" s="33">
        <f>IF(B1048="","",IFERROR(INDEX(Productos!$B$2:$B$501,MATCH(B1048,Productos!$A$2:$A$501,0)),"¿Código?"))</f>
        <v/>
      </c>
      <c r="F1048" s="32">
        <f>IF(C1048&lt;&gt;"Venta","",D1048*IFERROR(INDEX(Productos!$D$2:$D$501,MATCH(B1048,Productos!$A$2:$A$501,0)),0))</f>
        <v/>
      </c>
      <c r="G1048" s="32">
        <f>IF(C1048&lt;&gt;"Venta","",D1048*IFERROR(INDEX(Productos!$E$2:$E$501,MATCH(B1048,Productos!$A$2:$A$501,0)),0))</f>
        <v/>
      </c>
      <c r="H1048" s="33">
        <f>IF(A1048="","",MONTH(A1048))</f>
        <v/>
      </c>
      <c r="I1048" s="33">
        <f>IF(A1048="","",YEAR(A1048))</f>
        <v/>
      </c>
    </row>
    <row r="1049" ht="15" customHeight="1" s="21">
      <c r="A1049" s="34" t="n"/>
      <c r="B1049" s="30" t="n"/>
      <c r="C1049" s="30" t="n"/>
      <c r="D1049" s="30" t="n"/>
      <c r="E1049" s="33">
        <f>IF(B1049="","",IFERROR(INDEX(Productos!$B$2:$B$501,MATCH(B1049,Productos!$A$2:$A$501,0)),"¿Código?"))</f>
        <v/>
      </c>
      <c r="F1049" s="32">
        <f>IF(C1049&lt;&gt;"Venta","",D1049*IFERROR(INDEX(Productos!$D$2:$D$501,MATCH(B1049,Productos!$A$2:$A$501,0)),0))</f>
        <v/>
      </c>
      <c r="G1049" s="32">
        <f>IF(C1049&lt;&gt;"Venta","",D1049*IFERROR(INDEX(Productos!$E$2:$E$501,MATCH(B1049,Productos!$A$2:$A$501,0)),0))</f>
        <v/>
      </c>
      <c r="H1049" s="33">
        <f>IF(A1049="","",MONTH(A1049))</f>
        <v/>
      </c>
      <c r="I1049" s="33">
        <f>IF(A1049="","",YEAR(A1049))</f>
        <v/>
      </c>
    </row>
    <row r="1050" ht="15" customHeight="1" s="21">
      <c r="A1050" s="34" t="n"/>
      <c r="B1050" s="30" t="n"/>
      <c r="C1050" s="30" t="n"/>
      <c r="D1050" s="30" t="n"/>
      <c r="E1050" s="33">
        <f>IF(B1050="","",IFERROR(INDEX(Productos!$B$2:$B$501,MATCH(B1050,Productos!$A$2:$A$501,0)),"¿Código?"))</f>
        <v/>
      </c>
      <c r="F1050" s="32">
        <f>IF(C1050&lt;&gt;"Venta","",D1050*IFERROR(INDEX(Productos!$D$2:$D$501,MATCH(B1050,Productos!$A$2:$A$501,0)),0))</f>
        <v/>
      </c>
      <c r="G1050" s="32">
        <f>IF(C1050&lt;&gt;"Venta","",D1050*IFERROR(INDEX(Productos!$E$2:$E$501,MATCH(B1050,Productos!$A$2:$A$501,0)),0))</f>
        <v/>
      </c>
      <c r="H1050" s="33">
        <f>IF(A1050="","",MONTH(A1050))</f>
        <v/>
      </c>
      <c r="I1050" s="33">
        <f>IF(A1050="","",YEAR(A1050))</f>
        <v/>
      </c>
    </row>
    <row r="1051" ht="15" customHeight="1" s="21">
      <c r="A1051" s="34" t="n"/>
      <c r="B1051" s="30" t="n"/>
      <c r="C1051" s="30" t="n"/>
      <c r="D1051" s="30" t="n"/>
      <c r="E1051" s="33">
        <f>IF(B1051="","",IFERROR(INDEX(Productos!$B$2:$B$501,MATCH(B1051,Productos!$A$2:$A$501,0)),"¿Código?"))</f>
        <v/>
      </c>
      <c r="F1051" s="32">
        <f>IF(C1051&lt;&gt;"Venta","",D1051*IFERROR(INDEX(Productos!$D$2:$D$501,MATCH(B1051,Productos!$A$2:$A$501,0)),0))</f>
        <v/>
      </c>
      <c r="G1051" s="32">
        <f>IF(C1051&lt;&gt;"Venta","",D1051*IFERROR(INDEX(Productos!$E$2:$E$501,MATCH(B1051,Productos!$A$2:$A$501,0)),0))</f>
        <v/>
      </c>
      <c r="H1051" s="33">
        <f>IF(A1051="","",MONTH(A1051))</f>
        <v/>
      </c>
      <c r="I1051" s="33">
        <f>IF(A1051="","",YEAR(A1051))</f>
        <v/>
      </c>
    </row>
    <row r="1052" ht="15" customHeight="1" s="21">
      <c r="A1052" s="34" t="n"/>
      <c r="B1052" s="30" t="n"/>
      <c r="C1052" s="30" t="n"/>
      <c r="D1052" s="30" t="n"/>
      <c r="E1052" s="33">
        <f>IF(B1052="","",IFERROR(INDEX(Productos!$B$2:$B$501,MATCH(B1052,Productos!$A$2:$A$501,0)),"¿Código?"))</f>
        <v/>
      </c>
      <c r="F1052" s="32">
        <f>IF(C1052&lt;&gt;"Venta","",D1052*IFERROR(INDEX(Productos!$D$2:$D$501,MATCH(B1052,Productos!$A$2:$A$501,0)),0))</f>
        <v/>
      </c>
      <c r="G1052" s="32">
        <f>IF(C1052&lt;&gt;"Venta","",D1052*IFERROR(INDEX(Productos!$E$2:$E$501,MATCH(B1052,Productos!$A$2:$A$501,0)),0))</f>
        <v/>
      </c>
      <c r="H1052" s="33">
        <f>IF(A1052="","",MONTH(A1052))</f>
        <v/>
      </c>
      <c r="I1052" s="33">
        <f>IF(A1052="","",YEAR(A1052))</f>
        <v/>
      </c>
    </row>
    <row r="1053" ht="15" customHeight="1" s="21">
      <c r="A1053" s="34" t="n"/>
      <c r="B1053" s="30" t="n"/>
      <c r="C1053" s="30" t="n"/>
      <c r="D1053" s="30" t="n"/>
      <c r="E1053" s="33">
        <f>IF(B1053="","",IFERROR(INDEX(Productos!$B$2:$B$501,MATCH(B1053,Productos!$A$2:$A$501,0)),"¿Código?"))</f>
        <v/>
      </c>
      <c r="F1053" s="32">
        <f>IF(C1053&lt;&gt;"Venta","",D1053*IFERROR(INDEX(Productos!$D$2:$D$501,MATCH(B1053,Productos!$A$2:$A$501,0)),0))</f>
        <v/>
      </c>
      <c r="G1053" s="32">
        <f>IF(C1053&lt;&gt;"Venta","",D1053*IFERROR(INDEX(Productos!$E$2:$E$501,MATCH(B1053,Productos!$A$2:$A$501,0)),0))</f>
        <v/>
      </c>
      <c r="H1053" s="33">
        <f>IF(A1053="","",MONTH(A1053))</f>
        <v/>
      </c>
      <c r="I1053" s="33">
        <f>IF(A1053="","",YEAR(A1053))</f>
        <v/>
      </c>
    </row>
    <row r="1054" ht="15" customHeight="1" s="21">
      <c r="A1054" s="34" t="n"/>
      <c r="B1054" s="30" t="n"/>
      <c r="C1054" s="30" t="n"/>
      <c r="D1054" s="30" t="n"/>
      <c r="E1054" s="33">
        <f>IF(B1054="","",IFERROR(INDEX(Productos!$B$2:$B$501,MATCH(B1054,Productos!$A$2:$A$501,0)),"¿Código?"))</f>
        <v/>
      </c>
      <c r="F1054" s="32">
        <f>IF(C1054&lt;&gt;"Venta","",D1054*IFERROR(INDEX(Productos!$D$2:$D$501,MATCH(B1054,Productos!$A$2:$A$501,0)),0))</f>
        <v/>
      </c>
      <c r="G1054" s="32">
        <f>IF(C1054&lt;&gt;"Venta","",D1054*IFERROR(INDEX(Productos!$E$2:$E$501,MATCH(B1054,Productos!$A$2:$A$501,0)),0))</f>
        <v/>
      </c>
      <c r="H1054" s="33">
        <f>IF(A1054="","",MONTH(A1054))</f>
        <v/>
      </c>
      <c r="I1054" s="33">
        <f>IF(A1054="","",YEAR(A1054))</f>
        <v/>
      </c>
    </row>
    <row r="1055" ht="15" customHeight="1" s="21">
      <c r="A1055" s="34" t="n"/>
      <c r="B1055" s="30" t="n"/>
      <c r="C1055" s="30" t="n"/>
      <c r="D1055" s="30" t="n"/>
      <c r="E1055" s="33">
        <f>IF(B1055="","",IFERROR(INDEX(Productos!$B$2:$B$501,MATCH(B1055,Productos!$A$2:$A$501,0)),"¿Código?"))</f>
        <v/>
      </c>
      <c r="F1055" s="32">
        <f>IF(C1055&lt;&gt;"Venta","",D1055*IFERROR(INDEX(Productos!$D$2:$D$501,MATCH(B1055,Productos!$A$2:$A$501,0)),0))</f>
        <v/>
      </c>
      <c r="G1055" s="32">
        <f>IF(C1055&lt;&gt;"Venta","",D1055*IFERROR(INDEX(Productos!$E$2:$E$501,MATCH(B1055,Productos!$A$2:$A$501,0)),0))</f>
        <v/>
      </c>
      <c r="H1055" s="33">
        <f>IF(A1055="","",MONTH(A1055))</f>
        <v/>
      </c>
      <c r="I1055" s="33">
        <f>IF(A1055="","",YEAR(A1055))</f>
        <v/>
      </c>
    </row>
    <row r="1056" ht="15" customHeight="1" s="21">
      <c r="A1056" s="34" t="n"/>
      <c r="B1056" s="30" t="n"/>
      <c r="C1056" s="30" t="n"/>
      <c r="D1056" s="30" t="n"/>
      <c r="E1056" s="33">
        <f>IF(B1056="","",IFERROR(INDEX(Productos!$B$2:$B$501,MATCH(B1056,Productos!$A$2:$A$501,0)),"¿Código?"))</f>
        <v/>
      </c>
      <c r="F1056" s="32">
        <f>IF(C1056&lt;&gt;"Venta","",D1056*IFERROR(INDEX(Productos!$D$2:$D$501,MATCH(B1056,Productos!$A$2:$A$501,0)),0))</f>
        <v/>
      </c>
      <c r="G1056" s="32">
        <f>IF(C1056&lt;&gt;"Venta","",D1056*IFERROR(INDEX(Productos!$E$2:$E$501,MATCH(B1056,Productos!$A$2:$A$501,0)),0))</f>
        <v/>
      </c>
      <c r="H1056" s="33">
        <f>IF(A1056="","",MONTH(A1056))</f>
        <v/>
      </c>
      <c r="I1056" s="33">
        <f>IF(A1056="","",YEAR(A1056))</f>
        <v/>
      </c>
    </row>
    <row r="1057" ht="15" customHeight="1" s="21">
      <c r="A1057" s="34" t="n"/>
      <c r="B1057" s="30" t="n"/>
      <c r="C1057" s="30" t="n"/>
      <c r="D1057" s="30" t="n"/>
      <c r="E1057" s="33">
        <f>IF(B1057="","",IFERROR(INDEX(Productos!$B$2:$B$501,MATCH(B1057,Productos!$A$2:$A$501,0)),"¿Código?"))</f>
        <v/>
      </c>
      <c r="F1057" s="32">
        <f>IF(C1057&lt;&gt;"Venta","",D1057*IFERROR(INDEX(Productos!$D$2:$D$501,MATCH(B1057,Productos!$A$2:$A$501,0)),0))</f>
        <v/>
      </c>
      <c r="G1057" s="32">
        <f>IF(C1057&lt;&gt;"Venta","",D1057*IFERROR(INDEX(Productos!$E$2:$E$501,MATCH(B1057,Productos!$A$2:$A$501,0)),0))</f>
        <v/>
      </c>
      <c r="H1057" s="33">
        <f>IF(A1057="","",MONTH(A1057))</f>
        <v/>
      </c>
      <c r="I1057" s="33">
        <f>IF(A1057="","",YEAR(A1057))</f>
        <v/>
      </c>
    </row>
    <row r="1058" ht="15" customHeight="1" s="21">
      <c r="A1058" s="34" t="n"/>
      <c r="B1058" s="30" t="n"/>
      <c r="C1058" s="30" t="n"/>
      <c r="D1058" s="30" t="n"/>
      <c r="E1058" s="33">
        <f>IF(B1058="","",IFERROR(INDEX(Productos!$B$2:$B$501,MATCH(B1058,Productos!$A$2:$A$501,0)),"¿Código?"))</f>
        <v/>
      </c>
      <c r="F1058" s="32">
        <f>IF(C1058&lt;&gt;"Venta","",D1058*IFERROR(INDEX(Productos!$D$2:$D$501,MATCH(B1058,Productos!$A$2:$A$501,0)),0))</f>
        <v/>
      </c>
      <c r="G1058" s="32">
        <f>IF(C1058&lt;&gt;"Venta","",D1058*IFERROR(INDEX(Productos!$E$2:$E$501,MATCH(B1058,Productos!$A$2:$A$501,0)),0))</f>
        <v/>
      </c>
      <c r="H1058" s="33">
        <f>IF(A1058="","",MONTH(A1058))</f>
        <v/>
      </c>
      <c r="I1058" s="33">
        <f>IF(A1058="","",YEAR(A1058))</f>
        <v/>
      </c>
    </row>
    <row r="1059" ht="15" customHeight="1" s="21">
      <c r="A1059" s="34" t="n"/>
      <c r="B1059" s="30" t="n"/>
      <c r="C1059" s="30" t="n"/>
      <c r="D1059" s="30" t="n"/>
      <c r="E1059" s="33">
        <f>IF(B1059="","",IFERROR(INDEX(Productos!$B$2:$B$501,MATCH(B1059,Productos!$A$2:$A$501,0)),"¿Código?"))</f>
        <v/>
      </c>
      <c r="F1059" s="32">
        <f>IF(C1059&lt;&gt;"Venta","",D1059*IFERROR(INDEX(Productos!$D$2:$D$501,MATCH(B1059,Productos!$A$2:$A$501,0)),0))</f>
        <v/>
      </c>
      <c r="G1059" s="32">
        <f>IF(C1059&lt;&gt;"Venta","",D1059*IFERROR(INDEX(Productos!$E$2:$E$501,MATCH(B1059,Productos!$A$2:$A$501,0)),0))</f>
        <v/>
      </c>
      <c r="H1059" s="33">
        <f>IF(A1059="","",MONTH(A1059))</f>
        <v/>
      </c>
      <c r="I1059" s="33">
        <f>IF(A1059="","",YEAR(A1059))</f>
        <v/>
      </c>
    </row>
    <row r="1060" ht="15" customHeight="1" s="21">
      <c r="A1060" s="34" t="n"/>
      <c r="B1060" s="30" t="n"/>
      <c r="C1060" s="30" t="n"/>
      <c r="D1060" s="30" t="n"/>
      <c r="E1060" s="33">
        <f>IF(B1060="","",IFERROR(INDEX(Productos!$B$2:$B$501,MATCH(B1060,Productos!$A$2:$A$501,0)),"¿Código?"))</f>
        <v/>
      </c>
      <c r="F1060" s="32">
        <f>IF(C1060&lt;&gt;"Venta","",D1060*IFERROR(INDEX(Productos!$D$2:$D$501,MATCH(B1060,Productos!$A$2:$A$501,0)),0))</f>
        <v/>
      </c>
      <c r="G1060" s="32">
        <f>IF(C1060&lt;&gt;"Venta","",D1060*IFERROR(INDEX(Productos!$E$2:$E$501,MATCH(B1060,Productos!$A$2:$A$501,0)),0))</f>
        <v/>
      </c>
      <c r="H1060" s="33">
        <f>IF(A1060="","",MONTH(A1060))</f>
        <v/>
      </c>
      <c r="I1060" s="33">
        <f>IF(A1060="","",YEAR(A1060))</f>
        <v/>
      </c>
    </row>
    <row r="1061" ht="15" customHeight="1" s="21">
      <c r="A1061" s="34" t="n"/>
      <c r="B1061" s="30" t="n"/>
      <c r="C1061" s="30" t="n"/>
      <c r="D1061" s="30" t="n"/>
      <c r="E1061" s="33">
        <f>IF(B1061="","",IFERROR(INDEX(Productos!$B$2:$B$501,MATCH(B1061,Productos!$A$2:$A$501,0)),"¿Código?"))</f>
        <v/>
      </c>
      <c r="F1061" s="32">
        <f>IF(C1061&lt;&gt;"Venta","",D1061*IFERROR(INDEX(Productos!$D$2:$D$501,MATCH(B1061,Productos!$A$2:$A$501,0)),0))</f>
        <v/>
      </c>
      <c r="G1061" s="32">
        <f>IF(C1061&lt;&gt;"Venta","",D1061*IFERROR(INDEX(Productos!$E$2:$E$501,MATCH(B1061,Productos!$A$2:$A$501,0)),0))</f>
        <v/>
      </c>
      <c r="H1061" s="33">
        <f>IF(A1061="","",MONTH(A1061))</f>
        <v/>
      </c>
      <c r="I1061" s="33">
        <f>IF(A1061="","",YEAR(A1061))</f>
        <v/>
      </c>
    </row>
    <row r="1062" ht="15" customHeight="1" s="21">
      <c r="A1062" s="34" t="n"/>
      <c r="B1062" s="30" t="n"/>
      <c r="C1062" s="30" t="n"/>
      <c r="D1062" s="30" t="n"/>
      <c r="E1062" s="33">
        <f>IF(B1062="","",IFERROR(INDEX(Productos!$B$2:$B$501,MATCH(B1062,Productos!$A$2:$A$501,0)),"¿Código?"))</f>
        <v/>
      </c>
      <c r="F1062" s="32">
        <f>IF(C1062&lt;&gt;"Venta","",D1062*IFERROR(INDEX(Productos!$D$2:$D$501,MATCH(B1062,Productos!$A$2:$A$501,0)),0))</f>
        <v/>
      </c>
      <c r="G1062" s="32">
        <f>IF(C1062&lt;&gt;"Venta","",D1062*IFERROR(INDEX(Productos!$E$2:$E$501,MATCH(B1062,Productos!$A$2:$A$501,0)),0))</f>
        <v/>
      </c>
      <c r="H1062" s="33">
        <f>IF(A1062="","",MONTH(A1062))</f>
        <v/>
      </c>
      <c r="I1062" s="33">
        <f>IF(A1062="","",YEAR(A1062))</f>
        <v/>
      </c>
    </row>
    <row r="1063" ht="15" customHeight="1" s="21">
      <c r="A1063" s="34" t="n"/>
      <c r="B1063" s="30" t="n"/>
      <c r="C1063" s="30" t="n"/>
      <c r="D1063" s="30" t="n"/>
      <c r="E1063" s="33">
        <f>IF(B1063="","",IFERROR(INDEX(Productos!$B$2:$B$501,MATCH(B1063,Productos!$A$2:$A$501,0)),"¿Código?"))</f>
        <v/>
      </c>
      <c r="F1063" s="32">
        <f>IF(C1063&lt;&gt;"Venta","",D1063*IFERROR(INDEX(Productos!$D$2:$D$501,MATCH(B1063,Productos!$A$2:$A$501,0)),0))</f>
        <v/>
      </c>
      <c r="G1063" s="32">
        <f>IF(C1063&lt;&gt;"Venta","",D1063*IFERROR(INDEX(Productos!$E$2:$E$501,MATCH(B1063,Productos!$A$2:$A$501,0)),0))</f>
        <v/>
      </c>
      <c r="H1063" s="33">
        <f>IF(A1063="","",MONTH(A1063))</f>
        <v/>
      </c>
      <c r="I1063" s="33">
        <f>IF(A1063="","",YEAR(A1063))</f>
        <v/>
      </c>
    </row>
    <row r="1064" ht="15" customHeight="1" s="21">
      <c r="A1064" s="34" t="n"/>
      <c r="B1064" s="30" t="n"/>
      <c r="C1064" s="30" t="n"/>
      <c r="D1064" s="30" t="n"/>
      <c r="E1064" s="33">
        <f>IF(B1064="","",IFERROR(INDEX(Productos!$B$2:$B$501,MATCH(B1064,Productos!$A$2:$A$501,0)),"¿Código?"))</f>
        <v/>
      </c>
      <c r="F1064" s="32">
        <f>IF(C1064&lt;&gt;"Venta","",D1064*IFERROR(INDEX(Productos!$D$2:$D$501,MATCH(B1064,Productos!$A$2:$A$501,0)),0))</f>
        <v/>
      </c>
      <c r="G1064" s="32">
        <f>IF(C1064&lt;&gt;"Venta","",D1064*IFERROR(INDEX(Productos!$E$2:$E$501,MATCH(B1064,Productos!$A$2:$A$501,0)),0))</f>
        <v/>
      </c>
      <c r="H1064" s="33">
        <f>IF(A1064="","",MONTH(A1064))</f>
        <v/>
      </c>
      <c r="I1064" s="33">
        <f>IF(A1064="","",YEAR(A1064))</f>
        <v/>
      </c>
    </row>
    <row r="1065" ht="15" customHeight="1" s="21">
      <c r="A1065" s="34" t="n"/>
      <c r="B1065" s="30" t="n"/>
      <c r="C1065" s="30" t="n"/>
      <c r="D1065" s="30" t="n"/>
      <c r="E1065" s="33">
        <f>IF(B1065="","",IFERROR(INDEX(Productos!$B$2:$B$501,MATCH(B1065,Productos!$A$2:$A$501,0)),"¿Código?"))</f>
        <v/>
      </c>
      <c r="F1065" s="32">
        <f>IF(C1065&lt;&gt;"Venta","",D1065*IFERROR(INDEX(Productos!$D$2:$D$501,MATCH(B1065,Productos!$A$2:$A$501,0)),0))</f>
        <v/>
      </c>
      <c r="G1065" s="32">
        <f>IF(C1065&lt;&gt;"Venta","",D1065*IFERROR(INDEX(Productos!$E$2:$E$501,MATCH(B1065,Productos!$A$2:$A$501,0)),0))</f>
        <v/>
      </c>
      <c r="H1065" s="33">
        <f>IF(A1065="","",MONTH(A1065))</f>
        <v/>
      </c>
      <c r="I1065" s="33">
        <f>IF(A1065="","",YEAR(A1065))</f>
        <v/>
      </c>
    </row>
    <row r="1066" ht="15" customHeight="1" s="21">
      <c r="A1066" s="34" t="n"/>
      <c r="B1066" s="30" t="n"/>
      <c r="C1066" s="30" t="n"/>
      <c r="D1066" s="30" t="n"/>
      <c r="E1066" s="33">
        <f>IF(B1066="","",IFERROR(INDEX(Productos!$B$2:$B$501,MATCH(B1066,Productos!$A$2:$A$501,0)),"¿Código?"))</f>
        <v/>
      </c>
      <c r="F1066" s="32">
        <f>IF(C1066&lt;&gt;"Venta","",D1066*IFERROR(INDEX(Productos!$D$2:$D$501,MATCH(B1066,Productos!$A$2:$A$501,0)),0))</f>
        <v/>
      </c>
      <c r="G1066" s="32">
        <f>IF(C1066&lt;&gt;"Venta","",D1066*IFERROR(INDEX(Productos!$E$2:$E$501,MATCH(B1066,Productos!$A$2:$A$501,0)),0))</f>
        <v/>
      </c>
      <c r="H1066" s="33">
        <f>IF(A1066="","",MONTH(A1066))</f>
        <v/>
      </c>
      <c r="I1066" s="33">
        <f>IF(A1066="","",YEAR(A1066))</f>
        <v/>
      </c>
    </row>
    <row r="1067" ht="15" customHeight="1" s="21">
      <c r="A1067" s="34" t="n"/>
      <c r="B1067" s="30" t="n"/>
      <c r="C1067" s="30" t="n"/>
      <c r="D1067" s="30" t="n"/>
      <c r="E1067" s="33">
        <f>IF(B1067="","",IFERROR(INDEX(Productos!$B$2:$B$501,MATCH(B1067,Productos!$A$2:$A$501,0)),"¿Código?"))</f>
        <v/>
      </c>
      <c r="F1067" s="32">
        <f>IF(C1067&lt;&gt;"Venta","",D1067*IFERROR(INDEX(Productos!$D$2:$D$501,MATCH(B1067,Productos!$A$2:$A$501,0)),0))</f>
        <v/>
      </c>
      <c r="G1067" s="32">
        <f>IF(C1067&lt;&gt;"Venta","",D1067*IFERROR(INDEX(Productos!$E$2:$E$501,MATCH(B1067,Productos!$A$2:$A$501,0)),0))</f>
        <v/>
      </c>
      <c r="H1067" s="33">
        <f>IF(A1067="","",MONTH(A1067))</f>
        <v/>
      </c>
      <c r="I1067" s="33">
        <f>IF(A1067="","",YEAR(A1067))</f>
        <v/>
      </c>
    </row>
    <row r="1068" ht="15" customHeight="1" s="21">
      <c r="A1068" s="34" t="n"/>
      <c r="B1068" s="30" t="n"/>
      <c r="C1068" s="30" t="n"/>
      <c r="D1068" s="30" t="n"/>
      <c r="E1068" s="33">
        <f>IF(B1068="","",IFERROR(INDEX(Productos!$B$2:$B$501,MATCH(B1068,Productos!$A$2:$A$501,0)),"¿Código?"))</f>
        <v/>
      </c>
      <c r="F1068" s="32">
        <f>IF(C1068&lt;&gt;"Venta","",D1068*IFERROR(INDEX(Productos!$D$2:$D$501,MATCH(B1068,Productos!$A$2:$A$501,0)),0))</f>
        <v/>
      </c>
      <c r="G1068" s="32">
        <f>IF(C1068&lt;&gt;"Venta","",D1068*IFERROR(INDEX(Productos!$E$2:$E$501,MATCH(B1068,Productos!$A$2:$A$501,0)),0))</f>
        <v/>
      </c>
      <c r="H1068" s="33">
        <f>IF(A1068="","",MONTH(A1068))</f>
        <v/>
      </c>
      <c r="I1068" s="33">
        <f>IF(A1068="","",YEAR(A1068))</f>
        <v/>
      </c>
    </row>
    <row r="1069" ht="15" customHeight="1" s="21">
      <c r="A1069" s="34" t="n"/>
      <c r="B1069" s="30" t="n"/>
      <c r="C1069" s="30" t="n"/>
      <c r="D1069" s="30" t="n"/>
      <c r="E1069" s="33">
        <f>IF(B1069="","",IFERROR(INDEX(Productos!$B$2:$B$501,MATCH(B1069,Productos!$A$2:$A$501,0)),"¿Código?"))</f>
        <v/>
      </c>
      <c r="F1069" s="32">
        <f>IF(C1069&lt;&gt;"Venta","",D1069*IFERROR(INDEX(Productos!$D$2:$D$501,MATCH(B1069,Productos!$A$2:$A$501,0)),0))</f>
        <v/>
      </c>
      <c r="G1069" s="32">
        <f>IF(C1069&lt;&gt;"Venta","",D1069*IFERROR(INDEX(Productos!$E$2:$E$501,MATCH(B1069,Productos!$A$2:$A$501,0)),0))</f>
        <v/>
      </c>
      <c r="H1069" s="33">
        <f>IF(A1069="","",MONTH(A1069))</f>
        <v/>
      </c>
      <c r="I1069" s="33">
        <f>IF(A1069="","",YEAR(A1069))</f>
        <v/>
      </c>
    </row>
    <row r="1070" ht="15" customHeight="1" s="21">
      <c r="A1070" s="34" t="n"/>
      <c r="B1070" s="30" t="n"/>
      <c r="C1070" s="30" t="n"/>
      <c r="D1070" s="30" t="n"/>
      <c r="E1070" s="33">
        <f>IF(B1070="","",IFERROR(INDEX(Productos!$B$2:$B$501,MATCH(B1070,Productos!$A$2:$A$501,0)),"¿Código?"))</f>
        <v/>
      </c>
      <c r="F1070" s="32">
        <f>IF(C1070&lt;&gt;"Venta","",D1070*IFERROR(INDEX(Productos!$D$2:$D$501,MATCH(B1070,Productos!$A$2:$A$501,0)),0))</f>
        <v/>
      </c>
      <c r="G1070" s="32">
        <f>IF(C1070&lt;&gt;"Venta","",D1070*IFERROR(INDEX(Productos!$E$2:$E$501,MATCH(B1070,Productos!$A$2:$A$501,0)),0))</f>
        <v/>
      </c>
      <c r="H1070" s="33">
        <f>IF(A1070="","",MONTH(A1070))</f>
        <v/>
      </c>
      <c r="I1070" s="33">
        <f>IF(A1070="","",YEAR(A1070))</f>
        <v/>
      </c>
    </row>
    <row r="1071" ht="15" customHeight="1" s="21">
      <c r="A1071" s="34" t="n"/>
      <c r="B1071" s="30" t="n"/>
      <c r="C1071" s="30" t="n"/>
      <c r="D1071" s="30" t="n"/>
      <c r="E1071" s="33">
        <f>IF(B1071="","",IFERROR(INDEX(Productos!$B$2:$B$501,MATCH(B1071,Productos!$A$2:$A$501,0)),"¿Código?"))</f>
        <v/>
      </c>
      <c r="F1071" s="32">
        <f>IF(C1071&lt;&gt;"Venta","",D1071*IFERROR(INDEX(Productos!$D$2:$D$501,MATCH(B1071,Productos!$A$2:$A$501,0)),0))</f>
        <v/>
      </c>
      <c r="G1071" s="32">
        <f>IF(C1071&lt;&gt;"Venta","",D1071*IFERROR(INDEX(Productos!$E$2:$E$501,MATCH(B1071,Productos!$A$2:$A$501,0)),0))</f>
        <v/>
      </c>
      <c r="H1071" s="33">
        <f>IF(A1071="","",MONTH(A1071))</f>
        <v/>
      </c>
      <c r="I1071" s="33">
        <f>IF(A1071="","",YEAR(A1071))</f>
        <v/>
      </c>
    </row>
    <row r="1072" ht="15" customHeight="1" s="21">
      <c r="A1072" s="34" t="n"/>
      <c r="B1072" s="30" t="n"/>
      <c r="C1072" s="30" t="n"/>
      <c r="D1072" s="30" t="n"/>
      <c r="E1072" s="33">
        <f>IF(B1072="","",IFERROR(INDEX(Productos!$B$2:$B$501,MATCH(B1072,Productos!$A$2:$A$501,0)),"¿Código?"))</f>
        <v/>
      </c>
      <c r="F1072" s="32">
        <f>IF(C1072&lt;&gt;"Venta","",D1072*IFERROR(INDEX(Productos!$D$2:$D$501,MATCH(B1072,Productos!$A$2:$A$501,0)),0))</f>
        <v/>
      </c>
      <c r="G1072" s="32">
        <f>IF(C1072&lt;&gt;"Venta","",D1072*IFERROR(INDEX(Productos!$E$2:$E$501,MATCH(B1072,Productos!$A$2:$A$501,0)),0))</f>
        <v/>
      </c>
      <c r="H1072" s="33">
        <f>IF(A1072="","",MONTH(A1072))</f>
        <v/>
      </c>
      <c r="I1072" s="33">
        <f>IF(A1072="","",YEAR(A1072))</f>
        <v/>
      </c>
    </row>
    <row r="1073" ht="15" customHeight="1" s="21">
      <c r="A1073" s="34" t="n"/>
      <c r="B1073" s="30" t="n"/>
      <c r="C1073" s="30" t="n"/>
      <c r="D1073" s="30" t="n"/>
      <c r="E1073" s="33">
        <f>IF(B1073="","",IFERROR(INDEX(Productos!$B$2:$B$501,MATCH(B1073,Productos!$A$2:$A$501,0)),"¿Código?"))</f>
        <v/>
      </c>
      <c r="F1073" s="32">
        <f>IF(C1073&lt;&gt;"Venta","",D1073*IFERROR(INDEX(Productos!$D$2:$D$501,MATCH(B1073,Productos!$A$2:$A$501,0)),0))</f>
        <v/>
      </c>
      <c r="G1073" s="32">
        <f>IF(C1073&lt;&gt;"Venta","",D1073*IFERROR(INDEX(Productos!$E$2:$E$501,MATCH(B1073,Productos!$A$2:$A$501,0)),0))</f>
        <v/>
      </c>
      <c r="H1073" s="33">
        <f>IF(A1073="","",MONTH(A1073))</f>
        <v/>
      </c>
      <c r="I1073" s="33">
        <f>IF(A1073="","",YEAR(A1073))</f>
        <v/>
      </c>
    </row>
    <row r="1074" ht="15" customHeight="1" s="21">
      <c r="A1074" s="34" t="n"/>
      <c r="B1074" s="30" t="n"/>
      <c r="C1074" s="30" t="n"/>
      <c r="D1074" s="30" t="n"/>
      <c r="E1074" s="33">
        <f>IF(B1074="","",IFERROR(INDEX(Productos!$B$2:$B$501,MATCH(B1074,Productos!$A$2:$A$501,0)),"¿Código?"))</f>
        <v/>
      </c>
      <c r="F1074" s="32">
        <f>IF(C1074&lt;&gt;"Venta","",D1074*IFERROR(INDEX(Productos!$D$2:$D$501,MATCH(B1074,Productos!$A$2:$A$501,0)),0))</f>
        <v/>
      </c>
      <c r="G1074" s="32">
        <f>IF(C1074&lt;&gt;"Venta","",D1074*IFERROR(INDEX(Productos!$E$2:$E$501,MATCH(B1074,Productos!$A$2:$A$501,0)),0))</f>
        <v/>
      </c>
      <c r="H1074" s="33">
        <f>IF(A1074="","",MONTH(A1074))</f>
        <v/>
      </c>
      <c r="I1074" s="33">
        <f>IF(A1074="","",YEAR(A1074))</f>
        <v/>
      </c>
    </row>
    <row r="1075" ht="15" customHeight="1" s="21">
      <c r="A1075" s="34" t="n"/>
      <c r="B1075" s="30" t="n"/>
      <c r="C1075" s="30" t="n"/>
      <c r="D1075" s="30" t="n"/>
      <c r="E1075" s="33">
        <f>IF(B1075="","",IFERROR(INDEX(Productos!$B$2:$B$501,MATCH(B1075,Productos!$A$2:$A$501,0)),"¿Código?"))</f>
        <v/>
      </c>
      <c r="F1075" s="32">
        <f>IF(C1075&lt;&gt;"Venta","",D1075*IFERROR(INDEX(Productos!$D$2:$D$501,MATCH(B1075,Productos!$A$2:$A$501,0)),0))</f>
        <v/>
      </c>
      <c r="G1075" s="32">
        <f>IF(C1075&lt;&gt;"Venta","",D1075*IFERROR(INDEX(Productos!$E$2:$E$501,MATCH(B1075,Productos!$A$2:$A$501,0)),0))</f>
        <v/>
      </c>
      <c r="H1075" s="33">
        <f>IF(A1075="","",MONTH(A1075))</f>
        <v/>
      </c>
      <c r="I1075" s="33">
        <f>IF(A1075="","",YEAR(A1075))</f>
        <v/>
      </c>
    </row>
    <row r="1076" ht="15" customHeight="1" s="21">
      <c r="A1076" s="34" t="n"/>
      <c r="B1076" s="30" t="n"/>
      <c r="C1076" s="30" t="n"/>
      <c r="D1076" s="30" t="n"/>
      <c r="E1076" s="33">
        <f>IF(B1076="","",IFERROR(INDEX(Productos!$B$2:$B$501,MATCH(B1076,Productos!$A$2:$A$501,0)),"¿Código?"))</f>
        <v/>
      </c>
      <c r="F1076" s="32">
        <f>IF(C1076&lt;&gt;"Venta","",D1076*IFERROR(INDEX(Productos!$D$2:$D$501,MATCH(B1076,Productos!$A$2:$A$501,0)),0))</f>
        <v/>
      </c>
      <c r="G1076" s="32">
        <f>IF(C1076&lt;&gt;"Venta","",D1076*IFERROR(INDEX(Productos!$E$2:$E$501,MATCH(B1076,Productos!$A$2:$A$501,0)),0))</f>
        <v/>
      </c>
      <c r="H1076" s="33">
        <f>IF(A1076="","",MONTH(A1076))</f>
        <v/>
      </c>
      <c r="I1076" s="33">
        <f>IF(A1076="","",YEAR(A1076))</f>
        <v/>
      </c>
    </row>
    <row r="1077" ht="15" customHeight="1" s="21">
      <c r="A1077" s="34" t="n"/>
      <c r="B1077" s="30" t="n"/>
      <c r="C1077" s="30" t="n"/>
      <c r="D1077" s="30" t="n"/>
      <c r="E1077" s="33">
        <f>IF(B1077="","",IFERROR(INDEX(Productos!$B$2:$B$501,MATCH(B1077,Productos!$A$2:$A$501,0)),"¿Código?"))</f>
        <v/>
      </c>
      <c r="F1077" s="32">
        <f>IF(C1077&lt;&gt;"Venta","",D1077*IFERROR(INDEX(Productos!$D$2:$D$501,MATCH(B1077,Productos!$A$2:$A$501,0)),0))</f>
        <v/>
      </c>
      <c r="G1077" s="32">
        <f>IF(C1077&lt;&gt;"Venta","",D1077*IFERROR(INDEX(Productos!$E$2:$E$501,MATCH(B1077,Productos!$A$2:$A$501,0)),0))</f>
        <v/>
      </c>
      <c r="H1077" s="33">
        <f>IF(A1077="","",MONTH(A1077))</f>
        <v/>
      </c>
      <c r="I1077" s="33">
        <f>IF(A1077="","",YEAR(A1077))</f>
        <v/>
      </c>
    </row>
    <row r="1078" ht="15" customHeight="1" s="21">
      <c r="A1078" s="34" t="n"/>
      <c r="B1078" s="30" t="n"/>
      <c r="C1078" s="30" t="n"/>
      <c r="D1078" s="30" t="n"/>
      <c r="E1078" s="33">
        <f>IF(B1078="","",IFERROR(INDEX(Productos!$B$2:$B$501,MATCH(B1078,Productos!$A$2:$A$501,0)),"¿Código?"))</f>
        <v/>
      </c>
      <c r="F1078" s="32">
        <f>IF(C1078&lt;&gt;"Venta","",D1078*IFERROR(INDEX(Productos!$D$2:$D$501,MATCH(B1078,Productos!$A$2:$A$501,0)),0))</f>
        <v/>
      </c>
      <c r="G1078" s="32">
        <f>IF(C1078&lt;&gt;"Venta","",D1078*IFERROR(INDEX(Productos!$E$2:$E$501,MATCH(B1078,Productos!$A$2:$A$501,0)),0))</f>
        <v/>
      </c>
      <c r="H1078" s="33">
        <f>IF(A1078="","",MONTH(A1078))</f>
        <v/>
      </c>
      <c r="I1078" s="33">
        <f>IF(A1078="","",YEAR(A1078))</f>
        <v/>
      </c>
    </row>
    <row r="1079" ht="15" customHeight="1" s="21">
      <c r="A1079" s="34" t="n"/>
      <c r="B1079" s="30" t="n"/>
      <c r="C1079" s="30" t="n"/>
      <c r="D1079" s="30" t="n"/>
      <c r="E1079" s="33">
        <f>IF(B1079="","",IFERROR(INDEX(Productos!$B$2:$B$501,MATCH(B1079,Productos!$A$2:$A$501,0)),"¿Código?"))</f>
        <v/>
      </c>
      <c r="F1079" s="32">
        <f>IF(C1079&lt;&gt;"Venta","",D1079*IFERROR(INDEX(Productos!$D$2:$D$501,MATCH(B1079,Productos!$A$2:$A$501,0)),0))</f>
        <v/>
      </c>
      <c r="G1079" s="32">
        <f>IF(C1079&lt;&gt;"Venta","",D1079*IFERROR(INDEX(Productos!$E$2:$E$501,MATCH(B1079,Productos!$A$2:$A$501,0)),0))</f>
        <v/>
      </c>
      <c r="H1079" s="33">
        <f>IF(A1079="","",MONTH(A1079))</f>
        <v/>
      </c>
      <c r="I1079" s="33">
        <f>IF(A1079="","",YEAR(A1079))</f>
        <v/>
      </c>
    </row>
    <row r="1080" ht="15" customHeight="1" s="21">
      <c r="A1080" s="34" t="n"/>
      <c r="B1080" s="30" t="n"/>
      <c r="C1080" s="30" t="n"/>
      <c r="D1080" s="30" t="n"/>
      <c r="E1080" s="33">
        <f>IF(B1080="","",IFERROR(INDEX(Productos!$B$2:$B$501,MATCH(B1080,Productos!$A$2:$A$501,0)),"¿Código?"))</f>
        <v/>
      </c>
      <c r="F1080" s="32">
        <f>IF(C1080&lt;&gt;"Venta","",D1080*IFERROR(INDEX(Productos!$D$2:$D$501,MATCH(B1080,Productos!$A$2:$A$501,0)),0))</f>
        <v/>
      </c>
      <c r="G1080" s="32">
        <f>IF(C1080&lt;&gt;"Venta","",D1080*IFERROR(INDEX(Productos!$E$2:$E$501,MATCH(B1080,Productos!$A$2:$A$501,0)),0))</f>
        <v/>
      </c>
      <c r="H1080" s="33">
        <f>IF(A1080="","",MONTH(A1080))</f>
        <v/>
      </c>
      <c r="I1080" s="33">
        <f>IF(A1080="","",YEAR(A1080))</f>
        <v/>
      </c>
    </row>
    <row r="1081" ht="15" customHeight="1" s="21">
      <c r="A1081" s="34" t="n"/>
      <c r="B1081" s="30" t="n"/>
      <c r="C1081" s="30" t="n"/>
      <c r="D1081" s="30" t="n"/>
      <c r="E1081" s="33">
        <f>IF(B1081="","",IFERROR(INDEX(Productos!$B$2:$B$501,MATCH(B1081,Productos!$A$2:$A$501,0)),"¿Código?"))</f>
        <v/>
      </c>
      <c r="F1081" s="32">
        <f>IF(C1081&lt;&gt;"Venta","",D1081*IFERROR(INDEX(Productos!$D$2:$D$501,MATCH(B1081,Productos!$A$2:$A$501,0)),0))</f>
        <v/>
      </c>
      <c r="G1081" s="32">
        <f>IF(C1081&lt;&gt;"Venta","",D1081*IFERROR(INDEX(Productos!$E$2:$E$501,MATCH(B1081,Productos!$A$2:$A$501,0)),0))</f>
        <v/>
      </c>
      <c r="H1081" s="33">
        <f>IF(A1081="","",MONTH(A1081))</f>
        <v/>
      </c>
      <c r="I1081" s="33">
        <f>IF(A1081="","",YEAR(A1081))</f>
        <v/>
      </c>
    </row>
    <row r="1082" ht="15" customHeight="1" s="21">
      <c r="A1082" s="34" t="n"/>
      <c r="B1082" s="30" t="n"/>
      <c r="C1082" s="30" t="n"/>
      <c r="D1082" s="30" t="n"/>
      <c r="E1082" s="33">
        <f>IF(B1082="","",IFERROR(INDEX(Productos!$B$2:$B$501,MATCH(B1082,Productos!$A$2:$A$501,0)),"¿Código?"))</f>
        <v/>
      </c>
      <c r="F1082" s="32">
        <f>IF(C1082&lt;&gt;"Venta","",D1082*IFERROR(INDEX(Productos!$D$2:$D$501,MATCH(B1082,Productos!$A$2:$A$501,0)),0))</f>
        <v/>
      </c>
      <c r="G1082" s="32">
        <f>IF(C1082&lt;&gt;"Venta","",D1082*IFERROR(INDEX(Productos!$E$2:$E$501,MATCH(B1082,Productos!$A$2:$A$501,0)),0))</f>
        <v/>
      </c>
      <c r="H1082" s="33">
        <f>IF(A1082="","",MONTH(A1082))</f>
        <v/>
      </c>
      <c r="I1082" s="33">
        <f>IF(A1082="","",YEAR(A1082))</f>
        <v/>
      </c>
    </row>
    <row r="1083" ht="15" customHeight="1" s="21">
      <c r="A1083" s="34" t="n"/>
      <c r="B1083" s="30" t="n"/>
      <c r="C1083" s="30" t="n"/>
      <c r="D1083" s="30" t="n"/>
      <c r="E1083" s="33">
        <f>IF(B1083="","",IFERROR(INDEX(Productos!$B$2:$B$501,MATCH(B1083,Productos!$A$2:$A$501,0)),"¿Código?"))</f>
        <v/>
      </c>
      <c r="F1083" s="32">
        <f>IF(C1083&lt;&gt;"Venta","",D1083*IFERROR(INDEX(Productos!$D$2:$D$501,MATCH(B1083,Productos!$A$2:$A$501,0)),0))</f>
        <v/>
      </c>
      <c r="G1083" s="32">
        <f>IF(C1083&lt;&gt;"Venta","",D1083*IFERROR(INDEX(Productos!$E$2:$E$501,MATCH(B1083,Productos!$A$2:$A$501,0)),0))</f>
        <v/>
      </c>
      <c r="H1083" s="33">
        <f>IF(A1083="","",MONTH(A1083))</f>
        <v/>
      </c>
      <c r="I1083" s="33">
        <f>IF(A1083="","",YEAR(A1083))</f>
        <v/>
      </c>
    </row>
    <row r="1084" ht="15" customHeight="1" s="21">
      <c r="A1084" s="34" t="n"/>
      <c r="B1084" s="30" t="n"/>
      <c r="C1084" s="30" t="n"/>
      <c r="D1084" s="30" t="n"/>
      <c r="E1084" s="33">
        <f>IF(B1084="","",IFERROR(INDEX(Productos!$B$2:$B$501,MATCH(B1084,Productos!$A$2:$A$501,0)),"¿Código?"))</f>
        <v/>
      </c>
      <c r="F1084" s="32">
        <f>IF(C1084&lt;&gt;"Venta","",D1084*IFERROR(INDEX(Productos!$D$2:$D$501,MATCH(B1084,Productos!$A$2:$A$501,0)),0))</f>
        <v/>
      </c>
      <c r="G1084" s="32">
        <f>IF(C1084&lt;&gt;"Venta","",D1084*IFERROR(INDEX(Productos!$E$2:$E$501,MATCH(B1084,Productos!$A$2:$A$501,0)),0))</f>
        <v/>
      </c>
      <c r="H1084" s="33">
        <f>IF(A1084="","",MONTH(A1084))</f>
        <v/>
      </c>
      <c r="I1084" s="33">
        <f>IF(A1084="","",YEAR(A1084))</f>
        <v/>
      </c>
    </row>
    <row r="1085" ht="15" customHeight="1" s="21">
      <c r="A1085" s="34" t="n"/>
      <c r="B1085" s="30" t="n"/>
      <c r="C1085" s="30" t="n"/>
      <c r="D1085" s="30" t="n"/>
      <c r="E1085" s="33">
        <f>IF(B1085="","",IFERROR(INDEX(Productos!$B$2:$B$501,MATCH(B1085,Productos!$A$2:$A$501,0)),"¿Código?"))</f>
        <v/>
      </c>
      <c r="F1085" s="32">
        <f>IF(C1085&lt;&gt;"Venta","",D1085*IFERROR(INDEX(Productos!$D$2:$D$501,MATCH(B1085,Productos!$A$2:$A$501,0)),0))</f>
        <v/>
      </c>
      <c r="G1085" s="32">
        <f>IF(C1085&lt;&gt;"Venta","",D1085*IFERROR(INDEX(Productos!$E$2:$E$501,MATCH(B1085,Productos!$A$2:$A$501,0)),0))</f>
        <v/>
      </c>
      <c r="H1085" s="33">
        <f>IF(A1085="","",MONTH(A1085))</f>
        <v/>
      </c>
      <c r="I1085" s="33">
        <f>IF(A1085="","",YEAR(A1085))</f>
        <v/>
      </c>
    </row>
    <row r="1086" ht="15" customHeight="1" s="21">
      <c r="A1086" s="34" t="n"/>
      <c r="B1086" s="30" t="n"/>
      <c r="C1086" s="30" t="n"/>
      <c r="D1086" s="30" t="n"/>
      <c r="E1086" s="33">
        <f>IF(B1086="","",IFERROR(INDEX(Productos!$B$2:$B$501,MATCH(B1086,Productos!$A$2:$A$501,0)),"¿Código?"))</f>
        <v/>
      </c>
      <c r="F1086" s="32">
        <f>IF(C1086&lt;&gt;"Venta","",D1086*IFERROR(INDEX(Productos!$D$2:$D$501,MATCH(B1086,Productos!$A$2:$A$501,0)),0))</f>
        <v/>
      </c>
      <c r="G1086" s="32">
        <f>IF(C1086&lt;&gt;"Venta","",D1086*IFERROR(INDEX(Productos!$E$2:$E$501,MATCH(B1086,Productos!$A$2:$A$501,0)),0))</f>
        <v/>
      </c>
      <c r="H1086" s="33">
        <f>IF(A1086="","",MONTH(A1086))</f>
        <v/>
      </c>
      <c r="I1086" s="33">
        <f>IF(A1086="","",YEAR(A1086))</f>
        <v/>
      </c>
    </row>
    <row r="1087" ht="15" customHeight="1" s="21">
      <c r="A1087" s="34" t="n"/>
      <c r="B1087" s="30" t="n"/>
      <c r="C1087" s="30" t="n"/>
      <c r="D1087" s="30" t="n"/>
      <c r="E1087" s="33">
        <f>IF(B1087="","",IFERROR(INDEX(Productos!$B$2:$B$501,MATCH(B1087,Productos!$A$2:$A$501,0)),"¿Código?"))</f>
        <v/>
      </c>
      <c r="F1087" s="32">
        <f>IF(C1087&lt;&gt;"Venta","",D1087*IFERROR(INDEX(Productos!$D$2:$D$501,MATCH(B1087,Productos!$A$2:$A$501,0)),0))</f>
        <v/>
      </c>
      <c r="G1087" s="32">
        <f>IF(C1087&lt;&gt;"Venta","",D1087*IFERROR(INDEX(Productos!$E$2:$E$501,MATCH(B1087,Productos!$A$2:$A$501,0)),0))</f>
        <v/>
      </c>
      <c r="H1087" s="33">
        <f>IF(A1087="","",MONTH(A1087))</f>
        <v/>
      </c>
      <c r="I1087" s="33">
        <f>IF(A1087="","",YEAR(A1087))</f>
        <v/>
      </c>
    </row>
    <row r="1088" ht="15" customHeight="1" s="21">
      <c r="A1088" s="34" t="n"/>
      <c r="B1088" s="30" t="n"/>
      <c r="C1088" s="30" t="n"/>
      <c r="D1088" s="30" t="n"/>
      <c r="E1088" s="33">
        <f>IF(B1088="","",IFERROR(INDEX(Productos!$B$2:$B$501,MATCH(B1088,Productos!$A$2:$A$501,0)),"¿Código?"))</f>
        <v/>
      </c>
      <c r="F1088" s="32">
        <f>IF(C1088&lt;&gt;"Venta","",D1088*IFERROR(INDEX(Productos!$D$2:$D$501,MATCH(B1088,Productos!$A$2:$A$501,0)),0))</f>
        <v/>
      </c>
      <c r="G1088" s="32">
        <f>IF(C1088&lt;&gt;"Venta","",D1088*IFERROR(INDEX(Productos!$E$2:$E$501,MATCH(B1088,Productos!$A$2:$A$501,0)),0))</f>
        <v/>
      </c>
      <c r="H1088" s="33">
        <f>IF(A1088="","",MONTH(A1088))</f>
        <v/>
      </c>
      <c r="I1088" s="33">
        <f>IF(A1088="","",YEAR(A1088))</f>
        <v/>
      </c>
    </row>
    <row r="1089" ht="15" customHeight="1" s="21">
      <c r="A1089" s="34" t="n"/>
      <c r="B1089" s="30" t="n"/>
      <c r="C1089" s="30" t="n"/>
      <c r="D1089" s="30" t="n"/>
      <c r="E1089" s="33">
        <f>IF(B1089="","",IFERROR(INDEX(Productos!$B$2:$B$501,MATCH(B1089,Productos!$A$2:$A$501,0)),"¿Código?"))</f>
        <v/>
      </c>
      <c r="F1089" s="32">
        <f>IF(C1089&lt;&gt;"Venta","",D1089*IFERROR(INDEX(Productos!$D$2:$D$501,MATCH(B1089,Productos!$A$2:$A$501,0)),0))</f>
        <v/>
      </c>
      <c r="G1089" s="32">
        <f>IF(C1089&lt;&gt;"Venta","",D1089*IFERROR(INDEX(Productos!$E$2:$E$501,MATCH(B1089,Productos!$A$2:$A$501,0)),0))</f>
        <v/>
      </c>
      <c r="H1089" s="33">
        <f>IF(A1089="","",MONTH(A1089))</f>
        <v/>
      </c>
      <c r="I1089" s="33">
        <f>IF(A1089="","",YEAR(A1089))</f>
        <v/>
      </c>
    </row>
    <row r="1090" ht="15" customHeight="1" s="21">
      <c r="A1090" s="34" t="n"/>
      <c r="B1090" s="30" t="n"/>
      <c r="C1090" s="30" t="n"/>
      <c r="D1090" s="30" t="n"/>
      <c r="E1090" s="33">
        <f>IF(B1090="","",IFERROR(INDEX(Productos!$B$2:$B$501,MATCH(B1090,Productos!$A$2:$A$501,0)),"¿Código?"))</f>
        <v/>
      </c>
      <c r="F1090" s="32">
        <f>IF(C1090&lt;&gt;"Venta","",D1090*IFERROR(INDEX(Productos!$D$2:$D$501,MATCH(B1090,Productos!$A$2:$A$501,0)),0))</f>
        <v/>
      </c>
      <c r="G1090" s="32">
        <f>IF(C1090&lt;&gt;"Venta","",D1090*IFERROR(INDEX(Productos!$E$2:$E$501,MATCH(B1090,Productos!$A$2:$A$501,0)),0))</f>
        <v/>
      </c>
      <c r="H1090" s="33">
        <f>IF(A1090="","",MONTH(A1090))</f>
        <v/>
      </c>
      <c r="I1090" s="33">
        <f>IF(A1090="","",YEAR(A1090))</f>
        <v/>
      </c>
    </row>
    <row r="1091" ht="15" customHeight="1" s="21">
      <c r="A1091" s="34" t="n"/>
      <c r="B1091" s="30" t="n"/>
      <c r="C1091" s="30" t="n"/>
      <c r="D1091" s="30" t="n"/>
      <c r="E1091" s="33">
        <f>IF(B1091="","",IFERROR(INDEX(Productos!$B$2:$B$501,MATCH(B1091,Productos!$A$2:$A$501,0)),"¿Código?"))</f>
        <v/>
      </c>
      <c r="F1091" s="32">
        <f>IF(C1091&lt;&gt;"Venta","",D1091*IFERROR(INDEX(Productos!$D$2:$D$501,MATCH(B1091,Productos!$A$2:$A$501,0)),0))</f>
        <v/>
      </c>
      <c r="G1091" s="32">
        <f>IF(C1091&lt;&gt;"Venta","",D1091*IFERROR(INDEX(Productos!$E$2:$E$501,MATCH(B1091,Productos!$A$2:$A$501,0)),0))</f>
        <v/>
      </c>
      <c r="H1091" s="33">
        <f>IF(A1091="","",MONTH(A1091))</f>
        <v/>
      </c>
      <c r="I1091" s="33">
        <f>IF(A1091="","",YEAR(A1091))</f>
        <v/>
      </c>
    </row>
    <row r="1092" ht="15" customHeight="1" s="21">
      <c r="A1092" s="34" t="n"/>
      <c r="B1092" s="30" t="n"/>
      <c r="C1092" s="30" t="n"/>
      <c r="D1092" s="30" t="n"/>
      <c r="E1092" s="33">
        <f>IF(B1092="","",IFERROR(INDEX(Productos!$B$2:$B$501,MATCH(B1092,Productos!$A$2:$A$501,0)),"¿Código?"))</f>
        <v/>
      </c>
      <c r="F1092" s="32">
        <f>IF(C1092&lt;&gt;"Venta","",D1092*IFERROR(INDEX(Productos!$D$2:$D$501,MATCH(B1092,Productos!$A$2:$A$501,0)),0))</f>
        <v/>
      </c>
      <c r="G1092" s="32">
        <f>IF(C1092&lt;&gt;"Venta","",D1092*IFERROR(INDEX(Productos!$E$2:$E$501,MATCH(B1092,Productos!$A$2:$A$501,0)),0))</f>
        <v/>
      </c>
      <c r="H1092" s="33">
        <f>IF(A1092="","",MONTH(A1092))</f>
        <v/>
      </c>
      <c r="I1092" s="33">
        <f>IF(A1092="","",YEAR(A1092))</f>
        <v/>
      </c>
    </row>
    <row r="1093" ht="15" customHeight="1" s="21">
      <c r="A1093" s="34" t="n"/>
      <c r="B1093" s="30" t="n"/>
      <c r="C1093" s="30" t="n"/>
      <c r="D1093" s="30" t="n"/>
      <c r="E1093" s="33">
        <f>IF(B1093="","",IFERROR(INDEX(Productos!$B$2:$B$501,MATCH(B1093,Productos!$A$2:$A$501,0)),"¿Código?"))</f>
        <v/>
      </c>
      <c r="F1093" s="32">
        <f>IF(C1093&lt;&gt;"Venta","",D1093*IFERROR(INDEX(Productos!$D$2:$D$501,MATCH(B1093,Productos!$A$2:$A$501,0)),0))</f>
        <v/>
      </c>
      <c r="G1093" s="32">
        <f>IF(C1093&lt;&gt;"Venta","",D1093*IFERROR(INDEX(Productos!$E$2:$E$501,MATCH(B1093,Productos!$A$2:$A$501,0)),0))</f>
        <v/>
      </c>
      <c r="H1093" s="33">
        <f>IF(A1093="","",MONTH(A1093))</f>
        <v/>
      </c>
      <c r="I1093" s="33">
        <f>IF(A1093="","",YEAR(A1093))</f>
        <v/>
      </c>
    </row>
    <row r="1094" ht="15" customHeight="1" s="21">
      <c r="A1094" s="34" t="n"/>
      <c r="B1094" s="30" t="n"/>
      <c r="C1094" s="30" t="n"/>
      <c r="D1094" s="30" t="n"/>
      <c r="E1094" s="33">
        <f>IF(B1094="","",IFERROR(INDEX(Productos!$B$2:$B$501,MATCH(B1094,Productos!$A$2:$A$501,0)),"¿Código?"))</f>
        <v/>
      </c>
      <c r="F1094" s="32">
        <f>IF(C1094&lt;&gt;"Venta","",D1094*IFERROR(INDEX(Productos!$D$2:$D$501,MATCH(B1094,Productos!$A$2:$A$501,0)),0))</f>
        <v/>
      </c>
      <c r="G1094" s="32">
        <f>IF(C1094&lt;&gt;"Venta","",D1094*IFERROR(INDEX(Productos!$E$2:$E$501,MATCH(B1094,Productos!$A$2:$A$501,0)),0))</f>
        <v/>
      </c>
      <c r="H1094" s="33">
        <f>IF(A1094="","",MONTH(A1094))</f>
        <v/>
      </c>
      <c r="I1094" s="33">
        <f>IF(A1094="","",YEAR(A1094))</f>
        <v/>
      </c>
    </row>
    <row r="1095" ht="15" customHeight="1" s="21">
      <c r="A1095" s="34" t="n"/>
      <c r="B1095" s="30" t="n"/>
      <c r="C1095" s="30" t="n"/>
      <c r="D1095" s="30" t="n"/>
      <c r="E1095" s="33">
        <f>IF(B1095="","",IFERROR(INDEX(Productos!$B$2:$B$501,MATCH(B1095,Productos!$A$2:$A$501,0)),"¿Código?"))</f>
        <v/>
      </c>
      <c r="F1095" s="32">
        <f>IF(C1095&lt;&gt;"Venta","",D1095*IFERROR(INDEX(Productos!$D$2:$D$501,MATCH(B1095,Productos!$A$2:$A$501,0)),0))</f>
        <v/>
      </c>
      <c r="G1095" s="32">
        <f>IF(C1095&lt;&gt;"Venta","",D1095*IFERROR(INDEX(Productos!$E$2:$E$501,MATCH(B1095,Productos!$A$2:$A$501,0)),0))</f>
        <v/>
      </c>
      <c r="H1095" s="33">
        <f>IF(A1095="","",MONTH(A1095))</f>
        <v/>
      </c>
      <c r="I1095" s="33">
        <f>IF(A1095="","",YEAR(A1095))</f>
        <v/>
      </c>
    </row>
    <row r="1096" ht="15" customHeight="1" s="21">
      <c r="A1096" s="34" t="n"/>
      <c r="B1096" s="30" t="n"/>
      <c r="C1096" s="30" t="n"/>
      <c r="D1096" s="30" t="n"/>
      <c r="E1096" s="33">
        <f>IF(B1096="","",IFERROR(INDEX(Productos!$B$2:$B$501,MATCH(B1096,Productos!$A$2:$A$501,0)),"¿Código?"))</f>
        <v/>
      </c>
      <c r="F1096" s="32">
        <f>IF(C1096&lt;&gt;"Venta","",D1096*IFERROR(INDEX(Productos!$D$2:$D$501,MATCH(B1096,Productos!$A$2:$A$501,0)),0))</f>
        <v/>
      </c>
      <c r="G1096" s="32">
        <f>IF(C1096&lt;&gt;"Venta","",D1096*IFERROR(INDEX(Productos!$E$2:$E$501,MATCH(B1096,Productos!$A$2:$A$501,0)),0))</f>
        <v/>
      </c>
      <c r="H1096" s="33">
        <f>IF(A1096="","",MONTH(A1096))</f>
        <v/>
      </c>
      <c r="I1096" s="33">
        <f>IF(A1096="","",YEAR(A1096))</f>
        <v/>
      </c>
    </row>
    <row r="1097" ht="15" customHeight="1" s="21">
      <c r="A1097" s="34" t="n"/>
      <c r="B1097" s="30" t="n"/>
      <c r="C1097" s="30" t="n"/>
      <c r="D1097" s="30" t="n"/>
      <c r="E1097" s="33">
        <f>IF(B1097="","",IFERROR(INDEX(Productos!$B$2:$B$501,MATCH(B1097,Productos!$A$2:$A$501,0)),"¿Código?"))</f>
        <v/>
      </c>
      <c r="F1097" s="32">
        <f>IF(C1097&lt;&gt;"Venta","",D1097*IFERROR(INDEX(Productos!$D$2:$D$501,MATCH(B1097,Productos!$A$2:$A$501,0)),0))</f>
        <v/>
      </c>
      <c r="G1097" s="32">
        <f>IF(C1097&lt;&gt;"Venta","",D1097*IFERROR(INDEX(Productos!$E$2:$E$501,MATCH(B1097,Productos!$A$2:$A$501,0)),0))</f>
        <v/>
      </c>
      <c r="H1097" s="33">
        <f>IF(A1097="","",MONTH(A1097))</f>
        <v/>
      </c>
      <c r="I1097" s="33">
        <f>IF(A1097="","",YEAR(A1097))</f>
        <v/>
      </c>
    </row>
    <row r="1098" ht="15" customHeight="1" s="21">
      <c r="A1098" s="34" t="n"/>
      <c r="B1098" s="30" t="n"/>
      <c r="C1098" s="30" t="n"/>
      <c r="D1098" s="30" t="n"/>
      <c r="E1098" s="33">
        <f>IF(B1098="","",IFERROR(INDEX(Productos!$B$2:$B$501,MATCH(B1098,Productos!$A$2:$A$501,0)),"¿Código?"))</f>
        <v/>
      </c>
      <c r="F1098" s="32">
        <f>IF(C1098&lt;&gt;"Venta","",D1098*IFERROR(INDEX(Productos!$D$2:$D$501,MATCH(B1098,Productos!$A$2:$A$501,0)),0))</f>
        <v/>
      </c>
      <c r="G1098" s="32">
        <f>IF(C1098&lt;&gt;"Venta","",D1098*IFERROR(INDEX(Productos!$E$2:$E$501,MATCH(B1098,Productos!$A$2:$A$501,0)),0))</f>
        <v/>
      </c>
      <c r="H1098" s="33">
        <f>IF(A1098="","",MONTH(A1098))</f>
        <v/>
      </c>
      <c r="I1098" s="33">
        <f>IF(A1098="","",YEAR(A1098))</f>
        <v/>
      </c>
    </row>
    <row r="1099" ht="15" customHeight="1" s="21">
      <c r="A1099" s="34" t="n"/>
      <c r="B1099" s="30" t="n"/>
      <c r="C1099" s="30" t="n"/>
      <c r="D1099" s="30" t="n"/>
      <c r="E1099" s="33">
        <f>IF(B1099="","",IFERROR(INDEX(Productos!$B$2:$B$501,MATCH(B1099,Productos!$A$2:$A$501,0)),"¿Código?"))</f>
        <v/>
      </c>
      <c r="F1099" s="32">
        <f>IF(C1099&lt;&gt;"Venta","",D1099*IFERROR(INDEX(Productos!$D$2:$D$501,MATCH(B1099,Productos!$A$2:$A$501,0)),0))</f>
        <v/>
      </c>
      <c r="G1099" s="32">
        <f>IF(C1099&lt;&gt;"Venta","",D1099*IFERROR(INDEX(Productos!$E$2:$E$501,MATCH(B1099,Productos!$A$2:$A$501,0)),0))</f>
        <v/>
      </c>
      <c r="H1099" s="33">
        <f>IF(A1099="","",MONTH(A1099))</f>
        <v/>
      </c>
      <c r="I1099" s="33">
        <f>IF(A1099="","",YEAR(A1099))</f>
        <v/>
      </c>
    </row>
    <row r="1100" ht="15" customHeight="1" s="21">
      <c r="A1100" s="34" t="n"/>
      <c r="B1100" s="30" t="n"/>
      <c r="C1100" s="30" t="n"/>
      <c r="D1100" s="30" t="n"/>
      <c r="E1100" s="33">
        <f>IF(B1100="","",IFERROR(INDEX(Productos!$B$2:$B$501,MATCH(B1100,Productos!$A$2:$A$501,0)),"¿Código?"))</f>
        <v/>
      </c>
      <c r="F1100" s="32">
        <f>IF(C1100&lt;&gt;"Venta","",D1100*IFERROR(INDEX(Productos!$D$2:$D$501,MATCH(B1100,Productos!$A$2:$A$501,0)),0))</f>
        <v/>
      </c>
      <c r="G1100" s="32">
        <f>IF(C1100&lt;&gt;"Venta","",D1100*IFERROR(INDEX(Productos!$E$2:$E$501,MATCH(B1100,Productos!$A$2:$A$501,0)),0))</f>
        <v/>
      </c>
      <c r="H1100" s="33">
        <f>IF(A1100="","",MONTH(A1100))</f>
        <v/>
      </c>
      <c r="I1100" s="33">
        <f>IF(A1100="","",YEAR(A1100))</f>
        <v/>
      </c>
    </row>
    <row r="1101" ht="15" customHeight="1" s="21">
      <c r="A1101" s="34" t="n"/>
      <c r="B1101" s="30" t="n"/>
      <c r="C1101" s="30" t="n"/>
      <c r="D1101" s="30" t="n"/>
      <c r="E1101" s="33">
        <f>IF(B1101="","",IFERROR(INDEX(Productos!$B$2:$B$501,MATCH(B1101,Productos!$A$2:$A$501,0)),"¿Código?"))</f>
        <v/>
      </c>
      <c r="F1101" s="32">
        <f>IF(C1101&lt;&gt;"Venta","",D1101*IFERROR(INDEX(Productos!$D$2:$D$501,MATCH(B1101,Productos!$A$2:$A$501,0)),0))</f>
        <v/>
      </c>
      <c r="G1101" s="32">
        <f>IF(C1101&lt;&gt;"Venta","",D1101*IFERROR(INDEX(Productos!$E$2:$E$501,MATCH(B1101,Productos!$A$2:$A$501,0)),0))</f>
        <v/>
      </c>
      <c r="H1101" s="33">
        <f>IF(A1101="","",MONTH(A1101))</f>
        <v/>
      </c>
      <c r="I1101" s="33">
        <f>IF(A1101="","",YEAR(A1101))</f>
        <v/>
      </c>
    </row>
    <row r="1102" ht="15" customHeight="1" s="21">
      <c r="A1102" s="34" t="n"/>
      <c r="B1102" s="30" t="n"/>
      <c r="C1102" s="30" t="n"/>
      <c r="D1102" s="30" t="n"/>
      <c r="E1102" s="33">
        <f>IF(B1102="","",IFERROR(INDEX(Productos!$B$2:$B$501,MATCH(B1102,Productos!$A$2:$A$501,0)),"¿Código?"))</f>
        <v/>
      </c>
      <c r="F1102" s="32">
        <f>IF(C1102&lt;&gt;"Venta","",D1102*IFERROR(INDEX(Productos!$D$2:$D$501,MATCH(B1102,Productos!$A$2:$A$501,0)),0))</f>
        <v/>
      </c>
      <c r="G1102" s="32">
        <f>IF(C1102&lt;&gt;"Venta","",D1102*IFERROR(INDEX(Productos!$E$2:$E$501,MATCH(B1102,Productos!$A$2:$A$501,0)),0))</f>
        <v/>
      </c>
      <c r="H1102" s="33">
        <f>IF(A1102="","",MONTH(A1102))</f>
        <v/>
      </c>
      <c r="I1102" s="33">
        <f>IF(A1102="","",YEAR(A1102))</f>
        <v/>
      </c>
    </row>
    <row r="1103" ht="15" customHeight="1" s="21">
      <c r="A1103" s="34" t="n"/>
      <c r="B1103" s="30" t="n"/>
      <c r="C1103" s="30" t="n"/>
      <c r="D1103" s="30" t="n"/>
      <c r="E1103" s="33">
        <f>IF(B1103="","",IFERROR(INDEX(Productos!$B$2:$B$501,MATCH(B1103,Productos!$A$2:$A$501,0)),"¿Código?"))</f>
        <v/>
      </c>
      <c r="F1103" s="32">
        <f>IF(C1103&lt;&gt;"Venta","",D1103*IFERROR(INDEX(Productos!$D$2:$D$501,MATCH(B1103,Productos!$A$2:$A$501,0)),0))</f>
        <v/>
      </c>
      <c r="G1103" s="32">
        <f>IF(C1103&lt;&gt;"Venta","",D1103*IFERROR(INDEX(Productos!$E$2:$E$501,MATCH(B1103,Productos!$A$2:$A$501,0)),0))</f>
        <v/>
      </c>
      <c r="H1103" s="33">
        <f>IF(A1103="","",MONTH(A1103))</f>
        <v/>
      </c>
      <c r="I1103" s="33">
        <f>IF(A1103="","",YEAR(A1103))</f>
        <v/>
      </c>
    </row>
    <row r="1104" ht="15" customHeight="1" s="21">
      <c r="A1104" s="34" t="n"/>
      <c r="B1104" s="30" t="n"/>
      <c r="C1104" s="30" t="n"/>
      <c r="D1104" s="30" t="n"/>
      <c r="E1104" s="33">
        <f>IF(B1104="","",IFERROR(INDEX(Productos!$B$2:$B$501,MATCH(B1104,Productos!$A$2:$A$501,0)),"¿Código?"))</f>
        <v/>
      </c>
      <c r="F1104" s="32">
        <f>IF(C1104&lt;&gt;"Venta","",D1104*IFERROR(INDEX(Productos!$D$2:$D$501,MATCH(B1104,Productos!$A$2:$A$501,0)),0))</f>
        <v/>
      </c>
      <c r="G1104" s="32">
        <f>IF(C1104&lt;&gt;"Venta","",D1104*IFERROR(INDEX(Productos!$E$2:$E$501,MATCH(B1104,Productos!$A$2:$A$501,0)),0))</f>
        <v/>
      </c>
      <c r="H1104" s="33">
        <f>IF(A1104="","",MONTH(A1104))</f>
        <v/>
      </c>
      <c r="I1104" s="33">
        <f>IF(A1104="","",YEAR(A1104))</f>
        <v/>
      </c>
    </row>
    <row r="1105" ht="15" customHeight="1" s="21">
      <c r="A1105" s="34" t="n"/>
      <c r="B1105" s="30" t="n"/>
      <c r="C1105" s="30" t="n"/>
      <c r="D1105" s="30" t="n"/>
      <c r="E1105" s="33">
        <f>IF(B1105="","",IFERROR(INDEX(Productos!$B$2:$B$501,MATCH(B1105,Productos!$A$2:$A$501,0)),"¿Código?"))</f>
        <v/>
      </c>
      <c r="F1105" s="32">
        <f>IF(C1105&lt;&gt;"Venta","",D1105*IFERROR(INDEX(Productos!$D$2:$D$501,MATCH(B1105,Productos!$A$2:$A$501,0)),0))</f>
        <v/>
      </c>
      <c r="G1105" s="32">
        <f>IF(C1105&lt;&gt;"Venta","",D1105*IFERROR(INDEX(Productos!$E$2:$E$501,MATCH(B1105,Productos!$A$2:$A$501,0)),0))</f>
        <v/>
      </c>
      <c r="H1105" s="33">
        <f>IF(A1105="","",MONTH(A1105))</f>
        <v/>
      </c>
      <c r="I1105" s="33">
        <f>IF(A1105="","",YEAR(A1105))</f>
        <v/>
      </c>
    </row>
    <row r="1106" ht="15" customHeight="1" s="21">
      <c r="A1106" s="34" t="n"/>
      <c r="B1106" s="30" t="n"/>
      <c r="C1106" s="30" t="n"/>
      <c r="D1106" s="30" t="n"/>
      <c r="E1106" s="33">
        <f>IF(B1106="","",IFERROR(INDEX(Productos!$B$2:$B$501,MATCH(B1106,Productos!$A$2:$A$501,0)),"¿Código?"))</f>
        <v/>
      </c>
      <c r="F1106" s="32">
        <f>IF(C1106&lt;&gt;"Venta","",D1106*IFERROR(INDEX(Productos!$D$2:$D$501,MATCH(B1106,Productos!$A$2:$A$501,0)),0))</f>
        <v/>
      </c>
      <c r="G1106" s="32">
        <f>IF(C1106&lt;&gt;"Venta","",D1106*IFERROR(INDEX(Productos!$E$2:$E$501,MATCH(B1106,Productos!$A$2:$A$501,0)),0))</f>
        <v/>
      </c>
      <c r="H1106" s="33">
        <f>IF(A1106="","",MONTH(A1106))</f>
        <v/>
      </c>
      <c r="I1106" s="33">
        <f>IF(A1106="","",YEAR(A1106))</f>
        <v/>
      </c>
    </row>
    <row r="1107" ht="15" customHeight="1" s="21">
      <c r="A1107" s="34" t="n"/>
      <c r="B1107" s="30" t="n"/>
      <c r="C1107" s="30" t="n"/>
      <c r="D1107" s="30" t="n"/>
      <c r="E1107" s="33">
        <f>IF(B1107="","",IFERROR(INDEX(Productos!$B$2:$B$501,MATCH(B1107,Productos!$A$2:$A$501,0)),"¿Código?"))</f>
        <v/>
      </c>
      <c r="F1107" s="32">
        <f>IF(C1107&lt;&gt;"Venta","",D1107*IFERROR(INDEX(Productos!$D$2:$D$501,MATCH(B1107,Productos!$A$2:$A$501,0)),0))</f>
        <v/>
      </c>
      <c r="G1107" s="32">
        <f>IF(C1107&lt;&gt;"Venta","",D1107*IFERROR(INDEX(Productos!$E$2:$E$501,MATCH(B1107,Productos!$A$2:$A$501,0)),0))</f>
        <v/>
      </c>
      <c r="H1107" s="33">
        <f>IF(A1107="","",MONTH(A1107))</f>
        <v/>
      </c>
      <c r="I1107" s="33">
        <f>IF(A1107="","",YEAR(A1107))</f>
        <v/>
      </c>
    </row>
    <row r="1108" ht="15" customHeight="1" s="21">
      <c r="A1108" s="34" t="n"/>
      <c r="B1108" s="30" t="n"/>
      <c r="C1108" s="30" t="n"/>
      <c r="D1108" s="30" t="n"/>
      <c r="E1108" s="33">
        <f>IF(B1108="","",IFERROR(INDEX(Productos!$B$2:$B$501,MATCH(B1108,Productos!$A$2:$A$501,0)),"¿Código?"))</f>
        <v/>
      </c>
      <c r="F1108" s="32">
        <f>IF(C1108&lt;&gt;"Venta","",D1108*IFERROR(INDEX(Productos!$D$2:$D$501,MATCH(B1108,Productos!$A$2:$A$501,0)),0))</f>
        <v/>
      </c>
      <c r="G1108" s="32">
        <f>IF(C1108&lt;&gt;"Venta","",D1108*IFERROR(INDEX(Productos!$E$2:$E$501,MATCH(B1108,Productos!$A$2:$A$501,0)),0))</f>
        <v/>
      </c>
      <c r="H1108" s="33">
        <f>IF(A1108="","",MONTH(A1108))</f>
        <v/>
      </c>
      <c r="I1108" s="33">
        <f>IF(A1108="","",YEAR(A1108))</f>
        <v/>
      </c>
    </row>
    <row r="1109" ht="15" customHeight="1" s="21">
      <c r="A1109" s="34" t="n"/>
      <c r="B1109" s="30" t="n"/>
      <c r="C1109" s="30" t="n"/>
      <c r="D1109" s="30" t="n"/>
      <c r="E1109" s="33">
        <f>IF(B1109="","",IFERROR(INDEX(Productos!$B$2:$B$501,MATCH(B1109,Productos!$A$2:$A$501,0)),"¿Código?"))</f>
        <v/>
      </c>
      <c r="F1109" s="32">
        <f>IF(C1109&lt;&gt;"Venta","",D1109*IFERROR(INDEX(Productos!$D$2:$D$501,MATCH(B1109,Productos!$A$2:$A$501,0)),0))</f>
        <v/>
      </c>
      <c r="G1109" s="32">
        <f>IF(C1109&lt;&gt;"Venta","",D1109*IFERROR(INDEX(Productos!$E$2:$E$501,MATCH(B1109,Productos!$A$2:$A$501,0)),0))</f>
        <v/>
      </c>
      <c r="H1109" s="33">
        <f>IF(A1109="","",MONTH(A1109))</f>
        <v/>
      </c>
      <c r="I1109" s="33">
        <f>IF(A1109="","",YEAR(A1109))</f>
        <v/>
      </c>
    </row>
    <row r="1110" ht="15" customHeight="1" s="21">
      <c r="A1110" s="34" t="n"/>
      <c r="B1110" s="30" t="n"/>
      <c r="C1110" s="30" t="n"/>
      <c r="D1110" s="30" t="n"/>
      <c r="E1110" s="33">
        <f>IF(B1110="","",IFERROR(INDEX(Productos!$B$2:$B$501,MATCH(B1110,Productos!$A$2:$A$501,0)),"¿Código?"))</f>
        <v/>
      </c>
      <c r="F1110" s="32">
        <f>IF(C1110&lt;&gt;"Venta","",D1110*IFERROR(INDEX(Productos!$D$2:$D$501,MATCH(B1110,Productos!$A$2:$A$501,0)),0))</f>
        <v/>
      </c>
      <c r="G1110" s="32">
        <f>IF(C1110&lt;&gt;"Venta","",D1110*IFERROR(INDEX(Productos!$E$2:$E$501,MATCH(B1110,Productos!$A$2:$A$501,0)),0))</f>
        <v/>
      </c>
      <c r="H1110" s="33">
        <f>IF(A1110="","",MONTH(A1110))</f>
        <v/>
      </c>
      <c r="I1110" s="33">
        <f>IF(A1110="","",YEAR(A1110))</f>
        <v/>
      </c>
    </row>
    <row r="1111" ht="15" customHeight="1" s="21">
      <c r="A1111" s="34" t="n"/>
      <c r="B1111" s="30" t="n"/>
      <c r="C1111" s="30" t="n"/>
      <c r="D1111" s="30" t="n"/>
      <c r="E1111" s="33">
        <f>IF(B1111="","",IFERROR(INDEX(Productos!$B$2:$B$501,MATCH(B1111,Productos!$A$2:$A$501,0)),"¿Código?"))</f>
        <v/>
      </c>
      <c r="F1111" s="32">
        <f>IF(C1111&lt;&gt;"Venta","",D1111*IFERROR(INDEX(Productos!$D$2:$D$501,MATCH(B1111,Productos!$A$2:$A$501,0)),0))</f>
        <v/>
      </c>
      <c r="G1111" s="32">
        <f>IF(C1111&lt;&gt;"Venta","",D1111*IFERROR(INDEX(Productos!$E$2:$E$501,MATCH(B1111,Productos!$A$2:$A$501,0)),0))</f>
        <v/>
      </c>
      <c r="H1111" s="33">
        <f>IF(A1111="","",MONTH(A1111))</f>
        <v/>
      </c>
      <c r="I1111" s="33">
        <f>IF(A1111="","",YEAR(A1111))</f>
        <v/>
      </c>
    </row>
    <row r="1112" ht="15" customHeight="1" s="21">
      <c r="A1112" s="34" t="n"/>
      <c r="B1112" s="30" t="n"/>
      <c r="C1112" s="30" t="n"/>
      <c r="D1112" s="30" t="n"/>
      <c r="E1112" s="33">
        <f>IF(B1112="","",IFERROR(INDEX(Productos!$B$2:$B$501,MATCH(B1112,Productos!$A$2:$A$501,0)),"¿Código?"))</f>
        <v/>
      </c>
      <c r="F1112" s="32">
        <f>IF(C1112&lt;&gt;"Venta","",D1112*IFERROR(INDEX(Productos!$D$2:$D$501,MATCH(B1112,Productos!$A$2:$A$501,0)),0))</f>
        <v/>
      </c>
      <c r="G1112" s="32">
        <f>IF(C1112&lt;&gt;"Venta","",D1112*IFERROR(INDEX(Productos!$E$2:$E$501,MATCH(B1112,Productos!$A$2:$A$501,0)),0))</f>
        <v/>
      </c>
      <c r="H1112" s="33">
        <f>IF(A1112="","",MONTH(A1112))</f>
        <v/>
      </c>
      <c r="I1112" s="33">
        <f>IF(A1112="","",YEAR(A1112))</f>
        <v/>
      </c>
    </row>
    <row r="1113" ht="15" customHeight="1" s="21">
      <c r="A1113" s="34" t="n"/>
      <c r="B1113" s="30" t="n"/>
      <c r="C1113" s="30" t="n"/>
      <c r="D1113" s="30" t="n"/>
      <c r="E1113" s="33">
        <f>IF(B1113="","",IFERROR(INDEX(Productos!$B$2:$B$501,MATCH(B1113,Productos!$A$2:$A$501,0)),"¿Código?"))</f>
        <v/>
      </c>
      <c r="F1113" s="32">
        <f>IF(C1113&lt;&gt;"Venta","",D1113*IFERROR(INDEX(Productos!$D$2:$D$501,MATCH(B1113,Productos!$A$2:$A$501,0)),0))</f>
        <v/>
      </c>
      <c r="G1113" s="32">
        <f>IF(C1113&lt;&gt;"Venta","",D1113*IFERROR(INDEX(Productos!$E$2:$E$501,MATCH(B1113,Productos!$A$2:$A$501,0)),0))</f>
        <v/>
      </c>
      <c r="H1113" s="33">
        <f>IF(A1113="","",MONTH(A1113))</f>
        <v/>
      </c>
      <c r="I1113" s="33">
        <f>IF(A1113="","",YEAR(A1113))</f>
        <v/>
      </c>
    </row>
    <row r="1114" ht="15" customHeight="1" s="21">
      <c r="A1114" s="34" t="n"/>
      <c r="B1114" s="30" t="n"/>
      <c r="C1114" s="30" t="n"/>
      <c r="D1114" s="30" t="n"/>
      <c r="E1114" s="33">
        <f>IF(B1114="","",IFERROR(INDEX(Productos!$B$2:$B$501,MATCH(B1114,Productos!$A$2:$A$501,0)),"¿Código?"))</f>
        <v/>
      </c>
      <c r="F1114" s="32">
        <f>IF(C1114&lt;&gt;"Venta","",D1114*IFERROR(INDEX(Productos!$D$2:$D$501,MATCH(B1114,Productos!$A$2:$A$501,0)),0))</f>
        <v/>
      </c>
      <c r="G1114" s="32">
        <f>IF(C1114&lt;&gt;"Venta","",D1114*IFERROR(INDEX(Productos!$E$2:$E$501,MATCH(B1114,Productos!$A$2:$A$501,0)),0))</f>
        <v/>
      </c>
      <c r="H1114" s="33">
        <f>IF(A1114="","",MONTH(A1114))</f>
        <v/>
      </c>
      <c r="I1114" s="33">
        <f>IF(A1114="","",YEAR(A1114))</f>
        <v/>
      </c>
    </row>
    <row r="1115" ht="15" customHeight="1" s="21">
      <c r="A1115" s="34" t="n"/>
      <c r="B1115" s="30" t="n"/>
      <c r="C1115" s="30" t="n"/>
      <c r="D1115" s="30" t="n"/>
      <c r="E1115" s="33">
        <f>IF(B1115="","",IFERROR(INDEX(Productos!$B$2:$B$501,MATCH(B1115,Productos!$A$2:$A$501,0)),"¿Código?"))</f>
        <v/>
      </c>
      <c r="F1115" s="32">
        <f>IF(C1115&lt;&gt;"Venta","",D1115*IFERROR(INDEX(Productos!$D$2:$D$501,MATCH(B1115,Productos!$A$2:$A$501,0)),0))</f>
        <v/>
      </c>
      <c r="G1115" s="32">
        <f>IF(C1115&lt;&gt;"Venta","",D1115*IFERROR(INDEX(Productos!$E$2:$E$501,MATCH(B1115,Productos!$A$2:$A$501,0)),0))</f>
        <v/>
      </c>
      <c r="H1115" s="33">
        <f>IF(A1115="","",MONTH(A1115))</f>
        <v/>
      </c>
      <c r="I1115" s="33">
        <f>IF(A1115="","",YEAR(A1115))</f>
        <v/>
      </c>
    </row>
    <row r="1116" ht="15" customHeight="1" s="21">
      <c r="A1116" s="34" t="n"/>
      <c r="B1116" s="30" t="n"/>
      <c r="C1116" s="30" t="n"/>
      <c r="D1116" s="30" t="n"/>
      <c r="E1116" s="33">
        <f>IF(B1116="","",IFERROR(INDEX(Productos!$B$2:$B$501,MATCH(B1116,Productos!$A$2:$A$501,0)),"¿Código?"))</f>
        <v/>
      </c>
      <c r="F1116" s="32">
        <f>IF(C1116&lt;&gt;"Venta","",D1116*IFERROR(INDEX(Productos!$D$2:$D$501,MATCH(B1116,Productos!$A$2:$A$501,0)),0))</f>
        <v/>
      </c>
      <c r="G1116" s="32">
        <f>IF(C1116&lt;&gt;"Venta","",D1116*IFERROR(INDEX(Productos!$E$2:$E$501,MATCH(B1116,Productos!$A$2:$A$501,0)),0))</f>
        <v/>
      </c>
      <c r="H1116" s="33">
        <f>IF(A1116="","",MONTH(A1116))</f>
        <v/>
      </c>
      <c r="I1116" s="33">
        <f>IF(A1116="","",YEAR(A1116))</f>
        <v/>
      </c>
    </row>
    <row r="1117" ht="15" customHeight="1" s="21">
      <c r="A1117" s="34" t="n"/>
      <c r="B1117" s="30" t="n"/>
      <c r="C1117" s="30" t="n"/>
      <c r="D1117" s="30" t="n"/>
      <c r="E1117" s="33">
        <f>IF(B1117="","",IFERROR(INDEX(Productos!$B$2:$B$501,MATCH(B1117,Productos!$A$2:$A$501,0)),"¿Código?"))</f>
        <v/>
      </c>
      <c r="F1117" s="32">
        <f>IF(C1117&lt;&gt;"Venta","",D1117*IFERROR(INDEX(Productos!$D$2:$D$501,MATCH(B1117,Productos!$A$2:$A$501,0)),0))</f>
        <v/>
      </c>
      <c r="G1117" s="32">
        <f>IF(C1117&lt;&gt;"Venta","",D1117*IFERROR(INDEX(Productos!$E$2:$E$501,MATCH(B1117,Productos!$A$2:$A$501,0)),0))</f>
        <v/>
      </c>
      <c r="H1117" s="33">
        <f>IF(A1117="","",MONTH(A1117))</f>
        <v/>
      </c>
      <c r="I1117" s="33">
        <f>IF(A1117="","",YEAR(A1117))</f>
        <v/>
      </c>
    </row>
    <row r="1118" ht="15" customHeight="1" s="21">
      <c r="A1118" s="34" t="n"/>
      <c r="B1118" s="30" t="n"/>
      <c r="C1118" s="30" t="n"/>
      <c r="D1118" s="30" t="n"/>
      <c r="E1118" s="33">
        <f>IF(B1118="","",IFERROR(INDEX(Productos!$B$2:$B$501,MATCH(B1118,Productos!$A$2:$A$501,0)),"¿Código?"))</f>
        <v/>
      </c>
      <c r="F1118" s="32">
        <f>IF(C1118&lt;&gt;"Venta","",D1118*IFERROR(INDEX(Productos!$D$2:$D$501,MATCH(B1118,Productos!$A$2:$A$501,0)),0))</f>
        <v/>
      </c>
      <c r="G1118" s="32">
        <f>IF(C1118&lt;&gt;"Venta","",D1118*IFERROR(INDEX(Productos!$E$2:$E$501,MATCH(B1118,Productos!$A$2:$A$501,0)),0))</f>
        <v/>
      </c>
      <c r="H1118" s="33">
        <f>IF(A1118="","",MONTH(A1118))</f>
        <v/>
      </c>
      <c r="I1118" s="33">
        <f>IF(A1118="","",YEAR(A1118))</f>
        <v/>
      </c>
    </row>
    <row r="1119" ht="15" customHeight="1" s="21">
      <c r="A1119" s="34" t="n"/>
      <c r="B1119" s="30" t="n"/>
      <c r="C1119" s="30" t="n"/>
      <c r="D1119" s="30" t="n"/>
      <c r="E1119" s="33">
        <f>IF(B1119="","",IFERROR(INDEX(Productos!$B$2:$B$501,MATCH(B1119,Productos!$A$2:$A$501,0)),"¿Código?"))</f>
        <v/>
      </c>
      <c r="F1119" s="32">
        <f>IF(C1119&lt;&gt;"Venta","",D1119*IFERROR(INDEX(Productos!$D$2:$D$501,MATCH(B1119,Productos!$A$2:$A$501,0)),0))</f>
        <v/>
      </c>
      <c r="G1119" s="32">
        <f>IF(C1119&lt;&gt;"Venta","",D1119*IFERROR(INDEX(Productos!$E$2:$E$501,MATCH(B1119,Productos!$A$2:$A$501,0)),0))</f>
        <v/>
      </c>
      <c r="H1119" s="33">
        <f>IF(A1119="","",MONTH(A1119))</f>
        <v/>
      </c>
      <c r="I1119" s="33">
        <f>IF(A1119="","",YEAR(A1119))</f>
        <v/>
      </c>
    </row>
    <row r="1120" ht="15" customHeight="1" s="21">
      <c r="A1120" s="34" t="n"/>
      <c r="B1120" s="30" t="n"/>
      <c r="C1120" s="30" t="n"/>
      <c r="D1120" s="30" t="n"/>
      <c r="E1120" s="33">
        <f>IF(B1120="","",IFERROR(INDEX(Productos!$B$2:$B$501,MATCH(B1120,Productos!$A$2:$A$501,0)),"¿Código?"))</f>
        <v/>
      </c>
      <c r="F1120" s="32">
        <f>IF(C1120&lt;&gt;"Venta","",D1120*IFERROR(INDEX(Productos!$D$2:$D$501,MATCH(B1120,Productos!$A$2:$A$501,0)),0))</f>
        <v/>
      </c>
      <c r="G1120" s="32">
        <f>IF(C1120&lt;&gt;"Venta","",D1120*IFERROR(INDEX(Productos!$E$2:$E$501,MATCH(B1120,Productos!$A$2:$A$501,0)),0))</f>
        <v/>
      </c>
      <c r="H1120" s="33">
        <f>IF(A1120="","",MONTH(A1120))</f>
        <v/>
      </c>
      <c r="I1120" s="33">
        <f>IF(A1120="","",YEAR(A1120))</f>
        <v/>
      </c>
    </row>
    <row r="1121" ht="15" customHeight="1" s="21">
      <c r="A1121" s="34" t="n"/>
      <c r="B1121" s="30" t="n"/>
      <c r="C1121" s="30" t="n"/>
      <c r="D1121" s="30" t="n"/>
      <c r="E1121" s="33">
        <f>IF(B1121="","",IFERROR(INDEX(Productos!$B$2:$B$501,MATCH(B1121,Productos!$A$2:$A$501,0)),"¿Código?"))</f>
        <v/>
      </c>
      <c r="F1121" s="32">
        <f>IF(C1121&lt;&gt;"Venta","",D1121*IFERROR(INDEX(Productos!$D$2:$D$501,MATCH(B1121,Productos!$A$2:$A$501,0)),0))</f>
        <v/>
      </c>
      <c r="G1121" s="32">
        <f>IF(C1121&lt;&gt;"Venta","",D1121*IFERROR(INDEX(Productos!$E$2:$E$501,MATCH(B1121,Productos!$A$2:$A$501,0)),0))</f>
        <v/>
      </c>
      <c r="H1121" s="33">
        <f>IF(A1121="","",MONTH(A1121))</f>
        <v/>
      </c>
      <c r="I1121" s="33">
        <f>IF(A1121="","",YEAR(A1121))</f>
        <v/>
      </c>
    </row>
    <row r="1122" ht="15" customHeight="1" s="21">
      <c r="A1122" s="34" t="n"/>
      <c r="B1122" s="30" t="n"/>
      <c r="C1122" s="30" t="n"/>
      <c r="D1122" s="30" t="n"/>
      <c r="E1122" s="33">
        <f>IF(B1122="","",IFERROR(INDEX(Productos!$B$2:$B$501,MATCH(B1122,Productos!$A$2:$A$501,0)),"¿Código?"))</f>
        <v/>
      </c>
      <c r="F1122" s="32">
        <f>IF(C1122&lt;&gt;"Venta","",D1122*IFERROR(INDEX(Productos!$D$2:$D$501,MATCH(B1122,Productos!$A$2:$A$501,0)),0))</f>
        <v/>
      </c>
      <c r="G1122" s="32">
        <f>IF(C1122&lt;&gt;"Venta","",D1122*IFERROR(INDEX(Productos!$E$2:$E$501,MATCH(B1122,Productos!$A$2:$A$501,0)),0))</f>
        <v/>
      </c>
      <c r="H1122" s="33">
        <f>IF(A1122="","",MONTH(A1122))</f>
        <v/>
      </c>
      <c r="I1122" s="33">
        <f>IF(A1122="","",YEAR(A1122))</f>
        <v/>
      </c>
    </row>
    <row r="1123" ht="15" customHeight="1" s="21">
      <c r="A1123" s="34" t="n"/>
      <c r="B1123" s="30" t="n"/>
      <c r="C1123" s="30" t="n"/>
      <c r="D1123" s="30" t="n"/>
      <c r="E1123" s="33">
        <f>IF(B1123="","",IFERROR(INDEX(Productos!$B$2:$B$501,MATCH(B1123,Productos!$A$2:$A$501,0)),"¿Código?"))</f>
        <v/>
      </c>
      <c r="F1123" s="32">
        <f>IF(C1123&lt;&gt;"Venta","",D1123*IFERROR(INDEX(Productos!$D$2:$D$501,MATCH(B1123,Productos!$A$2:$A$501,0)),0))</f>
        <v/>
      </c>
      <c r="G1123" s="32">
        <f>IF(C1123&lt;&gt;"Venta","",D1123*IFERROR(INDEX(Productos!$E$2:$E$501,MATCH(B1123,Productos!$A$2:$A$501,0)),0))</f>
        <v/>
      </c>
      <c r="H1123" s="33">
        <f>IF(A1123="","",MONTH(A1123))</f>
        <v/>
      </c>
      <c r="I1123" s="33">
        <f>IF(A1123="","",YEAR(A1123))</f>
        <v/>
      </c>
    </row>
    <row r="1124" ht="15" customHeight="1" s="21">
      <c r="A1124" s="34" t="n"/>
      <c r="B1124" s="30" t="n"/>
      <c r="C1124" s="30" t="n"/>
      <c r="D1124" s="30" t="n"/>
      <c r="E1124" s="33">
        <f>IF(B1124="","",IFERROR(INDEX(Productos!$B$2:$B$501,MATCH(B1124,Productos!$A$2:$A$501,0)),"¿Código?"))</f>
        <v/>
      </c>
      <c r="F1124" s="32">
        <f>IF(C1124&lt;&gt;"Venta","",D1124*IFERROR(INDEX(Productos!$D$2:$D$501,MATCH(B1124,Productos!$A$2:$A$501,0)),0))</f>
        <v/>
      </c>
      <c r="G1124" s="32">
        <f>IF(C1124&lt;&gt;"Venta","",D1124*IFERROR(INDEX(Productos!$E$2:$E$501,MATCH(B1124,Productos!$A$2:$A$501,0)),0))</f>
        <v/>
      </c>
      <c r="H1124" s="33">
        <f>IF(A1124="","",MONTH(A1124))</f>
        <v/>
      </c>
      <c r="I1124" s="33">
        <f>IF(A1124="","",YEAR(A1124))</f>
        <v/>
      </c>
    </row>
    <row r="1125" ht="15" customHeight="1" s="21">
      <c r="A1125" s="34" t="n"/>
      <c r="B1125" s="30" t="n"/>
      <c r="C1125" s="30" t="n"/>
      <c r="D1125" s="30" t="n"/>
      <c r="E1125" s="33">
        <f>IF(B1125="","",IFERROR(INDEX(Productos!$B$2:$B$501,MATCH(B1125,Productos!$A$2:$A$501,0)),"¿Código?"))</f>
        <v/>
      </c>
      <c r="F1125" s="32">
        <f>IF(C1125&lt;&gt;"Venta","",D1125*IFERROR(INDEX(Productos!$D$2:$D$501,MATCH(B1125,Productos!$A$2:$A$501,0)),0))</f>
        <v/>
      </c>
      <c r="G1125" s="32">
        <f>IF(C1125&lt;&gt;"Venta","",D1125*IFERROR(INDEX(Productos!$E$2:$E$501,MATCH(B1125,Productos!$A$2:$A$501,0)),0))</f>
        <v/>
      </c>
      <c r="H1125" s="33">
        <f>IF(A1125="","",MONTH(A1125))</f>
        <v/>
      </c>
      <c r="I1125" s="33">
        <f>IF(A1125="","",YEAR(A1125))</f>
        <v/>
      </c>
    </row>
    <row r="1126" ht="15" customHeight="1" s="21">
      <c r="A1126" s="34" t="n"/>
      <c r="B1126" s="30" t="n"/>
      <c r="C1126" s="30" t="n"/>
      <c r="D1126" s="30" t="n"/>
      <c r="E1126" s="33">
        <f>IF(B1126="","",IFERROR(INDEX(Productos!$B$2:$B$501,MATCH(B1126,Productos!$A$2:$A$501,0)),"¿Código?"))</f>
        <v/>
      </c>
      <c r="F1126" s="32">
        <f>IF(C1126&lt;&gt;"Venta","",D1126*IFERROR(INDEX(Productos!$D$2:$D$501,MATCH(B1126,Productos!$A$2:$A$501,0)),0))</f>
        <v/>
      </c>
      <c r="G1126" s="32">
        <f>IF(C1126&lt;&gt;"Venta","",D1126*IFERROR(INDEX(Productos!$E$2:$E$501,MATCH(B1126,Productos!$A$2:$A$501,0)),0))</f>
        <v/>
      </c>
      <c r="H1126" s="33">
        <f>IF(A1126="","",MONTH(A1126))</f>
        <v/>
      </c>
      <c r="I1126" s="33">
        <f>IF(A1126="","",YEAR(A1126))</f>
        <v/>
      </c>
    </row>
    <row r="1127" ht="15" customHeight="1" s="21">
      <c r="A1127" s="34" t="n"/>
      <c r="B1127" s="30" t="n"/>
      <c r="C1127" s="30" t="n"/>
      <c r="D1127" s="30" t="n"/>
      <c r="E1127" s="33">
        <f>IF(B1127="","",IFERROR(INDEX(Productos!$B$2:$B$501,MATCH(B1127,Productos!$A$2:$A$501,0)),"¿Código?"))</f>
        <v/>
      </c>
      <c r="F1127" s="32">
        <f>IF(C1127&lt;&gt;"Venta","",D1127*IFERROR(INDEX(Productos!$D$2:$D$501,MATCH(B1127,Productos!$A$2:$A$501,0)),0))</f>
        <v/>
      </c>
      <c r="G1127" s="32">
        <f>IF(C1127&lt;&gt;"Venta","",D1127*IFERROR(INDEX(Productos!$E$2:$E$501,MATCH(B1127,Productos!$A$2:$A$501,0)),0))</f>
        <v/>
      </c>
      <c r="H1127" s="33">
        <f>IF(A1127="","",MONTH(A1127))</f>
        <v/>
      </c>
      <c r="I1127" s="33">
        <f>IF(A1127="","",YEAR(A1127))</f>
        <v/>
      </c>
    </row>
    <row r="1128" ht="15" customHeight="1" s="21">
      <c r="A1128" s="34" t="n"/>
      <c r="B1128" s="30" t="n"/>
      <c r="C1128" s="30" t="n"/>
      <c r="D1128" s="30" t="n"/>
      <c r="E1128" s="33">
        <f>IF(B1128="","",IFERROR(INDEX(Productos!$B$2:$B$501,MATCH(B1128,Productos!$A$2:$A$501,0)),"¿Código?"))</f>
        <v/>
      </c>
      <c r="F1128" s="32">
        <f>IF(C1128&lt;&gt;"Venta","",D1128*IFERROR(INDEX(Productos!$D$2:$D$501,MATCH(B1128,Productos!$A$2:$A$501,0)),0))</f>
        <v/>
      </c>
      <c r="G1128" s="32">
        <f>IF(C1128&lt;&gt;"Venta","",D1128*IFERROR(INDEX(Productos!$E$2:$E$501,MATCH(B1128,Productos!$A$2:$A$501,0)),0))</f>
        <v/>
      </c>
      <c r="H1128" s="33">
        <f>IF(A1128="","",MONTH(A1128))</f>
        <v/>
      </c>
      <c r="I1128" s="33">
        <f>IF(A1128="","",YEAR(A1128))</f>
        <v/>
      </c>
    </row>
    <row r="1129" ht="15" customHeight="1" s="21">
      <c r="A1129" s="34" t="n"/>
      <c r="B1129" s="30" t="n"/>
      <c r="C1129" s="30" t="n"/>
      <c r="D1129" s="30" t="n"/>
      <c r="E1129" s="33">
        <f>IF(B1129="","",IFERROR(INDEX(Productos!$B$2:$B$501,MATCH(B1129,Productos!$A$2:$A$501,0)),"¿Código?"))</f>
        <v/>
      </c>
      <c r="F1129" s="32">
        <f>IF(C1129&lt;&gt;"Venta","",D1129*IFERROR(INDEX(Productos!$D$2:$D$501,MATCH(B1129,Productos!$A$2:$A$501,0)),0))</f>
        <v/>
      </c>
      <c r="G1129" s="32">
        <f>IF(C1129&lt;&gt;"Venta","",D1129*IFERROR(INDEX(Productos!$E$2:$E$501,MATCH(B1129,Productos!$A$2:$A$501,0)),0))</f>
        <v/>
      </c>
      <c r="H1129" s="33">
        <f>IF(A1129="","",MONTH(A1129))</f>
        <v/>
      </c>
      <c r="I1129" s="33">
        <f>IF(A1129="","",YEAR(A1129))</f>
        <v/>
      </c>
    </row>
    <row r="1130" ht="15" customHeight="1" s="21">
      <c r="A1130" s="34" t="n"/>
      <c r="B1130" s="30" t="n"/>
      <c r="C1130" s="30" t="n"/>
      <c r="D1130" s="30" t="n"/>
      <c r="E1130" s="33">
        <f>IF(B1130="","",IFERROR(INDEX(Productos!$B$2:$B$501,MATCH(B1130,Productos!$A$2:$A$501,0)),"¿Código?"))</f>
        <v/>
      </c>
      <c r="F1130" s="32">
        <f>IF(C1130&lt;&gt;"Venta","",D1130*IFERROR(INDEX(Productos!$D$2:$D$501,MATCH(B1130,Productos!$A$2:$A$501,0)),0))</f>
        <v/>
      </c>
      <c r="G1130" s="32">
        <f>IF(C1130&lt;&gt;"Venta","",D1130*IFERROR(INDEX(Productos!$E$2:$E$501,MATCH(B1130,Productos!$A$2:$A$501,0)),0))</f>
        <v/>
      </c>
      <c r="H1130" s="33">
        <f>IF(A1130="","",MONTH(A1130))</f>
        <v/>
      </c>
      <c r="I1130" s="33">
        <f>IF(A1130="","",YEAR(A1130))</f>
        <v/>
      </c>
    </row>
    <row r="1131" ht="15" customHeight="1" s="21">
      <c r="A1131" s="34" t="n"/>
      <c r="B1131" s="30" t="n"/>
      <c r="C1131" s="30" t="n"/>
      <c r="D1131" s="30" t="n"/>
      <c r="E1131" s="33">
        <f>IF(B1131="","",IFERROR(INDEX(Productos!$B$2:$B$501,MATCH(B1131,Productos!$A$2:$A$501,0)),"¿Código?"))</f>
        <v/>
      </c>
      <c r="F1131" s="32">
        <f>IF(C1131&lt;&gt;"Venta","",D1131*IFERROR(INDEX(Productos!$D$2:$D$501,MATCH(B1131,Productos!$A$2:$A$501,0)),0))</f>
        <v/>
      </c>
      <c r="G1131" s="32">
        <f>IF(C1131&lt;&gt;"Venta","",D1131*IFERROR(INDEX(Productos!$E$2:$E$501,MATCH(B1131,Productos!$A$2:$A$501,0)),0))</f>
        <v/>
      </c>
      <c r="H1131" s="33">
        <f>IF(A1131="","",MONTH(A1131))</f>
        <v/>
      </c>
      <c r="I1131" s="33">
        <f>IF(A1131="","",YEAR(A1131))</f>
        <v/>
      </c>
    </row>
    <row r="1132" ht="15" customHeight="1" s="21">
      <c r="A1132" s="34" t="n"/>
      <c r="B1132" s="30" t="n"/>
      <c r="C1132" s="30" t="n"/>
      <c r="D1132" s="30" t="n"/>
      <c r="E1132" s="33">
        <f>IF(B1132="","",IFERROR(INDEX(Productos!$B$2:$B$501,MATCH(B1132,Productos!$A$2:$A$501,0)),"¿Código?"))</f>
        <v/>
      </c>
      <c r="F1132" s="32">
        <f>IF(C1132&lt;&gt;"Venta","",D1132*IFERROR(INDEX(Productos!$D$2:$D$501,MATCH(B1132,Productos!$A$2:$A$501,0)),0))</f>
        <v/>
      </c>
      <c r="G1132" s="32">
        <f>IF(C1132&lt;&gt;"Venta","",D1132*IFERROR(INDEX(Productos!$E$2:$E$501,MATCH(B1132,Productos!$A$2:$A$501,0)),0))</f>
        <v/>
      </c>
      <c r="H1132" s="33">
        <f>IF(A1132="","",MONTH(A1132))</f>
        <v/>
      </c>
      <c r="I1132" s="33">
        <f>IF(A1132="","",YEAR(A1132))</f>
        <v/>
      </c>
    </row>
    <row r="1133" ht="15" customHeight="1" s="21">
      <c r="A1133" s="34" t="n"/>
      <c r="B1133" s="30" t="n"/>
      <c r="C1133" s="30" t="n"/>
      <c r="D1133" s="30" t="n"/>
      <c r="E1133" s="33">
        <f>IF(B1133="","",IFERROR(INDEX(Productos!$B$2:$B$501,MATCH(B1133,Productos!$A$2:$A$501,0)),"¿Código?"))</f>
        <v/>
      </c>
      <c r="F1133" s="32">
        <f>IF(C1133&lt;&gt;"Venta","",D1133*IFERROR(INDEX(Productos!$D$2:$D$501,MATCH(B1133,Productos!$A$2:$A$501,0)),0))</f>
        <v/>
      </c>
      <c r="G1133" s="32">
        <f>IF(C1133&lt;&gt;"Venta","",D1133*IFERROR(INDEX(Productos!$E$2:$E$501,MATCH(B1133,Productos!$A$2:$A$501,0)),0))</f>
        <v/>
      </c>
      <c r="H1133" s="33">
        <f>IF(A1133="","",MONTH(A1133))</f>
        <v/>
      </c>
      <c r="I1133" s="33">
        <f>IF(A1133="","",YEAR(A1133))</f>
        <v/>
      </c>
    </row>
    <row r="1134" ht="15" customHeight="1" s="21">
      <c r="A1134" s="34" t="n"/>
      <c r="B1134" s="30" t="n"/>
      <c r="C1134" s="30" t="n"/>
      <c r="D1134" s="30" t="n"/>
      <c r="E1134" s="33">
        <f>IF(B1134="","",IFERROR(INDEX(Productos!$B$2:$B$501,MATCH(B1134,Productos!$A$2:$A$501,0)),"¿Código?"))</f>
        <v/>
      </c>
      <c r="F1134" s="32">
        <f>IF(C1134&lt;&gt;"Venta","",D1134*IFERROR(INDEX(Productos!$D$2:$D$501,MATCH(B1134,Productos!$A$2:$A$501,0)),0))</f>
        <v/>
      </c>
      <c r="G1134" s="32">
        <f>IF(C1134&lt;&gt;"Venta","",D1134*IFERROR(INDEX(Productos!$E$2:$E$501,MATCH(B1134,Productos!$A$2:$A$501,0)),0))</f>
        <v/>
      </c>
      <c r="H1134" s="33">
        <f>IF(A1134="","",MONTH(A1134))</f>
        <v/>
      </c>
      <c r="I1134" s="33">
        <f>IF(A1134="","",YEAR(A1134))</f>
        <v/>
      </c>
    </row>
    <row r="1135" ht="15" customHeight="1" s="21">
      <c r="A1135" s="34" t="n"/>
      <c r="B1135" s="30" t="n"/>
      <c r="C1135" s="30" t="n"/>
      <c r="D1135" s="30" t="n"/>
      <c r="E1135" s="33">
        <f>IF(B1135="","",IFERROR(INDEX(Productos!$B$2:$B$501,MATCH(B1135,Productos!$A$2:$A$501,0)),"¿Código?"))</f>
        <v/>
      </c>
      <c r="F1135" s="32">
        <f>IF(C1135&lt;&gt;"Venta","",D1135*IFERROR(INDEX(Productos!$D$2:$D$501,MATCH(B1135,Productos!$A$2:$A$501,0)),0))</f>
        <v/>
      </c>
      <c r="G1135" s="32">
        <f>IF(C1135&lt;&gt;"Venta","",D1135*IFERROR(INDEX(Productos!$E$2:$E$501,MATCH(B1135,Productos!$A$2:$A$501,0)),0))</f>
        <v/>
      </c>
      <c r="H1135" s="33">
        <f>IF(A1135="","",MONTH(A1135))</f>
        <v/>
      </c>
      <c r="I1135" s="33">
        <f>IF(A1135="","",YEAR(A1135))</f>
        <v/>
      </c>
    </row>
    <row r="1136" ht="15" customHeight="1" s="21">
      <c r="A1136" s="34" t="n"/>
      <c r="B1136" s="30" t="n"/>
      <c r="C1136" s="30" t="n"/>
      <c r="D1136" s="30" t="n"/>
      <c r="E1136" s="33">
        <f>IF(B1136="","",IFERROR(INDEX(Productos!$B$2:$B$501,MATCH(B1136,Productos!$A$2:$A$501,0)),"¿Código?"))</f>
        <v/>
      </c>
      <c r="F1136" s="32">
        <f>IF(C1136&lt;&gt;"Venta","",D1136*IFERROR(INDEX(Productos!$D$2:$D$501,MATCH(B1136,Productos!$A$2:$A$501,0)),0))</f>
        <v/>
      </c>
      <c r="G1136" s="32">
        <f>IF(C1136&lt;&gt;"Venta","",D1136*IFERROR(INDEX(Productos!$E$2:$E$501,MATCH(B1136,Productos!$A$2:$A$501,0)),0))</f>
        <v/>
      </c>
      <c r="H1136" s="33">
        <f>IF(A1136="","",MONTH(A1136))</f>
        <v/>
      </c>
      <c r="I1136" s="33">
        <f>IF(A1136="","",YEAR(A1136))</f>
        <v/>
      </c>
    </row>
    <row r="1137" ht="15" customHeight="1" s="21">
      <c r="A1137" s="34" t="n"/>
      <c r="B1137" s="30" t="n"/>
      <c r="C1137" s="30" t="n"/>
      <c r="D1137" s="30" t="n"/>
      <c r="E1137" s="33">
        <f>IF(B1137="","",IFERROR(INDEX(Productos!$B$2:$B$501,MATCH(B1137,Productos!$A$2:$A$501,0)),"¿Código?"))</f>
        <v/>
      </c>
      <c r="F1137" s="32">
        <f>IF(C1137&lt;&gt;"Venta","",D1137*IFERROR(INDEX(Productos!$D$2:$D$501,MATCH(B1137,Productos!$A$2:$A$501,0)),0))</f>
        <v/>
      </c>
      <c r="G1137" s="32">
        <f>IF(C1137&lt;&gt;"Venta","",D1137*IFERROR(INDEX(Productos!$E$2:$E$501,MATCH(B1137,Productos!$A$2:$A$501,0)),0))</f>
        <v/>
      </c>
      <c r="H1137" s="33">
        <f>IF(A1137="","",MONTH(A1137))</f>
        <v/>
      </c>
      <c r="I1137" s="33">
        <f>IF(A1137="","",YEAR(A1137))</f>
        <v/>
      </c>
    </row>
    <row r="1138" ht="15" customHeight="1" s="21">
      <c r="A1138" s="34" t="n"/>
      <c r="B1138" s="30" t="n"/>
      <c r="C1138" s="30" t="n"/>
      <c r="D1138" s="30" t="n"/>
      <c r="E1138" s="33">
        <f>IF(B1138="","",IFERROR(INDEX(Productos!$B$2:$B$501,MATCH(B1138,Productos!$A$2:$A$501,0)),"¿Código?"))</f>
        <v/>
      </c>
      <c r="F1138" s="32">
        <f>IF(C1138&lt;&gt;"Venta","",D1138*IFERROR(INDEX(Productos!$D$2:$D$501,MATCH(B1138,Productos!$A$2:$A$501,0)),0))</f>
        <v/>
      </c>
      <c r="G1138" s="32">
        <f>IF(C1138&lt;&gt;"Venta","",D1138*IFERROR(INDEX(Productos!$E$2:$E$501,MATCH(B1138,Productos!$A$2:$A$501,0)),0))</f>
        <v/>
      </c>
      <c r="H1138" s="33">
        <f>IF(A1138="","",MONTH(A1138))</f>
        <v/>
      </c>
      <c r="I1138" s="33">
        <f>IF(A1138="","",YEAR(A1138))</f>
        <v/>
      </c>
    </row>
    <row r="1139" ht="15" customHeight="1" s="21">
      <c r="A1139" s="34" t="n"/>
      <c r="B1139" s="30" t="n"/>
      <c r="C1139" s="30" t="n"/>
      <c r="D1139" s="30" t="n"/>
      <c r="E1139" s="33">
        <f>IF(B1139="","",IFERROR(INDEX(Productos!$B$2:$B$501,MATCH(B1139,Productos!$A$2:$A$501,0)),"¿Código?"))</f>
        <v/>
      </c>
      <c r="F1139" s="32">
        <f>IF(C1139&lt;&gt;"Venta","",D1139*IFERROR(INDEX(Productos!$D$2:$D$501,MATCH(B1139,Productos!$A$2:$A$501,0)),0))</f>
        <v/>
      </c>
      <c r="G1139" s="32">
        <f>IF(C1139&lt;&gt;"Venta","",D1139*IFERROR(INDEX(Productos!$E$2:$E$501,MATCH(B1139,Productos!$A$2:$A$501,0)),0))</f>
        <v/>
      </c>
      <c r="H1139" s="33">
        <f>IF(A1139="","",MONTH(A1139))</f>
        <v/>
      </c>
      <c r="I1139" s="33">
        <f>IF(A1139="","",YEAR(A1139))</f>
        <v/>
      </c>
    </row>
    <row r="1140" ht="15" customHeight="1" s="21">
      <c r="A1140" s="34" t="n"/>
      <c r="B1140" s="30" t="n"/>
      <c r="C1140" s="30" t="n"/>
      <c r="D1140" s="30" t="n"/>
      <c r="E1140" s="33">
        <f>IF(B1140="","",IFERROR(INDEX(Productos!$B$2:$B$501,MATCH(B1140,Productos!$A$2:$A$501,0)),"¿Código?"))</f>
        <v/>
      </c>
      <c r="F1140" s="32">
        <f>IF(C1140&lt;&gt;"Venta","",D1140*IFERROR(INDEX(Productos!$D$2:$D$501,MATCH(B1140,Productos!$A$2:$A$501,0)),0))</f>
        <v/>
      </c>
      <c r="G1140" s="32">
        <f>IF(C1140&lt;&gt;"Venta","",D1140*IFERROR(INDEX(Productos!$E$2:$E$501,MATCH(B1140,Productos!$A$2:$A$501,0)),0))</f>
        <v/>
      </c>
      <c r="H1140" s="33">
        <f>IF(A1140="","",MONTH(A1140))</f>
        <v/>
      </c>
      <c r="I1140" s="33">
        <f>IF(A1140="","",YEAR(A1140))</f>
        <v/>
      </c>
    </row>
    <row r="1141" ht="15" customHeight="1" s="21">
      <c r="A1141" s="34" t="n"/>
      <c r="B1141" s="30" t="n"/>
      <c r="C1141" s="30" t="n"/>
      <c r="D1141" s="30" t="n"/>
      <c r="E1141" s="33">
        <f>IF(B1141="","",IFERROR(INDEX(Productos!$B$2:$B$501,MATCH(B1141,Productos!$A$2:$A$501,0)),"¿Código?"))</f>
        <v/>
      </c>
      <c r="F1141" s="32">
        <f>IF(C1141&lt;&gt;"Venta","",D1141*IFERROR(INDEX(Productos!$D$2:$D$501,MATCH(B1141,Productos!$A$2:$A$501,0)),0))</f>
        <v/>
      </c>
      <c r="G1141" s="32">
        <f>IF(C1141&lt;&gt;"Venta","",D1141*IFERROR(INDEX(Productos!$E$2:$E$501,MATCH(B1141,Productos!$A$2:$A$501,0)),0))</f>
        <v/>
      </c>
      <c r="H1141" s="33">
        <f>IF(A1141="","",MONTH(A1141))</f>
        <v/>
      </c>
      <c r="I1141" s="33">
        <f>IF(A1141="","",YEAR(A1141))</f>
        <v/>
      </c>
    </row>
    <row r="1142" ht="15" customHeight="1" s="21">
      <c r="A1142" s="34" t="n"/>
      <c r="B1142" s="30" t="n"/>
      <c r="C1142" s="30" t="n"/>
      <c r="D1142" s="30" t="n"/>
      <c r="E1142" s="33">
        <f>IF(B1142="","",IFERROR(INDEX(Productos!$B$2:$B$501,MATCH(B1142,Productos!$A$2:$A$501,0)),"¿Código?"))</f>
        <v/>
      </c>
      <c r="F1142" s="32">
        <f>IF(C1142&lt;&gt;"Venta","",D1142*IFERROR(INDEX(Productos!$D$2:$D$501,MATCH(B1142,Productos!$A$2:$A$501,0)),0))</f>
        <v/>
      </c>
      <c r="G1142" s="32">
        <f>IF(C1142&lt;&gt;"Venta","",D1142*IFERROR(INDEX(Productos!$E$2:$E$501,MATCH(B1142,Productos!$A$2:$A$501,0)),0))</f>
        <v/>
      </c>
      <c r="H1142" s="33">
        <f>IF(A1142="","",MONTH(A1142))</f>
        <v/>
      </c>
      <c r="I1142" s="33">
        <f>IF(A1142="","",YEAR(A1142))</f>
        <v/>
      </c>
    </row>
    <row r="1143" ht="15" customHeight="1" s="21">
      <c r="A1143" s="34" t="n"/>
      <c r="B1143" s="30" t="n"/>
      <c r="C1143" s="30" t="n"/>
      <c r="D1143" s="30" t="n"/>
      <c r="E1143" s="33">
        <f>IF(B1143="","",IFERROR(INDEX(Productos!$B$2:$B$501,MATCH(B1143,Productos!$A$2:$A$501,0)),"¿Código?"))</f>
        <v/>
      </c>
      <c r="F1143" s="32">
        <f>IF(C1143&lt;&gt;"Venta","",D1143*IFERROR(INDEX(Productos!$D$2:$D$501,MATCH(B1143,Productos!$A$2:$A$501,0)),0))</f>
        <v/>
      </c>
      <c r="G1143" s="32">
        <f>IF(C1143&lt;&gt;"Venta","",D1143*IFERROR(INDEX(Productos!$E$2:$E$501,MATCH(B1143,Productos!$A$2:$A$501,0)),0))</f>
        <v/>
      </c>
      <c r="H1143" s="33">
        <f>IF(A1143="","",MONTH(A1143))</f>
        <v/>
      </c>
      <c r="I1143" s="33">
        <f>IF(A1143="","",YEAR(A1143))</f>
        <v/>
      </c>
    </row>
    <row r="1144" ht="15" customHeight="1" s="21">
      <c r="A1144" s="34" t="n"/>
      <c r="B1144" s="30" t="n"/>
      <c r="C1144" s="30" t="n"/>
      <c r="D1144" s="30" t="n"/>
      <c r="E1144" s="33">
        <f>IF(B1144="","",IFERROR(INDEX(Productos!$B$2:$B$501,MATCH(B1144,Productos!$A$2:$A$501,0)),"¿Código?"))</f>
        <v/>
      </c>
      <c r="F1144" s="32">
        <f>IF(C1144&lt;&gt;"Venta","",D1144*IFERROR(INDEX(Productos!$D$2:$D$501,MATCH(B1144,Productos!$A$2:$A$501,0)),0))</f>
        <v/>
      </c>
      <c r="G1144" s="32">
        <f>IF(C1144&lt;&gt;"Venta","",D1144*IFERROR(INDEX(Productos!$E$2:$E$501,MATCH(B1144,Productos!$A$2:$A$501,0)),0))</f>
        <v/>
      </c>
      <c r="H1144" s="33">
        <f>IF(A1144="","",MONTH(A1144))</f>
        <v/>
      </c>
      <c r="I1144" s="33">
        <f>IF(A1144="","",YEAR(A1144))</f>
        <v/>
      </c>
    </row>
    <row r="1145" ht="15" customHeight="1" s="21">
      <c r="A1145" s="34" t="n"/>
      <c r="B1145" s="30" t="n"/>
      <c r="C1145" s="30" t="n"/>
      <c r="D1145" s="30" t="n"/>
      <c r="E1145" s="33">
        <f>IF(B1145="","",IFERROR(INDEX(Productos!$B$2:$B$501,MATCH(B1145,Productos!$A$2:$A$501,0)),"¿Código?"))</f>
        <v/>
      </c>
      <c r="F1145" s="32">
        <f>IF(C1145&lt;&gt;"Venta","",D1145*IFERROR(INDEX(Productos!$D$2:$D$501,MATCH(B1145,Productos!$A$2:$A$501,0)),0))</f>
        <v/>
      </c>
      <c r="G1145" s="32">
        <f>IF(C1145&lt;&gt;"Venta","",D1145*IFERROR(INDEX(Productos!$E$2:$E$501,MATCH(B1145,Productos!$A$2:$A$501,0)),0))</f>
        <v/>
      </c>
      <c r="H1145" s="33">
        <f>IF(A1145="","",MONTH(A1145))</f>
        <v/>
      </c>
      <c r="I1145" s="33">
        <f>IF(A1145="","",YEAR(A1145))</f>
        <v/>
      </c>
    </row>
    <row r="1146" ht="15" customHeight="1" s="21">
      <c r="A1146" s="34" t="n"/>
      <c r="B1146" s="30" t="n"/>
      <c r="C1146" s="30" t="n"/>
      <c r="D1146" s="30" t="n"/>
      <c r="E1146" s="33">
        <f>IF(B1146="","",IFERROR(INDEX(Productos!$B$2:$B$501,MATCH(B1146,Productos!$A$2:$A$501,0)),"¿Código?"))</f>
        <v/>
      </c>
      <c r="F1146" s="32">
        <f>IF(C1146&lt;&gt;"Venta","",D1146*IFERROR(INDEX(Productos!$D$2:$D$501,MATCH(B1146,Productos!$A$2:$A$501,0)),0))</f>
        <v/>
      </c>
      <c r="G1146" s="32">
        <f>IF(C1146&lt;&gt;"Venta","",D1146*IFERROR(INDEX(Productos!$E$2:$E$501,MATCH(B1146,Productos!$A$2:$A$501,0)),0))</f>
        <v/>
      </c>
      <c r="H1146" s="33">
        <f>IF(A1146="","",MONTH(A1146))</f>
        <v/>
      </c>
      <c r="I1146" s="33">
        <f>IF(A1146="","",YEAR(A1146))</f>
        <v/>
      </c>
    </row>
    <row r="1147" ht="15" customHeight="1" s="21">
      <c r="A1147" s="34" t="n"/>
      <c r="B1147" s="30" t="n"/>
      <c r="C1147" s="30" t="n"/>
      <c r="D1147" s="30" t="n"/>
      <c r="E1147" s="33">
        <f>IF(B1147="","",IFERROR(INDEX(Productos!$B$2:$B$501,MATCH(B1147,Productos!$A$2:$A$501,0)),"¿Código?"))</f>
        <v/>
      </c>
      <c r="F1147" s="32">
        <f>IF(C1147&lt;&gt;"Venta","",D1147*IFERROR(INDEX(Productos!$D$2:$D$501,MATCH(B1147,Productos!$A$2:$A$501,0)),0))</f>
        <v/>
      </c>
      <c r="G1147" s="32">
        <f>IF(C1147&lt;&gt;"Venta","",D1147*IFERROR(INDEX(Productos!$E$2:$E$501,MATCH(B1147,Productos!$A$2:$A$501,0)),0))</f>
        <v/>
      </c>
      <c r="H1147" s="33">
        <f>IF(A1147="","",MONTH(A1147))</f>
        <v/>
      </c>
      <c r="I1147" s="33">
        <f>IF(A1147="","",YEAR(A1147))</f>
        <v/>
      </c>
    </row>
    <row r="1148" ht="15" customHeight="1" s="21">
      <c r="A1148" s="34" t="n"/>
      <c r="B1148" s="30" t="n"/>
      <c r="C1148" s="30" t="n"/>
      <c r="D1148" s="30" t="n"/>
      <c r="E1148" s="33">
        <f>IF(B1148="","",IFERROR(INDEX(Productos!$B$2:$B$501,MATCH(B1148,Productos!$A$2:$A$501,0)),"¿Código?"))</f>
        <v/>
      </c>
      <c r="F1148" s="32">
        <f>IF(C1148&lt;&gt;"Venta","",D1148*IFERROR(INDEX(Productos!$D$2:$D$501,MATCH(B1148,Productos!$A$2:$A$501,0)),0))</f>
        <v/>
      </c>
      <c r="G1148" s="32">
        <f>IF(C1148&lt;&gt;"Venta","",D1148*IFERROR(INDEX(Productos!$E$2:$E$501,MATCH(B1148,Productos!$A$2:$A$501,0)),0))</f>
        <v/>
      </c>
      <c r="H1148" s="33">
        <f>IF(A1148="","",MONTH(A1148))</f>
        <v/>
      </c>
      <c r="I1148" s="33">
        <f>IF(A1148="","",YEAR(A1148))</f>
        <v/>
      </c>
    </row>
    <row r="1149" ht="15" customHeight="1" s="21">
      <c r="A1149" s="34" t="n"/>
      <c r="B1149" s="30" t="n"/>
      <c r="C1149" s="30" t="n"/>
      <c r="D1149" s="30" t="n"/>
      <c r="E1149" s="33">
        <f>IF(B1149="","",IFERROR(INDEX(Productos!$B$2:$B$501,MATCH(B1149,Productos!$A$2:$A$501,0)),"¿Código?"))</f>
        <v/>
      </c>
      <c r="F1149" s="32">
        <f>IF(C1149&lt;&gt;"Venta","",D1149*IFERROR(INDEX(Productos!$D$2:$D$501,MATCH(B1149,Productos!$A$2:$A$501,0)),0))</f>
        <v/>
      </c>
      <c r="G1149" s="32">
        <f>IF(C1149&lt;&gt;"Venta","",D1149*IFERROR(INDEX(Productos!$E$2:$E$501,MATCH(B1149,Productos!$A$2:$A$501,0)),0))</f>
        <v/>
      </c>
      <c r="H1149" s="33">
        <f>IF(A1149="","",MONTH(A1149))</f>
        <v/>
      </c>
      <c r="I1149" s="33">
        <f>IF(A1149="","",YEAR(A1149))</f>
        <v/>
      </c>
    </row>
    <row r="1150" ht="15" customHeight="1" s="21">
      <c r="A1150" s="34" t="n"/>
      <c r="B1150" s="30" t="n"/>
      <c r="C1150" s="30" t="n"/>
      <c r="D1150" s="30" t="n"/>
      <c r="E1150" s="33">
        <f>IF(B1150="","",IFERROR(INDEX(Productos!$B$2:$B$501,MATCH(B1150,Productos!$A$2:$A$501,0)),"¿Código?"))</f>
        <v/>
      </c>
      <c r="F1150" s="32">
        <f>IF(C1150&lt;&gt;"Venta","",D1150*IFERROR(INDEX(Productos!$D$2:$D$501,MATCH(B1150,Productos!$A$2:$A$501,0)),0))</f>
        <v/>
      </c>
      <c r="G1150" s="32">
        <f>IF(C1150&lt;&gt;"Venta","",D1150*IFERROR(INDEX(Productos!$E$2:$E$501,MATCH(B1150,Productos!$A$2:$A$501,0)),0))</f>
        <v/>
      </c>
      <c r="H1150" s="33">
        <f>IF(A1150="","",MONTH(A1150))</f>
        <v/>
      </c>
      <c r="I1150" s="33">
        <f>IF(A1150="","",YEAR(A1150))</f>
        <v/>
      </c>
    </row>
    <row r="1151" ht="15" customHeight="1" s="21">
      <c r="A1151" s="34" t="n"/>
      <c r="B1151" s="30" t="n"/>
      <c r="C1151" s="30" t="n"/>
      <c r="D1151" s="30" t="n"/>
      <c r="E1151" s="33">
        <f>IF(B1151="","",IFERROR(INDEX(Productos!$B$2:$B$501,MATCH(B1151,Productos!$A$2:$A$501,0)),"¿Código?"))</f>
        <v/>
      </c>
      <c r="F1151" s="32">
        <f>IF(C1151&lt;&gt;"Venta","",D1151*IFERROR(INDEX(Productos!$D$2:$D$501,MATCH(B1151,Productos!$A$2:$A$501,0)),0))</f>
        <v/>
      </c>
      <c r="G1151" s="32">
        <f>IF(C1151&lt;&gt;"Venta","",D1151*IFERROR(INDEX(Productos!$E$2:$E$501,MATCH(B1151,Productos!$A$2:$A$501,0)),0))</f>
        <v/>
      </c>
      <c r="H1151" s="33">
        <f>IF(A1151="","",MONTH(A1151))</f>
        <v/>
      </c>
      <c r="I1151" s="33">
        <f>IF(A1151="","",YEAR(A1151))</f>
        <v/>
      </c>
    </row>
    <row r="1152" ht="15" customHeight="1" s="21">
      <c r="A1152" s="34" t="n"/>
      <c r="B1152" s="30" t="n"/>
      <c r="C1152" s="30" t="n"/>
      <c r="D1152" s="30" t="n"/>
      <c r="E1152" s="33">
        <f>IF(B1152="","",IFERROR(INDEX(Productos!$B$2:$B$501,MATCH(B1152,Productos!$A$2:$A$501,0)),"¿Código?"))</f>
        <v/>
      </c>
      <c r="F1152" s="32">
        <f>IF(C1152&lt;&gt;"Venta","",D1152*IFERROR(INDEX(Productos!$D$2:$D$501,MATCH(B1152,Productos!$A$2:$A$501,0)),0))</f>
        <v/>
      </c>
      <c r="G1152" s="32">
        <f>IF(C1152&lt;&gt;"Venta","",D1152*IFERROR(INDEX(Productos!$E$2:$E$501,MATCH(B1152,Productos!$A$2:$A$501,0)),0))</f>
        <v/>
      </c>
      <c r="H1152" s="33">
        <f>IF(A1152="","",MONTH(A1152))</f>
        <v/>
      </c>
      <c r="I1152" s="33">
        <f>IF(A1152="","",YEAR(A1152))</f>
        <v/>
      </c>
    </row>
    <row r="1153" ht="15" customHeight="1" s="21">
      <c r="A1153" s="34" t="n"/>
      <c r="B1153" s="30" t="n"/>
      <c r="C1153" s="30" t="n"/>
      <c r="D1153" s="30" t="n"/>
      <c r="E1153" s="33">
        <f>IF(B1153="","",IFERROR(INDEX(Productos!$B$2:$B$501,MATCH(B1153,Productos!$A$2:$A$501,0)),"¿Código?"))</f>
        <v/>
      </c>
      <c r="F1153" s="32">
        <f>IF(C1153&lt;&gt;"Venta","",D1153*IFERROR(INDEX(Productos!$D$2:$D$501,MATCH(B1153,Productos!$A$2:$A$501,0)),0))</f>
        <v/>
      </c>
      <c r="G1153" s="32">
        <f>IF(C1153&lt;&gt;"Venta","",D1153*IFERROR(INDEX(Productos!$E$2:$E$501,MATCH(B1153,Productos!$A$2:$A$501,0)),0))</f>
        <v/>
      </c>
      <c r="H1153" s="33">
        <f>IF(A1153="","",MONTH(A1153))</f>
        <v/>
      </c>
      <c r="I1153" s="33">
        <f>IF(A1153="","",YEAR(A1153))</f>
        <v/>
      </c>
    </row>
    <row r="1154" ht="15" customHeight="1" s="21">
      <c r="A1154" s="34" t="n"/>
      <c r="B1154" s="30" t="n"/>
      <c r="C1154" s="30" t="n"/>
      <c r="D1154" s="30" t="n"/>
      <c r="E1154" s="33">
        <f>IF(B1154="","",IFERROR(INDEX(Productos!$B$2:$B$501,MATCH(B1154,Productos!$A$2:$A$501,0)),"¿Código?"))</f>
        <v/>
      </c>
      <c r="F1154" s="32">
        <f>IF(C1154&lt;&gt;"Venta","",D1154*IFERROR(INDEX(Productos!$D$2:$D$501,MATCH(B1154,Productos!$A$2:$A$501,0)),0))</f>
        <v/>
      </c>
      <c r="G1154" s="32">
        <f>IF(C1154&lt;&gt;"Venta","",D1154*IFERROR(INDEX(Productos!$E$2:$E$501,MATCH(B1154,Productos!$A$2:$A$501,0)),0))</f>
        <v/>
      </c>
      <c r="H1154" s="33">
        <f>IF(A1154="","",MONTH(A1154))</f>
        <v/>
      </c>
      <c r="I1154" s="33">
        <f>IF(A1154="","",YEAR(A1154))</f>
        <v/>
      </c>
    </row>
    <row r="1155" ht="15" customHeight="1" s="21">
      <c r="A1155" s="34" t="n"/>
      <c r="B1155" s="30" t="n"/>
      <c r="C1155" s="30" t="n"/>
      <c r="D1155" s="30" t="n"/>
      <c r="E1155" s="33">
        <f>IF(B1155="","",IFERROR(INDEX(Productos!$B$2:$B$501,MATCH(B1155,Productos!$A$2:$A$501,0)),"¿Código?"))</f>
        <v/>
      </c>
      <c r="F1155" s="32">
        <f>IF(C1155&lt;&gt;"Venta","",D1155*IFERROR(INDEX(Productos!$D$2:$D$501,MATCH(B1155,Productos!$A$2:$A$501,0)),0))</f>
        <v/>
      </c>
      <c r="G1155" s="32">
        <f>IF(C1155&lt;&gt;"Venta","",D1155*IFERROR(INDEX(Productos!$E$2:$E$501,MATCH(B1155,Productos!$A$2:$A$501,0)),0))</f>
        <v/>
      </c>
      <c r="H1155" s="33">
        <f>IF(A1155="","",MONTH(A1155))</f>
        <v/>
      </c>
      <c r="I1155" s="33">
        <f>IF(A1155="","",YEAR(A1155))</f>
        <v/>
      </c>
    </row>
    <row r="1156" ht="15" customHeight="1" s="21">
      <c r="A1156" s="34" t="n"/>
      <c r="B1156" s="30" t="n"/>
      <c r="C1156" s="30" t="n"/>
      <c r="D1156" s="30" t="n"/>
      <c r="E1156" s="33">
        <f>IF(B1156="","",IFERROR(INDEX(Productos!$B$2:$B$501,MATCH(B1156,Productos!$A$2:$A$501,0)),"¿Código?"))</f>
        <v/>
      </c>
      <c r="F1156" s="32">
        <f>IF(C1156&lt;&gt;"Venta","",D1156*IFERROR(INDEX(Productos!$D$2:$D$501,MATCH(B1156,Productos!$A$2:$A$501,0)),0))</f>
        <v/>
      </c>
      <c r="G1156" s="32">
        <f>IF(C1156&lt;&gt;"Venta","",D1156*IFERROR(INDEX(Productos!$E$2:$E$501,MATCH(B1156,Productos!$A$2:$A$501,0)),0))</f>
        <v/>
      </c>
      <c r="H1156" s="33">
        <f>IF(A1156="","",MONTH(A1156))</f>
        <v/>
      </c>
      <c r="I1156" s="33">
        <f>IF(A1156="","",YEAR(A1156))</f>
        <v/>
      </c>
    </row>
    <row r="1157" ht="15" customHeight="1" s="21">
      <c r="A1157" s="34" t="n"/>
      <c r="B1157" s="30" t="n"/>
      <c r="C1157" s="30" t="n"/>
      <c r="D1157" s="30" t="n"/>
      <c r="E1157" s="33">
        <f>IF(B1157="","",IFERROR(INDEX(Productos!$B$2:$B$501,MATCH(B1157,Productos!$A$2:$A$501,0)),"¿Código?"))</f>
        <v/>
      </c>
      <c r="F1157" s="32">
        <f>IF(C1157&lt;&gt;"Venta","",D1157*IFERROR(INDEX(Productos!$D$2:$D$501,MATCH(B1157,Productos!$A$2:$A$501,0)),0))</f>
        <v/>
      </c>
      <c r="G1157" s="32">
        <f>IF(C1157&lt;&gt;"Venta","",D1157*IFERROR(INDEX(Productos!$E$2:$E$501,MATCH(B1157,Productos!$A$2:$A$501,0)),0))</f>
        <v/>
      </c>
      <c r="H1157" s="33">
        <f>IF(A1157="","",MONTH(A1157))</f>
        <v/>
      </c>
      <c r="I1157" s="33">
        <f>IF(A1157="","",YEAR(A1157))</f>
        <v/>
      </c>
    </row>
    <row r="1158" ht="15" customHeight="1" s="21">
      <c r="A1158" s="34" t="n"/>
      <c r="B1158" s="30" t="n"/>
      <c r="C1158" s="30" t="n"/>
      <c r="D1158" s="30" t="n"/>
      <c r="E1158" s="33">
        <f>IF(B1158="","",IFERROR(INDEX(Productos!$B$2:$B$501,MATCH(B1158,Productos!$A$2:$A$501,0)),"¿Código?"))</f>
        <v/>
      </c>
      <c r="F1158" s="32">
        <f>IF(C1158&lt;&gt;"Venta","",D1158*IFERROR(INDEX(Productos!$D$2:$D$501,MATCH(B1158,Productos!$A$2:$A$501,0)),0))</f>
        <v/>
      </c>
      <c r="G1158" s="32">
        <f>IF(C1158&lt;&gt;"Venta","",D1158*IFERROR(INDEX(Productos!$E$2:$E$501,MATCH(B1158,Productos!$A$2:$A$501,0)),0))</f>
        <v/>
      </c>
      <c r="H1158" s="33">
        <f>IF(A1158="","",MONTH(A1158))</f>
        <v/>
      </c>
      <c r="I1158" s="33">
        <f>IF(A1158="","",YEAR(A1158))</f>
        <v/>
      </c>
    </row>
    <row r="1159" ht="15" customHeight="1" s="21">
      <c r="A1159" s="34" t="n"/>
      <c r="B1159" s="30" t="n"/>
      <c r="C1159" s="30" t="n"/>
      <c r="D1159" s="30" t="n"/>
      <c r="E1159" s="33">
        <f>IF(B1159="","",IFERROR(INDEX(Productos!$B$2:$B$501,MATCH(B1159,Productos!$A$2:$A$501,0)),"¿Código?"))</f>
        <v/>
      </c>
      <c r="F1159" s="32">
        <f>IF(C1159&lt;&gt;"Venta","",D1159*IFERROR(INDEX(Productos!$D$2:$D$501,MATCH(B1159,Productos!$A$2:$A$501,0)),0))</f>
        <v/>
      </c>
      <c r="G1159" s="32">
        <f>IF(C1159&lt;&gt;"Venta","",D1159*IFERROR(INDEX(Productos!$E$2:$E$501,MATCH(B1159,Productos!$A$2:$A$501,0)),0))</f>
        <v/>
      </c>
      <c r="H1159" s="33">
        <f>IF(A1159="","",MONTH(A1159))</f>
        <v/>
      </c>
      <c r="I1159" s="33">
        <f>IF(A1159="","",YEAR(A1159))</f>
        <v/>
      </c>
    </row>
    <row r="1160" ht="15" customHeight="1" s="21">
      <c r="A1160" s="34" t="n"/>
      <c r="B1160" s="30" t="n"/>
      <c r="C1160" s="30" t="n"/>
      <c r="D1160" s="30" t="n"/>
      <c r="E1160" s="33">
        <f>IF(B1160="","",IFERROR(INDEX(Productos!$B$2:$B$501,MATCH(B1160,Productos!$A$2:$A$501,0)),"¿Código?"))</f>
        <v/>
      </c>
      <c r="F1160" s="32">
        <f>IF(C1160&lt;&gt;"Venta","",D1160*IFERROR(INDEX(Productos!$D$2:$D$501,MATCH(B1160,Productos!$A$2:$A$501,0)),0))</f>
        <v/>
      </c>
      <c r="G1160" s="32">
        <f>IF(C1160&lt;&gt;"Venta","",D1160*IFERROR(INDEX(Productos!$E$2:$E$501,MATCH(B1160,Productos!$A$2:$A$501,0)),0))</f>
        <v/>
      </c>
      <c r="H1160" s="33">
        <f>IF(A1160="","",MONTH(A1160))</f>
        <v/>
      </c>
      <c r="I1160" s="33">
        <f>IF(A1160="","",YEAR(A1160))</f>
        <v/>
      </c>
    </row>
    <row r="1161" ht="15" customHeight="1" s="21">
      <c r="A1161" s="34" t="n"/>
      <c r="B1161" s="30" t="n"/>
      <c r="C1161" s="30" t="n"/>
      <c r="D1161" s="30" t="n"/>
      <c r="E1161" s="33">
        <f>IF(B1161="","",IFERROR(INDEX(Productos!$B$2:$B$501,MATCH(B1161,Productos!$A$2:$A$501,0)),"¿Código?"))</f>
        <v/>
      </c>
      <c r="F1161" s="32">
        <f>IF(C1161&lt;&gt;"Venta","",D1161*IFERROR(INDEX(Productos!$D$2:$D$501,MATCH(B1161,Productos!$A$2:$A$501,0)),0))</f>
        <v/>
      </c>
      <c r="G1161" s="32">
        <f>IF(C1161&lt;&gt;"Venta","",D1161*IFERROR(INDEX(Productos!$E$2:$E$501,MATCH(B1161,Productos!$A$2:$A$501,0)),0))</f>
        <v/>
      </c>
      <c r="H1161" s="33">
        <f>IF(A1161="","",MONTH(A1161))</f>
        <v/>
      </c>
      <c r="I1161" s="33">
        <f>IF(A1161="","",YEAR(A1161))</f>
        <v/>
      </c>
    </row>
    <row r="1162" ht="15" customHeight="1" s="21">
      <c r="A1162" s="34" t="n"/>
      <c r="B1162" s="30" t="n"/>
      <c r="C1162" s="30" t="n"/>
      <c r="D1162" s="30" t="n"/>
      <c r="E1162" s="33">
        <f>IF(B1162="","",IFERROR(INDEX(Productos!$B$2:$B$501,MATCH(B1162,Productos!$A$2:$A$501,0)),"¿Código?"))</f>
        <v/>
      </c>
      <c r="F1162" s="32">
        <f>IF(C1162&lt;&gt;"Venta","",D1162*IFERROR(INDEX(Productos!$D$2:$D$501,MATCH(B1162,Productos!$A$2:$A$501,0)),0))</f>
        <v/>
      </c>
      <c r="G1162" s="32">
        <f>IF(C1162&lt;&gt;"Venta","",D1162*IFERROR(INDEX(Productos!$E$2:$E$501,MATCH(B1162,Productos!$A$2:$A$501,0)),0))</f>
        <v/>
      </c>
      <c r="H1162" s="33">
        <f>IF(A1162="","",MONTH(A1162))</f>
        <v/>
      </c>
      <c r="I1162" s="33">
        <f>IF(A1162="","",YEAR(A1162))</f>
        <v/>
      </c>
    </row>
    <row r="1163" ht="15" customHeight="1" s="21">
      <c r="A1163" s="34" t="n"/>
      <c r="B1163" s="30" t="n"/>
      <c r="C1163" s="30" t="n"/>
      <c r="D1163" s="30" t="n"/>
      <c r="E1163" s="33">
        <f>IF(B1163="","",IFERROR(INDEX(Productos!$B$2:$B$501,MATCH(B1163,Productos!$A$2:$A$501,0)),"¿Código?"))</f>
        <v/>
      </c>
      <c r="F1163" s="32">
        <f>IF(C1163&lt;&gt;"Venta","",D1163*IFERROR(INDEX(Productos!$D$2:$D$501,MATCH(B1163,Productos!$A$2:$A$501,0)),0))</f>
        <v/>
      </c>
      <c r="G1163" s="32">
        <f>IF(C1163&lt;&gt;"Venta","",D1163*IFERROR(INDEX(Productos!$E$2:$E$501,MATCH(B1163,Productos!$A$2:$A$501,0)),0))</f>
        <v/>
      </c>
      <c r="H1163" s="33">
        <f>IF(A1163="","",MONTH(A1163))</f>
        <v/>
      </c>
      <c r="I1163" s="33">
        <f>IF(A1163="","",YEAR(A1163))</f>
        <v/>
      </c>
    </row>
    <row r="1164" ht="15" customHeight="1" s="21">
      <c r="A1164" s="34" t="n"/>
      <c r="B1164" s="30" t="n"/>
      <c r="C1164" s="30" t="n"/>
      <c r="D1164" s="30" t="n"/>
      <c r="E1164" s="33">
        <f>IF(B1164="","",IFERROR(INDEX(Productos!$B$2:$B$501,MATCH(B1164,Productos!$A$2:$A$501,0)),"¿Código?"))</f>
        <v/>
      </c>
      <c r="F1164" s="32">
        <f>IF(C1164&lt;&gt;"Venta","",D1164*IFERROR(INDEX(Productos!$D$2:$D$501,MATCH(B1164,Productos!$A$2:$A$501,0)),0))</f>
        <v/>
      </c>
      <c r="G1164" s="32">
        <f>IF(C1164&lt;&gt;"Venta","",D1164*IFERROR(INDEX(Productos!$E$2:$E$501,MATCH(B1164,Productos!$A$2:$A$501,0)),0))</f>
        <v/>
      </c>
      <c r="H1164" s="33">
        <f>IF(A1164="","",MONTH(A1164))</f>
        <v/>
      </c>
      <c r="I1164" s="33">
        <f>IF(A1164="","",YEAR(A1164))</f>
        <v/>
      </c>
    </row>
    <row r="1165" ht="15" customHeight="1" s="21">
      <c r="A1165" s="34" t="n"/>
      <c r="B1165" s="30" t="n"/>
      <c r="C1165" s="30" t="n"/>
      <c r="D1165" s="30" t="n"/>
      <c r="E1165" s="33">
        <f>IF(B1165="","",IFERROR(INDEX(Productos!$B$2:$B$501,MATCH(B1165,Productos!$A$2:$A$501,0)),"¿Código?"))</f>
        <v/>
      </c>
      <c r="F1165" s="32">
        <f>IF(C1165&lt;&gt;"Venta","",D1165*IFERROR(INDEX(Productos!$D$2:$D$501,MATCH(B1165,Productos!$A$2:$A$501,0)),0))</f>
        <v/>
      </c>
      <c r="G1165" s="32">
        <f>IF(C1165&lt;&gt;"Venta","",D1165*IFERROR(INDEX(Productos!$E$2:$E$501,MATCH(B1165,Productos!$A$2:$A$501,0)),0))</f>
        <v/>
      </c>
      <c r="H1165" s="33">
        <f>IF(A1165="","",MONTH(A1165))</f>
        <v/>
      </c>
      <c r="I1165" s="33">
        <f>IF(A1165="","",YEAR(A1165))</f>
        <v/>
      </c>
    </row>
    <row r="1166" ht="15" customHeight="1" s="21">
      <c r="A1166" s="34" t="n"/>
      <c r="B1166" s="30" t="n"/>
      <c r="C1166" s="30" t="n"/>
      <c r="D1166" s="30" t="n"/>
      <c r="E1166" s="33">
        <f>IF(B1166="","",IFERROR(INDEX(Productos!$B$2:$B$501,MATCH(B1166,Productos!$A$2:$A$501,0)),"¿Código?"))</f>
        <v/>
      </c>
      <c r="F1166" s="32">
        <f>IF(C1166&lt;&gt;"Venta","",D1166*IFERROR(INDEX(Productos!$D$2:$D$501,MATCH(B1166,Productos!$A$2:$A$501,0)),0))</f>
        <v/>
      </c>
      <c r="G1166" s="32">
        <f>IF(C1166&lt;&gt;"Venta","",D1166*IFERROR(INDEX(Productos!$E$2:$E$501,MATCH(B1166,Productos!$A$2:$A$501,0)),0))</f>
        <v/>
      </c>
      <c r="H1166" s="33">
        <f>IF(A1166="","",MONTH(A1166))</f>
        <v/>
      </c>
      <c r="I1166" s="33">
        <f>IF(A1166="","",YEAR(A1166))</f>
        <v/>
      </c>
    </row>
    <row r="1167" ht="15" customHeight="1" s="21">
      <c r="A1167" s="34" t="n"/>
      <c r="B1167" s="30" t="n"/>
      <c r="C1167" s="30" t="n"/>
      <c r="D1167" s="30" t="n"/>
      <c r="E1167" s="33">
        <f>IF(B1167="","",IFERROR(INDEX(Productos!$B$2:$B$501,MATCH(B1167,Productos!$A$2:$A$501,0)),"¿Código?"))</f>
        <v/>
      </c>
      <c r="F1167" s="32">
        <f>IF(C1167&lt;&gt;"Venta","",D1167*IFERROR(INDEX(Productos!$D$2:$D$501,MATCH(B1167,Productos!$A$2:$A$501,0)),0))</f>
        <v/>
      </c>
      <c r="G1167" s="32">
        <f>IF(C1167&lt;&gt;"Venta","",D1167*IFERROR(INDEX(Productos!$E$2:$E$501,MATCH(B1167,Productos!$A$2:$A$501,0)),0))</f>
        <v/>
      </c>
      <c r="H1167" s="33">
        <f>IF(A1167="","",MONTH(A1167))</f>
        <v/>
      </c>
      <c r="I1167" s="33">
        <f>IF(A1167="","",YEAR(A1167))</f>
        <v/>
      </c>
    </row>
    <row r="1168" ht="15" customHeight="1" s="21">
      <c r="A1168" s="34" t="n"/>
      <c r="B1168" s="30" t="n"/>
      <c r="C1168" s="30" t="n"/>
      <c r="D1168" s="30" t="n"/>
      <c r="E1168" s="33">
        <f>IF(B1168="","",IFERROR(INDEX(Productos!$B$2:$B$501,MATCH(B1168,Productos!$A$2:$A$501,0)),"¿Código?"))</f>
        <v/>
      </c>
      <c r="F1168" s="32">
        <f>IF(C1168&lt;&gt;"Venta","",D1168*IFERROR(INDEX(Productos!$D$2:$D$501,MATCH(B1168,Productos!$A$2:$A$501,0)),0))</f>
        <v/>
      </c>
      <c r="G1168" s="32">
        <f>IF(C1168&lt;&gt;"Venta","",D1168*IFERROR(INDEX(Productos!$E$2:$E$501,MATCH(B1168,Productos!$A$2:$A$501,0)),0))</f>
        <v/>
      </c>
      <c r="H1168" s="33">
        <f>IF(A1168="","",MONTH(A1168))</f>
        <v/>
      </c>
      <c r="I1168" s="33">
        <f>IF(A1168="","",YEAR(A1168))</f>
        <v/>
      </c>
    </row>
    <row r="1169" ht="15" customHeight="1" s="21">
      <c r="A1169" s="34" t="n"/>
      <c r="B1169" s="30" t="n"/>
      <c r="C1169" s="30" t="n"/>
      <c r="D1169" s="30" t="n"/>
      <c r="E1169" s="33">
        <f>IF(B1169="","",IFERROR(INDEX(Productos!$B$2:$B$501,MATCH(B1169,Productos!$A$2:$A$501,0)),"¿Código?"))</f>
        <v/>
      </c>
      <c r="F1169" s="32">
        <f>IF(C1169&lt;&gt;"Venta","",D1169*IFERROR(INDEX(Productos!$D$2:$D$501,MATCH(B1169,Productos!$A$2:$A$501,0)),0))</f>
        <v/>
      </c>
      <c r="G1169" s="32">
        <f>IF(C1169&lt;&gt;"Venta","",D1169*IFERROR(INDEX(Productos!$E$2:$E$501,MATCH(B1169,Productos!$A$2:$A$501,0)),0))</f>
        <v/>
      </c>
      <c r="H1169" s="33">
        <f>IF(A1169="","",MONTH(A1169))</f>
        <v/>
      </c>
      <c r="I1169" s="33">
        <f>IF(A1169="","",YEAR(A1169))</f>
        <v/>
      </c>
    </row>
    <row r="1170" ht="15" customHeight="1" s="21">
      <c r="A1170" s="34" t="n"/>
      <c r="B1170" s="30" t="n"/>
      <c r="C1170" s="30" t="n"/>
      <c r="D1170" s="30" t="n"/>
      <c r="E1170" s="33">
        <f>IF(B1170="","",IFERROR(INDEX(Productos!$B$2:$B$501,MATCH(B1170,Productos!$A$2:$A$501,0)),"¿Código?"))</f>
        <v/>
      </c>
      <c r="F1170" s="32">
        <f>IF(C1170&lt;&gt;"Venta","",D1170*IFERROR(INDEX(Productos!$D$2:$D$501,MATCH(B1170,Productos!$A$2:$A$501,0)),0))</f>
        <v/>
      </c>
      <c r="G1170" s="32">
        <f>IF(C1170&lt;&gt;"Venta","",D1170*IFERROR(INDEX(Productos!$E$2:$E$501,MATCH(B1170,Productos!$A$2:$A$501,0)),0))</f>
        <v/>
      </c>
      <c r="H1170" s="33">
        <f>IF(A1170="","",MONTH(A1170))</f>
        <v/>
      </c>
      <c r="I1170" s="33">
        <f>IF(A1170="","",YEAR(A1170))</f>
        <v/>
      </c>
    </row>
    <row r="1171" ht="15" customHeight="1" s="21">
      <c r="A1171" s="34" t="n"/>
      <c r="B1171" s="30" t="n"/>
      <c r="C1171" s="30" t="n"/>
      <c r="D1171" s="30" t="n"/>
      <c r="E1171" s="33">
        <f>IF(B1171="","",IFERROR(INDEX(Productos!$B$2:$B$501,MATCH(B1171,Productos!$A$2:$A$501,0)),"¿Código?"))</f>
        <v/>
      </c>
      <c r="F1171" s="32">
        <f>IF(C1171&lt;&gt;"Venta","",D1171*IFERROR(INDEX(Productos!$D$2:$D$501,MATCH(B1171,Productos!$A$2:$A$501,0)),0))</f>
        <v/>
      </c>
      <c r="G1171" s="32">
        <f>IF(C1171&lt;&gt;"Venta","",D1171*IFERROR(INDEX(Productos!$E$2:$E$501,MATCH(B1171,Productos!$A$2:$A$501,0)),0))</f>
        <v/>
      </c>
      <c r="H1171" s="33">
        <f>IF(A1171="","",MONTH(A1171))</f>
        <v/>
      </c>
      <c r="I1171" s="33">
        <f>IF(A1171="","",YEAR(A1171))</f>
        <v/>
      </c>
    </row>
    <row r="1172" ht="15" customHeight="1" s="21">
      <c r="A1172" s="34" t="n"/>
      <c r="B1172" s="30" t="n"/>
      <c r="C1172" s="30" t="n"/>
      <c r="D1172" s="30" t="n"/>
      <c r="E1172" s="33">
        <f>IF(B1172="","",IFERROR(INDEX(Productos!$B$2:$B$501,MATCH(B1172,Productos!$A$2:$A$501,0)),"¿Código?"))</f>
        <v/>
      </c>
      <c r="F1172" s="32">
        <f>IF(C1172&lt;&gt;"Venta","",D1172*IFERROR(INDEX(Productos!$D$2:$D$501,MATCH(B1172,Productos!$A$2:$A$501,0)),0))</f>
        <v/>
      </c>
      <c r="G1172" s="32">
        <f>IF(C1172&lt;&gt;"Venta","",D1172*IFERROR(INDEX(Productos!$E$2:$E$501,MATCH(B1172,Productos!$A$2:$A$501,0)),0))</f>
        <v/>
      </c>
      <c r="H1172" s="33">
        <f>IF(A1172="","",MONTH(A1172))</f>
        <v/>
      </c>
      <c r="I1172" s="33">
        <f>IF(A1172="","",YEAR(A1172))</f>
        <v/>
      </c>
    </row>
    <row r="1173" ht="15" customHeight="1" s="21">
      <c r="A1173" s="34" t="n"/>
      <c r="B1173" s="30" t="n"/>
      <c r="C1173" s="30" t="n"/>
      <c r="D1173" s="30" t="n"/>
      <c r="E1173" s="33">
        <f>IF(B1173="","",IFERROR(INDEX(Productos!$B$2:$B$501,MATCH(B1173,Productos!$A$2:$A$501,0)),"¿Código?"))</f>
        <v/>
      </c>
      <c r="F1173" s="32">
        <f>IF(C1173&lt;&gt;"Venta","",D1173*IFERROR(INDEX(Productos!$D$2:$D$501,MATCH(B1173,Productos!$A$2:$A$501,0)),0))</f>
        <v/>
      </c>
      <c r="G1173" s="32">
        <f>IF(C1173&lt;&gt;"Venta","",D1173*IFERROR(INDEX(Productos!$E$2:$E$501,MATCH(B1173,Productos!$A$2:$A$501,0)),0))</f>
        <v/>
      </c>
      <c r="H1173" s="33">
        <f>IF(A1173="","",MONTH(A1173))</f>
        <v/>
      </c>
      <c r="I1173" s="33">
        <f>IF(A1173="","",YEAR(A1173))</f>
        <v/>
      </c>
    </row>
    <row r="1174" ht="15" customHeight="1" s="21">
      <c r="A1174" s="34" t="n"/>
      <c r="B1174" s="30" t="n"/>
      <c r="C1174" s="30" t="n"/>
      <c r="D1174" s="30" t="n"/>
      <c r="E1174" s="33">
        <f>IF(B1174="","",IFERROR(INDEX(Productos!$B$2:$B$501,MATCH(B1174,Productos!$A$2:$A$501,0)),"¿Código?"))</f>
        <v/>
      </c>
      <c r="F1174" s="32">
        <f>IF(C1174&lt;&gt;"Venta","",D1174*IFERROR(INDEX(Productos!$D$2:$D$501,MATCH(B1174,Productos!$A$2:$A$501,0)),0))</f>
        <v/>
      </c>
      <c r="G1174" s="32">
        <f>IF(C1174&lt;&gt;"Venta","",D1174*IFERROR(INDEX(Productos!$E$2:$E$501,MATCH(B1174,Productos!$A$2:$A$501,0)),0))</f>
        <v/>
      </c>
      <c r="H1174" s="33">
        <f>IF(A1174="","",MONTH(A1174))</f>
        <v/>
      </c>
      <c r="I1174" s="33">
        <f>IF(A1174="","",YEAR(A1174))</f>
        <v/>
      </c>
    </row>
    <row r="1175" ht="15" customHeight="1" s="21">
      <c r="A1175" s="34" t="n"/>
      <c r="B1175" s="30" t="n"/>
      <c r="C1175" s="30" t="n"/>
      <c r="D1175" s="30" t="n"/>
      <c r="E1175" s="33">
        <f>IF(B1175="","",IFERROR(INDEX(Productos!$B$2:$B$501,MATCH(B1175,Productos!$A$2:$A$501,0)),"¿Código?"))</f>
        <v/>
      </c>
      <c r="F1175" s="32">
        <f>IF(C1175&lt;&gt;"Venta","",D1175*IFERROR(INDEX(Productos!$D$2:$D$501,MATCH(B1175,Productos!$A$2:$A$501,0)),0))</f>
        <v/>
      </c>
      <c r="G1175" s="32">
        <f>IF(C1175&lt;&gt;"Venta","",D1175*IFERROR(INDEX(Productos!$E$2:$E$501,MATCH(B1175,Productos!$A$2:$A$501,0)),0))</f>
        <v/>
      </c>
      <c r="H1175" s="33">
        <f>IF(A1175="","",MONTH(A1175))</f>
        <v/>
      </c>
      <c r="I1175" s="33">
        <f>IF(A1175="","",YEAR(A1175))</f>
        <v/>
      </c>
    </row>
    <row r="1176" ht="15" customHeight="1" s="21">
      <c r="A1176" s="34" t="n"/>
      <c r="B1176" s="30" t="n"/>
      <c r="C1176" s="30" t="n"/>
      <c r="D1176" s="30" t="n"/>
      <c r="E1176" s="33">
        <f>IF(B1176="","",IFERROR(INDEX(Productos!$B$2:$B$501,MATCH(B1176,Productos!$A$2:$A$501,0)),"¿Código?"))</f>
        <v/>
      </c>
      <c r="F1176" s="32">
        <f>IF(C1176&lt;&gt;"Venta","",D1176*IFERROR(INDEX(Productos!$D$2:$D$501,MATCH(B1176,Productos!$A$2:$A$501,0)),0))</f>
        <v/>
      </c>
      <c r="G1176" s="32">
        <f>IF(C1176&lt;&gt;"Venta","",D1176*IFERROR(INDEX(Productos!$E$2:$E$501,MATCH(B1176,Productos!$A$2:$A$501,0)),0))</f>
        <v/>
      </c>
      <c r="H1176" s="33">
        <f>IF(A1176="","",MONTH(A1176))</f>
        <v/>
      </c>
      <c r="I1176" s="33">
        <f>IF(A1176="","",YEAR(A1176))</f>
        <v/>
      </c>
    </row>
    <row r="1177" ht="15" customHeight="1" s="21">
      <c r="A1177" s="34" t="n"/>
      <c r="B1177" s="30" t="n"/>
      <c r="C1177" s="30" t="n"/>
      <c r="D1177" s="30" t="n"/>
      <c r="E1177" s="33">
        <f>IF(B1177="","",IFERROR(INDEX(Productos!$B$2:$B$501,MATCH(B1177,Productos!$A$2:$A$501,0)),"¿Código?"))</f>
        <v/>
      </c>
      <c r="F1177" s="32">
        <f>IF(C1177&lt;&gt;"Venta","",D1177*IFERROR(INDEX(Productos!$D$2:$D$501,MATCH(B1177,Productos!$A$2:$A$501,0)),0))</f>
        <v/>
      </c>
      <c r="G1177" s="32">
        <f>IF(C1177&lt;&gt;"Venta","",D1177*IFERROR(INDEX(Productos!$E$2:$E$501,MATCH(B1177,Productos!$A$2:$A$501,0)),0))</f>
        <v/>
      </c>
      <c r="H1177" s="33">
        <f>IF(A1177="","",MONTH(A1177))</f>
        <v/>
      </c>
      <c r="I1177" s="33">
        <f>IF(A1177="","",YEAR(A1177))</f>
        <v/>
      </c>
    </row>
    <row r="1178" ht="15" customHeight="1" s="21">
      <c r="A1178" s="34" t="n"/>
      <c r="B1178" s="30" t="n"/>
      <c r="C1178" s="30" t="n"/>
      <c r="D1178" s="30" t="n"/>
      <c r="E1178" s="33">
        <f>IF(B1178="","",IFERROR(INDEX(Productos!$B$2:$B$501,MATCH(B1178,Productos!$A$2:$A$501,0)),"¿Código?"))</f>
        <v/>
      </c>
      <c r="F1178" s="32">
        <f>IF(C1178&lt;&gt;"Venta","",D1178*IFERROR(INDEX(Productos!$D$2:$D$501,MATCH(B1178,Productos!$A$2:$A$501,0)),0))</f>
        <v/>
      </c>
      <c r="G1178" s="32">
        <f>IF(C1178&lt;&gt;"Venta","",D1178*IFERROR(INDEX(Productos!$E$2:$E$501,MATCH(B1178,Productos!$A$2:$A$501,0)),0))</f>
        <v/>
      </c>
      <c r="H1178" s="33">
        <f>IF(A1178="","",MONTH(A1178))</f>
        <v/>
      </c>
      <c r="I1178" s="33">
        <f>IF(A1178="","",YEAR(A1178))</f>
        <v/>
      </c>
    </row>
    <row r="1179" ht="15" customHeight="1" s="21">
      <c r="A1179" s="34" t="n"/>
      <c r="B1179" s="30" t="n"/>
      <c r="C1179" s="30" t="n"/>
      <c r="D1179" s="30" t="n"/>
      <c r="E1179" s="33">
        <f>IF(B1179="","",IFERROR(INDEX(Productos!$B$2:$B$501,MATCH(B1179,Productos!$A$2:$A$501,0)),"¿Código?"))</f>
        <v/>
      </c>
      <c r="F1179" s="32">
        <f>IF(C1179&lt;&gt;"Venta","",D1179*IFERROR(INDEX(Productos!$D$2:$D$501,MATCH(B1179,Productos!$A$2:$A$501,0)),0))</f>
        <v/>
      </c>
      <c r="G1179" s="32">
        <f>IF(C1179&lt;&gt;"Venta","",D1179*IFERROR(INDEX(Productos!$E$2:$E$501,MATCH(B1179,Productos!$A$2:$A$501,0)),0))</f>
        <v/>
      </c>
      <c r="H1179" s="33">
        <f>IF(A1179="","",MONTH(A1179))</f>
        <v/>
      </c>
      <c r="I1179" s="33">
        <f>IF(A1179="","",YEAR(A1179))</f>
        <v/>
      </c>
    </row>
    <row r="1180" ht="15" customHeight="1" s="21">
      <c r="A1180" s="34" t="n"/>
      <c r="B1180" s="30" t="n"/>
      <c r="C1180" s="30" t="n"/>
      <c r="D1180" s="30" t="n"/>
      <c r="E1180" s="33">
        <f>IF(B1180="","",IFERROR(INDEX(Productos!$B$2:$B$501,MATCH(B1180,Productos!$A$2:$A$501,0)),"¿Código?"))</f>
        <v/>
      </c>
      <c r="F1180" s="32">
        <f>IF(C1180&lt;&gt;"Venta","",D1180*IFERROR(INDEX(Productos!$D$2:$D$501,MATCH(B1180,Productos!$A$2:$A$501,0)),0))</f>
        <v/>
      </c>
      <c r="G1180" s="32">
        <f>IF(C1180&lt;&gt;"Venta","",D1180*IFERROR(INDEX(Productos!$E$2:$E$501,MATCH(B1180,Productos!$A$2:$A$501,0)),0))</f>
        <v/>
      </c>
      <c r="H1180" s="33">
        <f>IF(A1180="","",MONTH(A1180))</f>
        <v/>
      </c>
      <c r="I1180" s="33">
        <f>IF(A1180="","",YEAR(A1180))</f>
        <v/>
      </c>
    </row>
    <row r="1181" ht="15" customHeight="1" s="21">
      <c r="A1181" s="34" t="n"/>
      <c r="B1181" s="30" t="n"/>
      <c r="C1181" s="30" t="n"/>
      <c r="D1181" s="30" t="n"/>
      <c r="E1181" s="33">
        <f>IF(B1181="","",IFERROR(INDEX(Productos!$B$2:$B$501,MATCH(B1181,Productos!$A$2:$A$501,0)),"¿Código?"))</f>
        <v/>
      </c>
      <c r="F1181" s="32">
        <f>IF(C1181&lt;&gt;"Venta","",D1181*IFERROR(INDEX(Productos!$D$2:$D$501,MATCH(B1181,Productos!$A$2:$A$501,0)),0))</f>
        <v/>
      </c>
      <c r="G1181" s="32">
        <f>IF(C1181&lt;&gt;"Venta","",D1181*IFERROR(INDEX(Productos!$E$2:$E$501,MATCH(B1181,Productos!$A$2:$A$501,0)),0))</f>
        <v/>
      </c>
      <c r="H1181" s="33">
        <f>IF(A1181="","",MONTH(A1181))</f>
        <v/>
      </c>
      <c r="I1181" s="33">
        <f>IF(A1181="","",YEAR(A1181))</f>
        <v/>
      </c>
    </row>
    <row r="1182" ht="15" customHeight="1" s="21">
      <c r="A1182" s="34" t="n"/>
      <c r="B1182" s="30" t="n"/>
      <c r="C1182" s="30" t="n"/>
      <c r="D1182" s="30" t="n"/>
      <c r="E1182" s="33">
        <f>IF(B1182="","",IFERROR(INDEX(Productos!$B$2:$B$501,MATCH(B1182,Productos!$A$2:$A$501,0)),"¿Código?"))</f>
        <v/>
      </c>
      <c r="F1182" s="32">
        <f>IF(C1182&lt;&gt;"Venta","",D1182*IFERROR(INDEX(Productos!$D$2:$D$501,MATCH(B1182,Productos!$A$2:$A$501,0)),0))</f>
        <v/>
      </c>
      <c r="G1182" s="32">
        <f>IF(C1182&lt;&gt;"Venta","",D1182*IFERROR(INDEX(Productos!$E$2:$E$501,MATCH(B1182,Productos!$A$2:$A$501,0)),0))</f>
        <v/>
      </c>
      <c r="H1182" s="33">
        <f>IF(A1182="","",MONTH(A1182))</f>
        <v/>
      </c>
      <c r="I1182" s="33">
        <f>IF(A1182="","",YEAR(A1182))</f>
        <v/>
      </c>
    </row>
    <row r="1183" ht="15" customHeight="1" s="21">
      <c r="A1183" s="34" t="n"/>
      <c r="B1183" s="30" t="n"/>
      <c r="C1183" s="30" t="n"/>
      <c r="D1183" s="30" t="n"/>
      <c r="E1183" s="33">
        <f>IF(B1183="","",IFERROR(INDEX(Productos!$B$2:$B$501,MATCH(B1183,Productos!$A$2:$A$501,0)),"¿Código?"))</f>
        <v/>
      </c>
      <c r="F1183" s="32">
        <f>IF(C1183&lt;&gt;"Venta","",D1183*IFERROR(INDEX(Productos!$D$2:$D$501,MATCH(B1183,Productos!$A$2:$A$501,0)),0))</f>
        <v/>
      </c>
      <c r="G1183" s="32">
        <f>IF(C1183&lt;&gt;"Venta","",D1183*IFERROR(INDEX(Productos!$E$2:$E$501,MATCH(B1183,Productos!$A$2:$A$501,0)),0))</f>
        <v/>
      </c>
      <c r="H1183" s="33">
        <f>IF(A1183="","",MONTH(A1183))</f>
        <v/>
      </c>
      <c r="I1183" s="33">
        <f>IF(A1183="","",YEAR(A1183))</f>
        <v/>
      </c>
    </row>
    <row r="1184" ht="15" customHeight="1" s="21">
      <c r="A1184" s="34" t="n"/>
      <c r="B1184" s="30" t="n"/>
      <c r="C1184" s="30" t="n"/>
      <c r="D1184" s="30" t="n"/>
      <c r="E1184" s="33">
        <f>IF(B1184="","",IFERROR(INDEX(Productos!$B$2:$B$501,MATCH(B1184,Productos!$A$2:$A$501,0)),"¿Código?"))</f>
        <v/>
      </c>
      <c r="F1184" s="32">
        <f>IF(C1184&lt;&gt;"Venta","",D1184*IFERROR(INDEX(Productos!$D$2:$D$501,MATCH(B1184,Productos!$A$2:$A$501,0)),0))</f>
        <v/>
      </c>
      <c r="G1184" s="32">
        <f>IF(C1184&lt;&gt;"Venta","",D1184*IFERROR(INDEX(Productos!$E$2:$E$501,MATCH(B1184,Productos!$A$2:$A$501,0)),0))</f>
        <v/>
      </c>
      <c r="H1184" s="33">
        <f>IF(A1184="","",MONTH(A1184))</f>
        <v/>
      </c>
      <c r="I1184" s="33">
        <f>IF(A1184="","",YEAR(A1184))</f>
        <v/>
      </c>
    </row>
    <row r="1185" ht="15" customHeight="1" s="21">
      <c r="A1185" s="34" t="n"/>
      <c r="B1185" s="30" t="n"/>
      <c r="C1185" s="30" t="n"/>
      <c r="D1185" s="30" t="n"/>
      <c r="E1185" s="33">
        <f>IF(B1185="","",IFERROR(INDEX(Productos!$B$2:$B$501,MATCH(B1185,Productos!$A$2:$A$501,0)),"¿Código?"))</f>
        <v/>
      </c>
      <c r="F1185" s="32">
        <f>IF(C1185&lt;&gt;"Venta","",D1185*IFERROR(INDEX(Productos!$D$2:$D$501,MATCH(B1185,Productos!$A$2:$A$501,0)),0))</f>
        <v/>
      </c>
      <c r="G1185" s="32">
        <f>IF(C1185&lt;&gt;"Venta","",D1185*IFERROR(INDEX(Productos!$E$2:$E$501,MATCH(B1185,Productos!$A$2:$A$501,0)),0))</f>
        <v/>
      </c>
      <c r="H1185" s="33">
        <f>IF(A1185="","",MONTH(A1185))</f>
        <v/>
      </c>
      <c r="I1185" s="33">
        <f>IF(A1185="","",YEAR(A1185))</f>
        <v/>
      </c>
    </row>
    <row r="1186" ht="15" customHeight="1" s="21">
      <c r="A1186" s="34" t="n"/>
      <c r="B1186" s="30" t="n"/>
      <c r="C1186" s="30" t="n"/>
      <c r="D1186" s="30" t="n"/>
      <c r="E1186" s="33">
        <f>IF(B1186="","",IFERROR(INDEX(Productos!$B$2:$B$501,MATCH(B1186,Productos!$A$2:$A$501,0)),"¿Código?"))</f>
        <v/>
      </c>
      <c r="F1186" s="32">
        <f>IF(C1186&lt;&gt;"Venta","",D1186*IFERROR(INDEX(Productos!$D$2:$D$501,MATCH(B1186,Productos!$A$2:$A$501,0)),0))</f>
        <v/>
      </c>
      <c r="G1186" s="32">
        <f>IF(C1186&lt;&gt;"Venta","",D1186*IFERROR(INDEX(Productos!$E$2:$E$501,MATCH(B1186,Productos!$A$2:$A$501,0)),0))</f>
        <v/>
      </c>
      <c r="H1186" s="33">
        <f>IF(A1186="","",MONTH(A1186))</f>
        <v/>
      </c>
      <c r="I1186" s="33">
        <f>IF(A1186="","",YEAR(A1186))</f>
        <v/>
      </c>
    </row>
    <row r="1187" ht="15" customHeight="1" s="21">
      <c r="A1187" s="34" t="n"/>
      <c r="B1187" s="30" t="n"/>
      <c r="C1187" s="30" t="n"/>
      <c r="D1187" s="30" t="n"/>
      <c r="E1187" s="33">
        <f>IF(B1187="","",IFERROR(INDEX(Productos!$B$2:$B$501,MATCH(B1187,Productos!$A$2:$A$501,0)),"¿Código?"))</f>
        <v/>
      </c>
      <c r="F1187" s="32">
        <f>IF(C1187&lt;&gt;"Venta","",D1187*IFERROR(INDEX(Productos!$D$2:$D$501,MATCH(B1187,Productos!$A$2:$A$501,0)),0))</f>
        <v/>
      </c>
      <c r="G1187" s="32">
        <f>IF(C1187&lt;&gt;"Venta","",D1187*IFERROR(INDEX(Productos!$E$2:$E$501,MATCH(B1187,Productos!$A$2:$A$501,0)),0))</f>
        <v/>
      </c>
      <c r="H1187" s="33">
        <f>IF(A1187="","",MONTH(A1187))</f>
        <v/>
      </c>
      <c r="I1187" s="33">
        <f>IF(A1187="","",YEAR(A1187))</f>
        <v/>
      </c>
    </row>
    <row r="1188" ht="15" customHeight="1" s="21">
      <c r="A1188" s="34" t="n"/>
      <c r="B1188" s="30" t="n"/>
      <c r="C1188" s="30" t="n"/>
      <c r="D1188" s="30" t="n"/>
      <c r="E1188" s="33">
        <f>IF(B1188="","",IFERROR(INDEX(Productos!$B$2:$B$501,MATCH(B1188,Productos!$A$2:$A$501,0)),"¿Código?"))</f>
        <v/>
      </c>
      <c r="F1188" s="32">
        <f>IF(C1188&lt;&gt;"Venta","",D1188*IFERROR(INDEX(Productos!$D$2:$D$501,MATCH(B1188,Productos!$A$2:$A$501,0)),0))</f>
        <v/>
      </c>
      <c r="G1188" s="32">
        <f>IF(C1188&lt;&gt;"Venta","",D1188*IFERROR(INDEX(Productos!$E$2:$E$501,MATCH(B1188,Productos!$A$2:$A$501,0)),0))</f>
        <v/>
      </c>
      <c r="H1188" s="33">
        <f>IF(A1188="","",MONTH(A1188))</f>
        <v/>
      </c>
      <c r="I1188" s="33">
        <f>IF(A1188="","",YEAR(A1188))</f>
        <v/>
      </c>
    </row>
    <row r="1189" ht="15" customHeight="1" s="21">
      <c r="A1189" s="34" t="n"/>
      <c r="B1189" s="30" t="n"/>
      <c r="C1189" s="30" t="n"/>
      <c r="D1189" s="30" t="n"/>
      <c r="E1189" s="33">
        <f>IF(B1189="","",IFERROR(INDEX(Productos!$B$2:$B$501,MATCH(B1189,Productos!$A$2:$A$501,0)),"¿Código?"))</f>
        <v/>
      </c>
      <c r="F1189" s="32">
        <f>IF(C1189&lt;&gt;"Venta","",D1189*IFERROR(INDEX(Productos!$D$2:$D$501,MATCH(B1189,Productos!$A$2:$A$501,0)),0))</f>
        <v/>
      </c>
      <c r="G1189" s="32">
        <f>IF(C1189&lt;&gt;"Venta","",D1189*IFERROR(INDEX(Productos!$E$2:$E$501,MATCH(B1189,Productos!$A$2:$A$501,0)),0))</f>
        <v/>
      </c>
      <c r="H1189" s="33">
        <f>IF(A1189="","",MONTH(A1189))</f>
        <v/>
      </c>
      <c r="I1189" s="33">
        <f>IF(A1189="","",YEAR(A1189))</f>
        <v/>
      </c>
    </row>
    <row r="1190" ht="15" customHeight="1" s="21">
      <c r="A1190" s="34" t="n"/>
      <c r="B1190" s="30" t="n"/>
      <c r="C1190" s="30" t="n"/>
      <c r="D1190" s="30" t="n"/>
      <c r="E1190" s="33">
        <f>IF(B1190="","",IFERROR(INDEX(Productos!$B$2:$B$501,MATCH(B1190,Productos!$A$2:$A$501,0)),"¿Código?"))</f>
        <v/>
      </c>
      <c r="F1190" s="32">
        <f>IF(C1190&lt;&gt;"Venta","",D1190*IFERROR(INDEX(Productos!$D$2:$D$501,MATCH(B1190,Productos!$A$2:$A$501,0)),0))</f>
        <v/>
      </c>
      <c r="G1190" s="32">
        <f>IF(C1190&lt;&gt;"Venta","",D1190*IFERROR(INDEX(Productos!$E$2:$E$501,MATCH(B1190,Productos!$A$2:$A$501,0)),0))</f>
        <v/>
      </c>
      <c r="H1190" s="33">
        <f>IF(A1190="","",MONTH(A1190))</f>
        <v/>
      </c>
      <c r="I1190" s="33">
        <f>IF(A1190="","",YEAR(A1190))</f>
        <v/>
      </c>
    </row>
    <row r="1191" ht="15" customHeight="1" s="21">
      <c r="A1191" s="34" t="n"/>
      <c r="B1191" s="30" t="n"/>
      <c r="C1191" s="30" t="n"/>
      <c r="D1191" s="30" t="n"/>
      <c r="E1191" s="33">
        <f>IF(B1191="","",IFERROR(INDEX(Productos!$B$2:$B$501,MATCH(B1191,Productos!$A$2:$A$501,0)),"¿Código?"))</f>
        <v/>
      </c>
      <c r="F1191" s="32">
        <f>IF(C1191&lt;&gt;"Venta","",D1191*IFERROR(INDEX(Productos!$D$2:$D$501,MATCH(B1191,Productos!$A$2:$A$501,0)),0))</f>
        <v/>
      </c>
      <c r="G1191" s="32">
        <f>IF(C1191&lt;&gt;"Venta","",D1191*IFERROR(INDEX(Productos!$E$2:$E$501,MATCH(B1191,Productos!$A$2:$A$501,0)),0))</f>
        <v/>
      </c>
      <c r="H1191" s="33">
        <f>IF(A1191="","",MONTH(A1191))</f>
        <v/>
      </c>
      <c r="I1191" s="33">
        <f>IF(A1191="","",YEAR(A1191))</f>
        <v/>
      </c>
    </row>
    <row r="1192" ht="15" customHeight="1" s="21">
      <c r="A1192" s="34" t="n"/>
      <c r="B1192" s="30" t="n"/>
      <c r="C1192" s="30" t="n"/>
      <c r="D1192" s="30" t="n"/>
      <c r="E1192" s="33">
        <f>IF(B1192="","",IFERROR(INDEX(Productos!$B$2:$B$501,MATCH(B1192,Productos!$A$2:$A$501,0)),"¿Código?"))</f>
        <v/>
      </c>
      <c r="F1192" s="32">
        <f>IF(C1192&lt;&gt;"Venta","",D1192*IFERROR(INDEX(Productos!$D$2:$D$501,MATCH(B1192,Productos!$A$2:$A$501,0)),0))</f>
        <v/>
      </c>
      <c r="G1192" s="32">
        <f>IF(C1192&lt;&gt;"Venta","",D1192*IFERROR(INDEX(Productos!$E$2:$E$501,MATCH(B1192,Productos!$A$2:$A$501,0)),0))</f>
        <v/>
      </c>
      <c r="H1192" s="33">
        <f>IF(A1192="","",MONTH(A1192))</f>
        <v/>
      </c>
      <c r="I1192" s="33">
        <f>IF(A1192="","",YEAR(A1192))</f>
        <v/>
      </c>
    </row>
    <row r="1193" ht="15" customHeight="1" s="21">
      <c r="A1193" s="34" t="n"/>
      <c r="B1193" s="30" t="n"/>
      <c r="C1193" s="30" t="n"/>
      <c r="D1193" s="30" t="n"/>
      <c r="E1193" s="33">
        <f>IF(B1193="","",IFERROR(INDEX(Productos!$B$2:$B$501,MATCH(B1193,Productos!$A$2:$A$501,0)),"¿Código?"))</f>
        <v/>
      </c>
      <c r="F1193" s="32">
        <f>IF(C1193&lt;&gt;"Venta","",D1193*IFERROR(INDEX(Productos!$D$2:$D$501,MATCH(B1193,Productos!$A$2:$A$501,0)),0))</f>
        <v/>
      </c>
      <c r="G1193" s="32">
        <f>IF(C1193&lt;&gt;"Venta","",D1193*IFERROR(INDEX(Productos!$E$2:$E$501,MATCH(B1193,Productos!$A$2:$A$501,0)),0))</f>
        <v/>
      </c>
      <c r="H1193" s="33">
        <f>IF(A1193="","",MONTH(A1193))</f>
        <v/>
      </c>
      <c r="I1193" s="33">
        <f>IF(A1193="","",YEAR(A1193))</f>
        <v/>
      </c>
    </row>
    <row r="1194" ht="15" customHeight="1" s="21">
      <c r="A1194" s="34" t="n"/>
      <c r="B1194" s="30" t="n"/>
      <c r="C1194" s="30" t="n"/>
      <c r="D1194" s="30" t="n"/>
      <c r="E1194" s="33">
        <f>IF(B1194="","",IFERROR(INDEX(Productos!$B$2:$B$501,MATCH(B1194,Productos!$A$2:$A$501,0)),"¿Código?"))</f>
        <v/>
      </c>
      <c r="F1194" s="32">
        <f>IF(C1194&lt;&gt;"Venta","",D1194*IFERROR(INDEX(Productos!$D$2:$D$501,MATCH(B1194,Productos!$A$2:$A$501,0)),0))</f>
        <v/>
      </c>
      <c r="G1194" s="32">
        <f>IF(C1194&lt;&gt;"Venta","",D1194*IFERROR(INDEX(Productos!$E$2:$E$501,MATCH(B1194,Productos!$A$2:$A$501,0)),0))</f>
        <v/>
      </c>
      <c r="H1194" s="33">
        <f>IF(A1194="","",MONTH(A1194))</f>
        <v/>
      </c>
      <c r="I1194" s="33">
        <f>IF(A1194="","",YEAR(A1194))</f>
        <v/>
      </c>
    </row>
    <row r="1195" ht="15" customHeight="1" s="21">
      <c r="A1195" s="34" t="n"/>
      <c r="B1195" s="30" t="n"/>
      <c r="C1195" s="30" t="n"/>
      <c r="D1195" s="30" t="n"/>
      <c r="E1195" s="33">
        <f>IF(B1195="","",IFERROR(INDEX(Productos!$B$2:$B$501,MATCH(B1195,Productos!$A$2:$A$501,0)),"¿Código?"))</f>
        <v/>
      </c>
      <c r="F1195" s="32">
        <f>IF(C1195&lt;&gt;"Venta","",D1195*IFERROR(INDEX(Productos!$D$2:$D$501,MATCH(B1195,Productos!$A$2:$A$501,0)),0))</f>
        <v/>
      </c>
      <c r="G1195" s="32">
        <f>IF(C1195&lt;&gt;"Venta","",D1195*IFERROR(INDEX(Productos!$E$2:$E$501,MATCH(B1195,Productos!$A$2:$A$501,0)),0))</f>
        <v/>
      </c>
      <c r="H1195" s="33">
        <f>IF(A1195="","",MONTH(A1195))</f>
        <v/>
      </c>
      <c r="I1195" s="33">
        <f>IF(A1195="","",YEAR(A1195))</f>
        <v/>
      </c>
    </row>
    <row r="1196" ht="15" customHeight="1" s="21">
      <c r="A1196" s="34" t="n"/>
      <c r="B1196" s="30" t="n"/>
      <c r="C1196" s="30" t="n"/>
      <c r="D1196" s="30" t="n"/>
      <c r="E1196" s="33">
        <f>IF(B1196="","",IFERROR(INDEX(Productos!$B$2:$B$501,MATCH(B1196,Productos!$A$2:$A$501,0)),"¿Código?"))</f>
        <v/>
      </c>
      <c r="F1196" s="32">
        <f>IF(C1196&lt;&gt;"Venta","",D1196*IFERROR(INDEX(Productos!$D$2:$D$501,MATCH(B1196,Productos!$A$2:$A$501,0)),0))</f>
        <v/>
      </c>
      <c r="G1196" s="32">
        <f>IF(C1196&lt;&gt;"Venta","",D1196*IFERROR(INDEX(Productos!$E$2:$E$501,MATCH(B1196,Productos!$A$2:$A$501,0)),0))</f>
        <v/>
      </c>
      <c r="H1196" s="33">
        <f>IF(A1196="","",MONTH(A1196))</f>
        <v/>
      </c>
      <c r="I1196" s="33">
        <f>IF(A1196="","",YEAR(A1196))</f>
        <v/>
      </c>
    </row>
    <row r="1197" ht="15" customHeight="1" s="21">
      <c r="A1197" s="34" t="n"/>
      <c r="B1197" s="30" t="n"/>
      <c r="C1197" s="30" t="n"/>
      <c r="D1197" s="30" t="n"/>
      <c r="E1197" s="33">
        <f>IF(B1197="","",IFERROR(INDEX(Productos!$B$2:$B$501,MATCH(B1197,Productos!$A$2:$A$501,0)),"¿Código?"))</f>
        <v/>
      </c>
      <c r="F1197" s="32">
        <f>IF(C1197&lt;&gt;"Venta","",D1197*IFERROR(INDEX(Productos!$D$2:$D$501,MATCH(B1197,Productos!$A$2:$A$501,0)),0))</f>
        <v/>
      </c>
      <c r="G1197" s="32">
        <f>IF(C1197&lt;&gt;"Venta","",D1197*IFERROR(INDEX(Productos!$E$2:$E$501,MATCH(B1197,Productos!$A$2:$A$501,0)),0))</f>
        <v/>
      </c>
      <c r="H1197" s="33">
        <f>IF(A1197="","",MONTH(A1197))</f>
        <v/>
      </c>
      <c r="I1197" s="33">
        <f>IF(A1197="","",YEAR(A1197))</f>
        <v/>
      </c>
    </row>
    <row r="1198" ht="15" customHeight="1" s="21">
      <c r="A1198" s="34" t="n"/>
      <c r="B1198" s="30" t="n"/>
      <c r="C1198" s="30" t="n"/>
      <c r="D1198" s="30" t="n"/>
      <c r="E1198" s="33">
        <f>IF(B1198="","",IFERROR(INDEX(Productos!$B$2:$B$501,MATCH(B1198,Productos!$A$2:$A$501,0)),"¿Código?"))</f>
        <v/>
      </c>
      <c r="F1198" s="32">
        <f>IF(C1198&lt;&gt;"Venta","",D1198*IFERROR(INDEX(Productos!$D$2:$D$501,MATCH(B1198,Productos!$A$2:$A$501,0)),0))</f>
        <v/>
      </c>
      <c r="G1198" s="32">
        <f>IF(C1198&lt;&gt;"Venta","",D1198*IFERROR(INDEX(Productos!$E$2:$E$501,MATCH(B1198,Productos!$A$2:$A$501,0)),0))</f>
        <v/>
      </c>
      <c r="H1198" s="33">
        <f>IF(A1198="","",MONTH(A1198))</f>
        <v/>
      </c>
      <c r="I1198" s="33">
        <f>IF(A1198="","",YEAR(A1198))</f>
        <v/>
      </c>
    </row>
    <row r="1199" ht="15" customHeight="1" s="21">
      <c r="A1199" s="34" t="n"/>
      <c r="B1199" s="30" t="n"/>
      <c r="C1199" s="30" t="n"/>
      <c r="D1199" s="30" t="n"/>
      <c r="E1199" s="33">
        <f>IF(B1199="","",IFERROR(INDEX(Productos!$B$2:$B$501,MATCH(B1199,Productos!$A$2:$A$501,0)),"¿Código?"))</f>
        <v/>
      </c>
      <c r="F1199" s="32">
        <f>IF(C1199&lt;&gt;"Venta","",D1199*IFERROR(INDEX(Productos!$D$2:$D$501,MATCH(B1199,Productos!$A$2:$A$501,0)),0))</f>
        <v/>
      </c>
      <c r="G1199" s="32">
        <f>IF(C1199&lt;&gt;"Venta","",D1199*IFERROR(INDEX(Productos!$E$2:$E$501,MATCH(B1199,Productos!$A$2:$A$501,0)),0))</f>
        <v/>
      </c>
      <c r="H1199" s="33">
        <f>IF(A1199="","",MONTH(A1199))</f>
        <v/>
      </c>
      <c r="I1199" s="33">
        <f>IF(A1199="","",YEAR(A1199))</f>
        <v/>
      </c>
    </row>
    <row r="1200" ht="15" customHeight="1" s="21">
      <c r="A1200" s="34" t="n"/>
      <c r="B1200" s="30" t="n"/>
      <c r="C1200" s="30" t="n"/>
      <c r="D1200" s="30" t="n"/>
      <c r="E1200" s="33">
        <f>IF(B1200="","",IFERROR(INDEX(Productos!$B$2:$B$501,MATCH(B1200,Productos!$A$2:$A$501,0)),"¿Código?"))</f>
        <v/>
      </c>
      <c r="F1200" s="32">
        <f>IF(C1200&lt;&gt;"Venta","",D1200*IFERROR(INDEX(Productos!$D$2:$D$501,MATCH(B1200,Productos!$A$2:$A$501,0)),0))</f>
        <v/>
      </c>
      <c r="G1200" s="32">
        <f>IF(C1200&lt;&gt;"Venta","",D1200*IFERROR(INDEX(Productos!$E$2:$E$501,MATCH(B1200,Productos!$A$2:$A$501,0)),0))</f>
        <v/>
      </c>
      <c r="H1200" s="33">
        <f>IF(A1200="","",MONTH(A1200))</f>
        <v/>
      </c>
      <c r="I1200" s="33">
        <f>IF(A1200="","",YEAR(A1200))</f>
        <v/>
      </c>
    </row>
    <row r="1201" ht="15" customHeight="1" s="21">
      <c r="A1201" s="34" t="n"/>
      <c r="B1201" s="30" t="n"/>
      <c r="C1201" s="30" t="n"/>
      <c r="D1201" s="30" t="n"/>
      <c r="E1201" s="33">
        <f>IF(B1201="","",IFERROR(INDEX(Productos!$B$2:$B$501,MATCH(B1201,Productos!$A$2:$A$501,0)),"¿Código?"))</f>
        <v/>
      </c>
      <c r="F1201" s="32">
        <f>IF(C1201&lt;&gt;"Venta","",D1201*IFERROR(INDEX(Productos!$D$2:$D$501,MATCH(B1201,Productos!$A$2:$A$501,0)),0))</f>
        <v/>
      </c>
      <c r="G1201" s="32">
        <f>IF(C1201&lt;&gt;"Venta","",D1201*IFERROR(INDEX(Productos!$E$2:$E$501,MATCH(B1201,Productos!$A$2:$A$501,0)),0))</f>
        <v/>
      </c>
      <c r="H1201" s="33">
        <f>IF(A1201="","",MONTH(A1201))</f>
        <v/>
      </c>
      <c r="I1201" s="33">
        <f>IF(A1201="","",YEAR(A1201))</f>
        <v/>
      </c>
    </row>
    <row r="1202" ht="15" customHeight="1" s="21">
      <c r="A1202" s="34" t="n"/>
      <c r="B1202" s="30" t="n"/>
      <c r="C1202" s="30" t="n"/>
      <c r="D1202" s="30" t="n"/>
      <c r="E1202" s="33">
        <f>IF(B1202="","",IFERROR(INDEX(Productos!$B$2:$B$501,MATCH(B1202,Productos!$A$2:$A$501,0)),"¿Código?"))</f>
        <v/>
      </c>
      <c r="F1202" s="32">
        <f>IF(C1202&lt;&gt;"Venta","",D1202*IFERROR(INDEX(Productos!$D$2:$D$501,MATCH(B1202,Productos!$A$2:$A$501,0)),0))</f>
        <v/>
      </c>
      <c r="G1202" s="32">
        <f>IF(C1202&lt;&gt;"Venta","",D1202*IFERROR(INDEX(Productos!$E$2:$E$501,MATCH(B1202,Productos!$A$2:$A$501,0)),0))</f>
        <v/>
      </c>
      <c r="H1202" s="33">
        <f>IF(A1202="","",MONTH(A1202))</f>
        <v/>
      </c>
      <c r="I1202" s="33">
        <f>IF(A1202="","",YEAR(A1202))</f>
        <v/>
      </c>
    </row>
    <row r="1203" ht="15" customHeight="1" s="21">
      <c r="A1203" s="34" t="n"/>
      <c r="B1203" s="30" t="n"/>
      <c r="C1203" s="30" t="n"/>
      <c r="D1203" s="30" t="n"/>
      <c r="E1203" s="33">
        <f>IF(B1203="","",IFERROR(INDEX(Productos!$B$2:$B$501,MATCH(B1203,Productos!$A$2:$A$501,0)),"¿Código?"))</f>
        <v/>
      </c>
      <c r="F1203" s="32">
        <f>IF(C1203&lt;&gt;"Venta","",D1203*IFERROR(INDEX(Productos!$D$2:$D$501,MATCH(B1203,Productos!$A$2:$A$501,0)),0))</f>
        <v/>
      </c>
      <c r="G1203" s="32">
        <f>IF(C1203&lt;&gt;"Venta","",D1203*IFERROR(INDEX(Productos!$E$2:$E$501,MATCH(B1203,Productos!$A$2:$A$501,0)),0))</f>
        <v/>
      </c>
      <c r="H1203" s="33">
        <f>IF(A1203="","",MONTH(A1203))</f>
        <v/>
      </c>
      <c r="I1203" s="33">
        <f>IF(A1203="","",YEAR(A1203))</f>
        <v/>
      </c>
    </row>
    <row r="1204" ht="15" customHeight="1" s="21">
      <c r="A1204" s="34" t="n"/>
      <c r="B1204" s="30" t="n"/>
      <c r="C1204" s="30" t="n"/>
      <c r="D1204" s="30" t="n"/>
      <c r="E1204" s="33">
        <f>IF(B1204="","",IFERROR(INDEX(Productos!$B$2:$B$501,MATCH(B1204,Productos!$A$2:$A$501,0)),"¿Código?"))</f>
        <v/>
      </c>
      <c r="F1204" s="32">
        <f>IF(C1204&lt;&gt;"Venta","",D1204*IFERROR(INDEX(Productos!$D$2:$D$501,MATCH(B1204,Productos!$A$2:$A$501,0)),0))</f>
        <v/>
      </c>
      <c r="G1204" s="32">
        <f>IF(C1204&lt;&gt;"Venta","",D1204*IFERROR(INDEX(Productos!$E$2:$E$501,MATCH(B1204,Productos!$A$2:$A$501,0)),0))</f>
        <v/>
      </c>
      <c r="H1204" s="33">
        <f>IF(A1204="","",MONTH(A1204))</f>
        <v/>
      </c>
      <c r="I1204" s="33">
        <f>IF(A1204="","",YEAR(A1204))</f>
        <v/>
      </c>
    </row>
    <row r="1205" ht="15" customHeight="1" s="21">
      <c r="A1205" s="34" t="n"/>
      <c r="B1205" s="30" t="n"/>
      <c r="C1205" s="30" t="n"/>
      <c r="D1205" s="30" t="n"/>
      <c r="E1205" s="33">
        <f>IF(B1205="","",IFERROR(INDEX(Productos!$B$2:$B$501,MATCH(B1205,Productos!$A$2:$A$501,0)),"¿Código?"))</f>
        <v/>
      </c>
      <c r="F1205" s="32">
        <f>IF(C1205&lt;&gt;"Venta","",D1205*IFERROR(INDEX(Productos!$D$2:$D$501,MATCH(B1205,Productos!$A$2:$A$501,0)),0))</f>
        <v/>
      </c>
      <c r="G1205" s="32">
        <f>IF(C1205&lt;&gt;"Venta","",D1205*IFERROR(INDEX(Productos!$E$2:$E$501,MATCH(B1205,Productos!$A$2:$A$501,0)),0))</f>
        <v/>
      </c>
      <c r="H1205" s="33">
        <f>IF(A1205="","",MONTH(A1205))</f>
        <v/>
      </c>
      <c r="I1205" s="33">
        <f>IF(A1205="","",YEAR(A1205))</f>
        <v/>
      </c>
    </row>
    <row r="1206" ht="15" customHeight="1" s="21">
      <c r="A1206" s="34" t="n"/>
      <c r="B1206" s="30" t="n"/>
      <c r="C1206" s="30" t="n"/>
      <c r="D1206" s="30" t="n"/>
      <c r="E1206" s="33">
        <f>IF(B1206="","",IFERROR(INDEX(Productos!$B$2:$B$501,MATCH(B1206,Productos!$A$2:$A$501,0)),"¿Código?"))</f>
        <v/>
      </c>
      <c r="F1206" s="32">
        <f>IF(C1206&lt;&gt;"Venta","",D1206*IFERROR(INDEX(Productos!$D$2:$D$501,MATCH(B1206,Productos!$A$2:$A$501,0)),0))</f>
        <v/>
      </c>
      <c r="G1206" s="32">
        <f>IF(C1206&lt;&gt;"Venta","",D1206*IFERROR(INDEX(Productos!$E$2:$E$501,MATCH(B1206,Productos!$A$2:$A$501,0)),0))</f>
        <v/>
      </c>
      <c r="H1206" s="33">
        <f>IF(A1206="","",MONTH(A1206))</f>
        <v/>
      </c>
      <c r="I1206" s="33">
        <f>IF(A1206="","",YEAR(A1206))</f>
        <v/>
      </c>
    </row>
    <row r="1207" ht="15" customHeight="1" s="21">
      <c r="A1207" s="34" t="n"/>
      <c r="B1207" s="30" t="n"/>
      <c r="C1207" s="30" t="n"/>
      <c r="D1207" s="30" t="n"/>
      <c r="E1207" s="33">
        <f>IF(B1207="","",IFERROR(INDEX(Productos!$B$2:$B$501,MATCH(B1207,Productos!$A$2:$A$501,0)),"¿Código?"))</f>
        <v/>
      </c>
      <c r="F1207" s="32">
        <f>IF(C1207&lt;&gt;"Venta","",D1207*IFERROR(INDEX(Productos!$D$2:$D$501,MATCH(B1207,Productos!$A$2:$A$501,0)),0))</f>
        <v/>
      </c>
      <c r="G1207" s="32">
        <f>IF(C1207&lt;&gt;"Venta","",D1207*IFERROR(INDEX(Productos!$E$2:$E$501,MATCH(B1207,Productos!$A$2:$A$501,0)),0))</f>
        <v/>
      </c>
      <c r="H1207" s="33">
        <f>IF(A1207="","",MONTH(A1207))</f>
        <v/>
      </c>
      <c r="I1207" s="33">
        <f>IF(A1207="","",YEAR(A1207))</f>
        <v/>
      </c>
    </row>
    <row r="1208" ht="15" customHeight="1" s="21">
      <c r="A1208" s="34" t="n"/>
      <c r="B1208" s="30" t="n"/>
      <c r="C1208" s="30" t="n"/>
      <c r="D1208" s="30" t="n"/>
      <c r="E1208" s="33">
        <f>IF(B1208="","",IFERROR(INDEX(Productos!$B$2:$B$501,MATCH(B1208,Productos!$A$2:$A$501,0)),"¿Código?"))</f>
        <v/>
      </c>
      <c r="F1208" s="32">
        <f>IF(C1208&lt;&gt;"Venta","",D1208*IFERROR(INDEX(Productos!$D$2:$D$501,MATCH(B1208,Productos!$A$2:$A$501,0)),0))</f>
        <v/>
      </c>
      <c r="G1208" s="32">
        <f>IF(C1208&lt;&gt;"Venta","",D1208*IFERROR(INDEX(Productos!$E$2:$E$501,MATCH(B1208,Productos!$A$2:$A$501,0)),0))</f>
        <v/>
      </c>
      <c r="H1208" s="33">
        <f>IF(A1208="","",MONTH(A1208))</f>
        <v/>
      </c>
      <c r="I1208" s="33">
        <f>IF(A1208="","",YEAR(A1208))</f>
        <v/>
      </c>
    </row>
    <row r="1209" ht="15" customHeight="1" s="21">
      <c r="A1209" s="34" t="n"/>
      <c r="B1209" s="30" t="n"/>
      <c r="C1209" s="30" t="n"/>
      <c r="D1209" s="30" t="n"/>
      <c r="E1209" s="33">
        <f>IF(B1209="","",IFERROR(INDEX(Productos!$B$2:$B$501,MATCH(B1209,Productos!$A$2:$A$501,0)),"¿Código?"))</f>
        <v/>
      </c>
      <c r="F1209" s="32">
        <f>IF(C1209&lt;&gt;"Venta","",D1209*IFERROR(INDEX(Productos!$D$2:$D$501,MATCH(B1209,Productos!$A$2:$A$501,0)),0))</f>
        <v/>
      </c>
      <c r="G1209" s="32">
        <f>IF(C1209&lt;&gt;"Venta","",D1209*IFERROR(INDEX(Productos!$E$2:$E$501,MATCH(B1209,Productos!$A$2:$A$501,0)),0))</f>
        <v/>
      </c>
      <c r="H1209" s="33">
        <f>IF(A1209="","",MONTH(A1209))</f>
        <v/>
      </c>
      <c r="I1209" s="33">
        <f>IF(A1209="","",YEAR(A1209))</f>
        <v/>
      </c>
    </row>
    <row r="1210" ht="15" customHeight="1" s="21">
      <c r="A1210" s="34" t="n"/>
      <c r="B1210" s="30" t="n"/>
      <c r="C1210" s="30" t="n"/>
      <c r="D1210" s="30" t="n"/>
      <c r="E1210" s="33">
        <f>IF(B1210="","",IFERROR(INDEX(Productos!$B$2:$B$501,MATCH(B1210,Productos!$A$2:$A$501,0)),"¿Código?"))</f>
        <v/>
      </c>
      <c r="F1210" s="32">
        <f>IF(C1210&lt;&gt;"Venta","",D1210*IFERROR(INDEX(Productos!$D$2:$D$501,MATCH(B1210,Productos!$A$2:$A$501,0)),0))</f>
        <v/>
      </c>
      <c r="G1210" s="32">
        <f>IF(C1210&lt;&gt;"Venta","",D1210*IFERROR(INDEX(Productos!$E$2:$E$501,MATCH(B1210,Productos!$A$2:$A$501,0)),0))</f>
        <v/>
      </c>
      <c r="H1210" s="33">
        <f>IF(A1210="","",MONTH(A1210))</f>
        <v/>
      </c>
      <c r="I1210" s="33">
        <f>IF(A1210="","",YEAR(A1210))</f>
        <v/>
      </c>
    </row>
    <row r="1211" ht="15" customHeight="1" s="21">
      <c r="A1211" s="34" t="n"/>
      <c r="B1211" s="30" t="n"/>
      <c r="C1211" s="30" t="n"/>
      <c r="D1211" s="30" t="n"/>
      <c r="E1211" s="33">
        <f>IF(B1211="","",IFERROR(INDEX(Productos!$B$2:$B$501,MATCH(B1211,Productos!$A$2:$A$501,0)),"¿Código?"))</f>
        <v/>
      </c>
      <c r="F1211" s="32">
        <f>IF(C1211&lt;&gt;"Venta","",D1211*IFERROR(INDEX(Productos!$D$2:$D$501,MATCH(B1211,Productos!$A$2:$A$501,0)),0))</f>
        <v/>
      </c>
      <c r="G1211" s="32">
        <f>IF(C1211&lt;&gt;"Venta","",D1211*IFERROR(INDEX(Productos!$E$2:$E$501,MATCH(B1211,Productos!$A$2:$A$501,0)),0))</f>
        <v/>
      </c>
      <c r="H1211" s="33">
        <f>IF(A1211="","",MONTH(A1211))</f>
        <v/>
      </c>
      <c r="I1211" s="33">
        <f>IF(A1211="","",YEAR(A1211))</f>
        <v/>
      </c>
    </row>
    <row r="1212" ht="15" customHeight="1" s="21">
      <c r="A1212" s="34" t="n"/>
      <c r="B1212" s="30" t="n"/>
      <c r="C1212" s="30" t="n"/>
      <c r="D1212" s="30" t="n"/>
      <c r="E1212" s="33">
        <f>IF(B1212="","",IFERROR(INDEX(Productos!$B$2:$B$501,MATCH(B1212,Productos!$A$2:$A$501,0)),"¿Código?"))</f>
        <v/>
      </c>
      <c r="F1212" s="32">
        <f>IF(C1212&lt;&gt;"Venta","",D1212*IFERROR(INDEX(Productos!$D$2:$D$501,MATCH(B1212,Productos!$A$2:$A$501,0)),0))</f>
        <v/>
      </c>
      <c r="G1212" s="32">
        <f>IF(C1212&lt;&gt;"Venta","",D1212*IFERROR(INDEX(Productos!$E$2:$E$501,MATCH(B1212,Productos!$A$2:$A$501,0)),0))</f>
        <v/>
      </c>
      <c r="H1212" s="33">
        <f>IF(A1212="","",MONTH(A1212))</f>
        <v/>
      </c>
      <c r="I1212" s="33">
        <f>IF(A1212="","",YEAR(A1212))</f>
        <v/>
      </c>
    </row>
    <row r="1213" ht="15" customHeight="1" s="21">
      <c r="A1213" s="34" t="n"/>
      <c r="B1213" s="30" t="n"/>
      <c r="C1213" s="30" t="n"/>
      <c r="D1213" s="30" t="n"/>
      <c r="E1213" s="33">
        <f>IF(B1213="","",IFERROR(INDEX(Productos!$B$2:$B$501,MATCH(B1213,Productos!$A$2:$A$501,0)),"¿Código?"))</f>
        <v/>
      </c>
      <c r="F1213" s="32">
        <f>IF(C1213&lt;&gt;"Venta","",D1213*IFERROR(INDEX(Productos!$D$2:$D$501,MATCH(B1213,Productos!$A$2:$A$501,0)),0))</f>
        <v/>
      </c>
      <c r="G1213" s="32">
        <f>IF(C1213&lt;&gt;"Venta","",D1213*IFERROR(INDEX(Productos!$E$2:$E$501,MATCH(B1213,Productos!$A$2:$A$501,0)),0))</f>
        <v/>
      </c>
      <c r="H1213" s="33">
        <f>IF(A1213="","",MONTH(A1213))</f>
        <v/>
      </c>
      <c r="I1213" s="33">
        <f>IF(A1213="","",YEAR(A1213))</f>
        <v/>
      </c>
    </row>
    <row r="1214" ht="15" customHeight="1" s="21">
      <c r="A1214" s="34" t="n"/>
      <c r="B1214" s="30" t="n"/>
      <c r="C1214" s="30" t="n"/>
      <c r="D1214" s="30" t="n"/>
      <c r="E1214" s="33">
        <f>IF(B1214="","",IFERROR(INDEX(Productos!$B$2:$B$501,MATCH(B1214,Productos!$A$2:$A$501,0)),"¿Código?"))</f>
        <v/>
      </c>
      <c r="F1214" s="32">
        <f>IF(C1214&lt;&gt;"Venta","",D1214*IFERROR(INDEX(Productos!$D$2:$D$501,MATCH(B1214,Productos!$A$2:$A$501,0)),0))</f>
        <v/>
      </c>
      <c r="G1214" s="32">
        <f>IF(C1214&lt;&gt;"Venta","",D1214*IFERROR(INDEX(Productos!$E$2:$E$501,MATCH(B1214,Productos!$A$2:$A$501,0)),0))</f>
        <v/>
      </c>
      <c r="H1214" s="33">
        <f>IF(A1214="","",MONTH(A1214))</f>
        <v/>
      </c>
      <c r="I1214" s="33">
        <f>IF(A1214="","",YEAR(A1214))</f>
        <v/>
      </c>
    </row>
    <row r="1215" ht="15" customHeight="1" s="21">
      <c r="A1215" s="34" t="n"/>
      <c r="B1215" s="30" t="n"/>
      <c r="C1215" s="30" t="n"/>
      <c r="D1215" s="30" t="n"/>
      <c r="E1215" s="33">
        <f>IF(B1215="","",IFERROR(INDEX(Productos!$B$2:$B$501,MATCH(B1215,Productos!$A$2:$A$501,0)),"¿Código?"))</f>
        <v/>
      </c>
      <c r="F1215" s="32">
        <f>IF(C1215&lt;&gt;"Venta","",D1215*IFERROR(INDEX(Productos!$D$2:$D$501,MATCH(B1215,Productos!$A$2:$A$501,0)),0))</f>
        <v/>
      </c>
      <c r="G1215" s="32">
        <f>IF(C1215&lt;&gt;"Venta","",D1215*IFERROR(INDEX(Productos!$E$2:$E$501,MATCH(B1215,Productos!$A$2:$A$501,0)),0))</f>
        <v/>
      </c>
      <c r="H1215" s="33">
        <f>IF(A1215="","",MONTH(A1215))</f>
        <v/>
      </c>
      <c r="I1215" s="33">
        <f>IF(A1215="","",YEAR(A1215))</f>
        <v/>
      </c>
    </row>
    <row r="1216" ht="15" customHeight="1" s="21">
      <c r="A1216" s="34" t="n"/>
      <c r="B1216" s="30" t="n"/>
      <c r="C1216" s="30" t="n"/>
      <c r="D1216" s="30" t="n"/>
      <c r="E1216" s="33">
        <f>IF(B1216="","",IFERROR(INDEX(Productos!$B$2:$B$501,MATCH(B1216,Productos!$A$2:$A$501,0)),"¿Código?"))</f>
        <v/>
      </c>
      <c r="F1216" s="32">
        <f>IF(C1216&lt;&gt;"Venta","",D1216*IFERROR(INDEX(Productos!$D$2:$D$501,MATCH(B1216,Productos!$A$2:$A$501,0)),0))</f>
        <v/>
      </c>
      <c r="G1216" s="32">
        <f>IF(C1216&lt;&gt;"Venta","",D1216*IFERROR(INDEX(Productos!$E$2:$E$501,MATCH(B1216,Productos!$A$2:$A$501,0)),0))</f>
        <v/>
      </c>
      <c r="H1216" s="33">
        <f>IF(A1216="","",MONTH(A1216))</f>
        <v/>
      </c>
      <c r="I1216" s="33">
        <f>IF(A1216="","",YEAR(A1216))</f>
        <v/>
      </c>
    </row>
    <row r="1217" ht="15" customHeight="1" s="21">
      <c r="A1217" s="34" t="n"/>
      <c r="B1217" s="30" t="n"/>
      <c r="C1217" s="30" t="n"/>
      <c r="D1217" s="30" t="n"/>
      <c r="E1217" s="33">
        <f>IF(B1217="","",IFERROR(INDEX(Productos!$B$2:$B$501,MATCH(B1217,Productos!$A$2:$A$501,0)),"¿Código?"))</f>
        <v/>
      </c>
      <c r="F1217" s="32">
        <f>IF(C1217&lt;&gt;"Venta","",D1217*IFERROR(INDEX(Productos!$D$2:$D$501,MATCH(B1217,Productos!$A$2:$A$501,0)),0))</f>
        <v/>
      </c>
      <c r="G1217" s="32">
        <f>IF(C1217&lt;&gt;"Venta","",D1217*IFERROR(INDEX(Productos!$E$2:$E$501,MATCH(B1217,Productos!$A$2:$A$501,0)),0))</f>
        <v/>
      </c>
      <c r="H1217" s="33">
        <f>IF(A1217="","",MONTH(A1217))</f>
        <v/>
      </c>
      <c r="I1217" s="33">
        <f>IF(A1217="","",YEAR(A1217))</f>
        <v/>
      </c>
    </row>
    <row r="1218" ht="15" customHeight="1" s="21">
      <c r="A1218" s="34" t="n"/>
      <c r="B1218" s="30" t="n"/>
      <c r="C1218" s="30" t="n"/>
      <c r="D1218" s="30" t="n"/>
      <c r="E1218" s="33">
        <f>IF(B1218="","",IFERROR(INDEX(Productos!$B$2:$B$501,MATCH(B1218,Productos!$A$2:$A$501,0)),"¿Código?"))</f>
        <v/>
      </c>
      <c r="F1218" s="32">
        <f>IF(C1218&lt;&gt;"Venta","",D1218*IFERROR(INDEX(Productos!$D$2:$D$501,MATCH(B1218,Productos!$A$2:$A$501,0)),0))</f>
        <v/>
      </c>
      <c r="G1218" s="32">
        <f>IF(C1218&lt;&gt;"Venta","",D1218*IFERROR(INDEX(Productos!$E$2:$E$501,MATCH(B1218,Productos!$A$2:$A$501,0)),0))</f>
        <v/>
      </c>
      <c r="H1218" s="33">
        <f>IF(A1218="","",MONTH(A1218))</f>
        <v/>
      </c>
      <c r="I1218" s="33">
        <f>IF(A1218="","",YEAR(A1218))</f>
        <v/>
      </c>
    </row>
    <row r="1219" ht="15" customHeight="1" s="21">
      <c r="A1219" s="34" t="n"/>
      <c r="B1219" s="30" t="n"/>
      <c r="C1219" s="30" t="n"/>
      <c r="D1219" s="30" t="n"/>
      <c r="E1219" s="33">
        <f>IF(B1219="","",IFERROR(INDEX(Productos!$B$2:$B$501,MATCH(B1219,Productos!$A$2:$A$501,0)),"¿Código?"))</f>
        <v/>
      </c>
      <c r="F1219" s="32">
        <f>IF(C1219&lt;&gt;"Venta","",D1219*IFERROR(INDEX(Productos!$D$2:$D$501,MATCH(B1219,Productos!$A$2:$A$501,0)),0))</f>
        <v/>
      </c>
      <c r="G1219" s="32">
        <f>IF(C1219&lt;&gt;"Venta","",D1219*IFERROR(INDEX(Productos!$E$2:$E$501,MATCH(B1219,Productos!$A$2:$A$501,0)),0))</f>
        <v/>
      </c>
      <c r="H1219" s="33">
        <f>IF(A1219="","",MONTH(A1219))</f>
        <v/>
      </c>
      <c r="I1219" s="33">
        <f>IF(A1219="","",YEAR(A1219))</f>
        <v/>
      </c>
    </row>
    <row r="1220" ht="15" customHeight="1" s="21">
      <c r="A1220" s="34" t="n"/>
      <c r="B1220" s="30" t="n"/>
      <c r="C1220" s="30" t="n"/>
      <c r="D1220" s="30" t="n"/>
      <c r="E1220" s="33">
        <f>IF(B1220="","",IFERROR(INDEX(Productos!$B$2:$B$501,MATCH(B1220,Productos!$A$2:$A$501,0)),"¿Código?"))</f>
        <v/>
      </c>
      <c r="F1220" s="32">
        <f>IF(C1220&lt;&gt;"Venta","",D1220*IFERROR(INDEX(Productos!$D$2:$D$501,MATCH(B1220,Productos!$A$2:$A$501,0)),0))</f>
        <v/>
      </c>
      <c r="G1220" s="32">
        <f>IF(C1220&lt;&gt;"Venta","",D1220*IFERROR(INDEX(Productos!$E$2:$E$501,MATCH(B1220,Productos!$A$2:$A$501,0)),0))</f>
        <v/>
      </c>
      <c r="H1220" s="33">
        <f>IF(A1220="","",MONTH(A1220))</f>
        <v/>
      </c>
      <c r="I1220" s="33">
        <f>IF(A1220="","",YEAR(A1220))</f>
        <v/>
      </c>
    </row>
    <row r="1221" ht="15" customHeight="1" s="21">
      <c r="A1221" s="34" t="n"/>
      <c r="B1221" s="30" t="n"/>
      <c r="C1221" s="30" t="n"/>
      <c r="D1221" s="30" t="n"/>
      <c r="E1221" s="33">
        <f>IF(B1221="","",IFERROR(INDEX(Productos!$B$2:$B$501,MATCH(B1221,Productos!$A$2:$A$501,0)),"¿Código?"))</f>
        <v/>
      </c>
      <c r="F1221" s="32">
        <f>IF(C1221&lt;&gt;"Venta","",D1221*IFERROR(INDEX(Productos!$D$2:$D$501,MATCH(B1221,Productos!$A$2:$A$501,0)),0))</f>
        <v/>
      </c>
      <c r="G1221" s="32">
        <f>IF(C1221&lt;&gt;"Venta","",D1221*IFERROR(INDEX(Productos!$E$2:$E$501,MATCH(B1221,Productos!$A$2:$A$501,0)),0))</f>
        <v/>
      </c>
      <c r="H1221" s="33">
        <f>IF(A1221="","",MONTH(A1221))</f>
        <v/>
      </c>
      <c r="I1221" s="33">
        <f>IF(A1221="","",YEAR(A1221))</f>
        <v/>
      </c>
    </row>
    <row r="1222" ht="15" customHeight="1" s="21">
      <c r="A1222" s="34" t="n"/>
      <c r="B1222" s="30" t="n"/>
      <c r="C1222" s="30" t="n"/>
      <c r="D1222" s="30" t="n"/>
      <c r="E1222" s="33">
        <f>IF(B1222="","",IFERROR(INDEX(Productos!$B$2:$B$501,MATCH(B1222,Productos!$A$2:$A$501,0)),"¿Código?"))</f>
        <v/>
      </c>
      <c r="F1222" s="32">
        <f>IF(C1222&lt;&gt;"Venta","",D1222*IFERROR(INDEX(Productos!$D$2:$D$501,MATCH(B1222,Productos!$A$2:$A$501,0)),0))</f>
        <v/>
      </c>
      <c r="G1222" s="32">
        <f>IF(C1222&lt;&gt;"Venta","",D1222*IFERROR(INDEX(Productos!$E$2:$E$501,MATCH(B1222,Productos!$A$2:$A$501,0)),0))</f>
        <v/>
      </c>
      <c r="H1222" s="33">
        <f>IF(A1222="","",MONTH(A1222))</f>
        <v/>
      </c>
      <c r="I1222" s="33">
        <f>IF(A1222="","",YEAR(A1222))</f>
        <v/>
      </c>
    </row>
    <row r="1223" ht="15" customHeight="1" s="21">
      <c r="A1223" s="34" t="n"/>
      <c r="B1223" s="30" t="n"/>
      <c r="C1223" s="30" t="n"/>
      <c r="D1223" s="30" t="n"/>
      <c r="E1223" s="33">
        <f>IF(B1223="","",IFERROR(INDEX(Productos!$B$2:$B$501,MATCH(B1223,Productos!$A$2:$A$501,0)),"¿Código?"))</f>
        <v/>
      </c>
      <c r="F1223" s="32">
        <f>IF(C1223&lt;&gt;"Venta","",D1223*IFERROR(INDEX(Productos!$D$2:$D$501,MATCH(B1223,Productos!$A$2:$A$501,0)),0))</f>
        <v/>
      </c>
      <c r="G1223" s="32">
        <f>IF(C1223&lt;&gt;"Venta","",D1223*IFERROR(INDEX(Productos!$E$2:$E$501,MATCH(B1223,Productos!$A$2:$A$501,0)),0))</f>
        <v/>
      </c>
      <c r="H1223" s="33">
        <f>IF(A1223="","",MONTH(A1223))</f>
        <v/>
      </c>
      <c r="I1223" s="33">
        <f>IF(A1223="","",YEAR(A1223))</f>
        <v/>
      </c>
    </row>
    <row r="1224" ht="15" customHeight="1" s="21">
      <c r="A1224" s="34" t="n"/>
      <c r="B1224" s="30" t="n"/>
      <c r="C1224" s="30" t="n"/>
      <c r="D1224" s="30" t="n"/>
      <c r="E1224" s="33">
        <f>IF(B1224="","",IFERROR(INDEX(Productos!$B$2:$B$501,MATCH(B1224,Productos!$A$2:$A$501,0)),"¿Código?"))</f>
        <v/>
      </c>
      <c r="F1224" s="32">
        <f>IF(C1224&lt;&gt;"Venta","",D1224*IFERROR(INDEX(Productos!$D$2:$D$501,MATCH(B1224,Productos!$A$2:$A$501,0)),0))</f>
        <v/>
      </c>
      <c r="G1224" s="32">
        <f>IF(C1224&lt;&gt;"Venta","",D1224*IFERROR(INDEX(Productos!$E$2:$E$501,MATCH(B1224,Productos!$A$2:$A$501,0)),0))</f>
        <v/>
      </c>
      <c r="H1224" s="33">
        <f>IF(A1224="","",MONTH(A1224))</f>
        <v/>
      </c>
      <c r="I1224" s="33">
        <f>IF(A1224="","",YEAR(A1224))</f>
        <v/>
      </c>
    </row>
    <row r="1225" ht="15" customHeight="1" s="21">
      <c r="A1225" s="34" t="n"/>
      <c r="B1225" s="30" t="n"/>
      <c r="C1225" s="30" t="n"/>
      <c r="D1225" s="30" t="n"/>
      <c r="E1225" s="33">
        <f>IF(B1225="","",IFERROR(INDEX(Productos!$B$2:$B$501,MATCH(B1225,Productos!$A$2:$A$501,0)),"¿Código?"))</f>
        <v/>
      </c>
      <c r="F1225" s="32">
        <f>IF(C1225&lt;&gt;"Venta","",D1225*IFERROR(INDEX(Productos!$D$2:$D$501,MATCH(B1225,Productos!$A$2:$A$501,0)),0))</f>
        <v/>
      </c>
      <c r="G1225" s="32">
        <f>IF(C1225&lt;&gt;"Venta","",D1225*IFERROR(INDEX(Productos!$E$2:$E$501,MATCH(B1225,Productos!$A$2:$A$501,0)),0))</f>
        <v/>
      </c>
      <c r="H1225" s="33">
        <f>IF(A1225="","",MONTH(A1225))</f>
        <v/>
      </c>
      <c r="I1225" s="33">
        <f>IF(A1225="","",YEAR(A1225))</f>
        <v/>
      </c>
    </row>
    <row r="1226" ht="15" customHeight="1" s="21">
      <c r="A1226" s="34" t="n"/>
      <c r="B1226" s="30" t="n"/>
      <c r="C1226" s="30" t="n"/>
      <c r="D1226" s="30" t="n"/>
      <c r="E1226" s="33">
        <f>IF(B1226="","",IFERROR(INDEX(Productos!$B$2:$B$501,MATCH(B1226,Productos!$A$2:$A$501,0)),"¿Código?"))</f>
        <v/>
      </c>
      <c r="F1226" s="32">
        <f>IF(C1226&lt;&gt;"Venta","",D1226*IFERROR(INDEX(Productos!$D$2:$D$501,MATCH(B1226,Productos!$A$2:$A$501,0)),0))</f>
        <v/>
      </c>
      <c r="G1226" s="32">
        <f>IF(C1226&lt;&gt;"Venta","",D1226*IFERROR(INDEX(Productos!$E$2:$E$501,MATCH(B1226,Productos!$A$2:$A$501,0)),0))</f>
        <v/>
      </c>
      <c r="H1226" s="33">
        <f>IF(A1226="","",MONTH(A1226))</f>
        <v/>
      </c>
      <c r="I1226" s="33">
        <f>IF(A1226="","",YEAR(A1226))</f>
        <v/>
      </c>
    </row>
    <row r="1227" ht="15" customHeight="1" s="21">
      <c r="A1227" s="34" t="n"/>
      <c r="B1227" s="30" t="n"/>
      <c r="C1227" s="30" t="n"/>
      <c r="D1227" s="30" t="n"/>
      <c r="E1227" s="33">
        <f>IF(B1227="","",IFERROR(INDEX(Productos!$B$2:$B$501,MATCH(B1227,Productos!$A$2:$A$501,0)),"¿Código?"))</f>
        <v/>
      </c>
      <c r="F1227" s="32">
        <f>IF(C1227&lt;&gt;"Venta","",D1227*IFERROR(INDEX(Productos!$D$2:$D$501,MATCH(B1227,Productos!$A$2:$A$501,0)),0))</f>
        <v/>
      </c>
      <c r="G1227" s="32">
        <f>IF(C1227&lt;&gt;"Venta","",D1227*IFERROR(INDEX(Productos!$E$2:$E$501,MATCH(B1227,Productos!$A$2:$A$501,0)),0))</f>
        <v/>
      </c>
      <c r="H1227" s="33">
        <f>IF(A1227="","",MONTH(A1227))</f>
        <v/>
      </c>
      <c r="I1227" s="33">
        <f>IF(A1227="","",YEAR(A1227))</f>
        <v/>
      </c>
    </row>
    <row r="1228" ht="15" customHeight="1" s="21">
      <c r="A1228" s="34" t="n"/>
      <c r="B1228" s="30" t="n"/>
      <c r="C1228" s="30" t="n"/>
      <c r="D1228" s="30" t="n"/>
      <c r="E1228" s="33">
        <f>IF(B1228="","",IFERROR(INDEX(Productos!$B$2:$B$501,MATCH(B1228,Productos!$A$2:$A$501,0)),"¿Código?"))</f>
        <v/>
      </c>
      <c r="F1228" s="32">
        <f>IF(C1228&lt;&gt;"Venta","",D1228*IFERROR(INDEX(Productos!$D$2:$D$501,MATCH(B1228,Productos!$A$2:$A$501,0)),0))</f>
        <v/>
      </c>
      <c r="G1228" s="32">
        <f>IF(C1228&lt;&gt;"Venta","",D1228*IFERROR(INDEX(Productos!$E$2:$E$501,MATCH(B1228,Productos!$A$2:$A$501,0)),0))</f>
        <v/>
      </c>
      <c r="H1228" s="33">
        <f>IF(A1228="","",MONTH(A1228))</f>
        <v/>
      </c>
      <c r="I1228" s="33">
        <f>IF(A1228="","",YEAR(A1228))</f>
        <v/>
      </c>
    </row>
    <row r="1229" ht="15" customHeight="1" s="21">
      <c r="A1229" s="34" t="n"/>
      <c r="B1229" s="30" t="n"/>
      <c r="C1229" s="30" t="n"/>
      <c r="D1229" s="30" t="n"/>
      <c r="E1229" s="33">
        <f>IF(B1229="","",IFERROR(INDEX(Productos!$B$2:$B$501,MATCH(B1229,Productos!$A$2:$A$501,0)),"¿Código?"))</f>
        <v/>
      </c>
      <c r="F1229" s="32">
        <f>IF(C1229&lt;&gt;"Venta","",D1229*IFERROR(INDEX(Productos!$D$2:$D$501,MATCH(B1229,Productos!$A$2:$A$501,0)),0))</f>
        <v/>
      </c>
      <c r="G1229" s="32">
        <f>IF(C1229&lt;&gt;"Venta","",D1229*IFERROR(INDEX(Productos!$E$2:$E$501,MATCH(B1229,Productos!$A$2:$A$501,0)),0))</f>
        <v/>
      </c>
      <c r="H1229" s="33">
        <f>IF(A1229="","",MONTH(A1229))</f>
        <v/>
      </c>
      <c r="I1229" s="33">
        <f>IF(A1229="","",YEAR(A1229))</f>
        <v/>
      </c>
    </row>
    <row r="1230" ht="15" customHeight="1" s="21">
      <c r="A1230" s="34" t="n"/>
      <c r="B1230" s="30" t="n"/>
      <c r="C1230" s="30" t="n"/>
      <c r="D1230" s="30" t="n"/>
      <c r="E1230" s="33">
        <f>IF(B1230="","",IFERROR(INDEX(Productos!$B$2:$B$501,MATCH(B1230,Productos!$A$2:$A$501,0)),"¿Código?"))</f>
        <v/>
      </c>
      <c r="F1230" s="32">
        <f>IF(C1230&lt;&gt;"Venta","",D1230*IFERROR(INDEX(Productos!$D$2:$D$501,MATCH(B1230,Productos!$A$2:$A$501,0)),0))</f>
        <v/>
      </c>
      <c r="G1230" s="32">
        <f>IF(C1230&lt;&gt;"Venta","",D1230*IFERROR(INDEX(Productos!$E$2:$E$501,MATCH(B1230,Productos!$A$2:$A$501,0)),0))</f>
        <v/>
      </c>
      <c r="H1230" s="33">
        <f>IF(A1230="","",MONTH(A1230))</f>
        <v/>
      </c>
      <c r="I1230" s="33">
        <f>IF(A1230="","",YEAR(A1230))</f>
        <v/>
      </c>
    </row>
    <row r="1231" ht="15" customHeight="1" s="21">
      <c r="A1231" s="34" t="n"/>
      <c r="B1231" s="30" t="n"/>
      <c r="C1231" s="30" t="n"/>
      <c r="D1231" s="30" t="n"/>
      <c r="E1231" s="33">
        <f>IF(B1231="","",IFERROR(INDEX(Productos!$B$2:$B$501,MATCH(B1231,Productos!$A$2:$A$501,0)),"¿Código?"))</f>
        <v/>
      </c>
      <c r="F1231" s="32">
        <f>IF(C1231&lt;&gt;"Venta","",D1231*IFERROR(INDEX(Productos!$D$2:$D$501,MATCH(B1231,Productos!$A$2:$A$501,0)),0))</f>
        <v/>
      </c>
      <c r="G1231" s="32">
        <f>IF(C1231&lt;&gt;"Venta","",D1231*IFERROR(INDEX(Productos!$E$2:$E$501,MATCH(B1231,Productos!$A$2:$A$501,0)),0))</f>
        <v/>
      </c>
      <c r="H1231" s="33">
        <f>IF(A1231="","",MONTH(A1231))</f>
        <v/>
      </c>
      <c r="I1231" s="33">
        <f>IF(A1231="","",YEAR(A1231))</f>
        <v/>
      </c>
    </row>
    <row r="1232" ht="15" customHeight="1" s="21">
      <c r="A1232" s="34" t="n"/>
      <c r="B1232" s="30" t="n"/>
      <c r="C1232" s="30" t="n"/>
      <c r="D1232" s="30" t="n"/>
      <c r="E1232" s="33">
        <f>IF(B1232="","",IFERROR(INDEX(Productos!$B$2:$B$501,MATCH(B1232,Productos!$A$2:$A$501,0)),"¿Código?"))</f>
        <v/>
      </c>
      <c r="F1232" s="32">
        <f>IF(C1232&lt;&gt;"Venta","",D1232*IFERROR(INDEX(Productos!$D$2:$D$501,MATCH(B1232,Productos!$A$2:$A$501,0)),0))</f>
        <v/>
      </c>
      <c r="G1232" s="32">
        <f>IF(C1232&lt;&gt;"Venta","",D1232*IFERROR(INDEX(Productos!$E$2:$E$501,MATCH(B1232,Productos!$A$2:$A$501,0)),0))</f>
        <v/>
      </c>
      <c r="H1232" s="33">
        <f>IF(A1232="","",MONTH(A1232))</f>
        <v/>
      </c>
      <c r="I1232" s="33">
        <f>IF(A1232="","",YEAR(A1232))</f>
        <v/>
      </c>
    </row>
    <row r="1233" ht="15" customHeight="1" s="21">
      <c r="A1233" s="34" t="n"/>
      <c r="B1233" s="30" t="n"/>
      <c r="C1233" s="30" t="n"/>
      <c r="D1233" s="30" t="n"/>
      <c r="E1233" s="33">
        <f>IF(B1233="","",IFERROR(INDEX(Productos!$B$2:$B$501,MATCH(B1233,Productos!$A$2:$A$501,0)),"¿Código?"))</f>
        <v/>
      </c>
      <c r="F1233" s="32">
        <f>IF(C1233&lt;&gt;"Venta","",D1233*IFERROR(INDEX(Productos!$D$2:$D$501,MATCH(B1233,Productos!$A$2:$A$501,0)),0))</f>
        <v/>
      </c>
      <c r="G1233" s="32">
        <f>IF(C1233&lt;&gt;"Venta","",D1233*IFERROR(INDEX(Productos!$E$2:$E$501,MATCH(B1233,Productos!$A$2:$A$501,0)),0))</f>
        <v/>
      </c>
      <c r="H1233" s="33">
        <f>IF(A1233="","",MONTH(A1233))</f>
        <v/>
      </c>
      <c r="I1233" s="33">
        <f>IF(A1233="","",YEAR(A1233))</f>
        <v/>
      </c>
    </row>
    <row r="1234" ht="15" customHeight="1" s="21">
      <c r="A1234" s="34" t="n"/>
      <c r="B1234" s="30" t="n"/>
      <c r="C1234" s="30" t="n"/>
      <c r="D1234" s="30" t="n"/>
      <c r="E1234" s="33">
        <f>IF(B1234="","",IFERROR(INDEX(Productos!$B$2:$B$501,MATCH(B1234,Productos!$A$2:$A$501,0)),"¿Código?"))</f>
        <v/>
      </c>
      <c r="F1234" s="32">
        <f>IF(C1234&lt;&gt;"Venta","",D1234*IFERROR(INDEX(Productos!$D$2:$D$501,MATCH(B1234,Productos!$A$2:$A$501,0)),0))</f>
        <v/>
      </c>
      <c r="G1234" s="32">
        <f>IF(C1234&lt;&gt;"Venta","",D1234*IFERROR(INDEX(Productos!$E$2:$E$501,MATCH(B1234,Productos!$A$2:$A$501,0)),0))</f>
        <v/>
      </c>
      <c r="H1234" s="33">
        <f>IF(A1234="","",MONTH(A1234))</f>
        <v/>
      </c>
      <c r="I1234" s="33">
        <f>IF(A1234="","",YEAR(A1234))</f>
        <v/>
      </c>
    </row>
    <row r="1235" ht="15" customHeight="1" s="21">
      <c r="A1235" s="34" t="n"/>
      <c r="B1235" s="30" t="n"/>
      <c r="C1235" s="30" t="n"/>
      <c r="D1235" s="30" t="n"/>
      <c r="E1235" s="33">
        <f>IF(B1235="","",IFERROR(INDEX(Productos!$B$2:$B$501,MATCH(B1235,Productos!$A$2:$A$501,0)),"¿Código?"))</f>
        <v/>
      </c>
      <c r="F1235" s="32">
        <f>IF(C1235&lt;&gt;"Venta","",D1235*IFERROR(INDEX(Productos!$D$2:$D$501,MATCH(B1235,Productos!$A$2:$A$501,0)),0))</f>
        <v/>
      </c>
      <c r="G1235" s="32">
        <f>IF(C1235&lt;&gt;"Venta","",D1235*IFERROR(INDEX(Productos!$E$2:$E$501,MATCH(B1235,Productos!$A$2:$A$501,0)),0))</f>
        <v/>
      </c>
      <c r="H1235" s="33">
        <f>IF(A1235="","",MONTH(A1235))</f>
        <v/>
      </c>
      <c r="I1235" s="33">
        <f>IF(A1235="","",YEAR(A1235))</f>
        <v/>
      </c>
    </row>
    <row r="1236" ht="15" customHeight="1" s="21">
      <c r="A1236" s="34" t="n"/>
      <c r="B1236" s="30" t="n"/>
      <c r="C1236" s="30" t="n"/>
      <c r="D1236" s="30" t="n"/>
      <c r="E1236" s="33">
        <f>IF(B1236="","",IFERROR(INDEX(Productos!$B$2:$B$501,MATCH(B1236,Productos!$A$2:$A$501,0)),"¿Código?"))</f>
        <v/>
      </c>
      <c r="F1236" s="32">
        <f>IF(C1236&lt;&gt;"Venta","",D1236*IFERROR(INDEX(Productos!$D$2:$D$501,MATCH(B1236,Productos!$A$2:$A$501,0)),0))</f>
        <v/>
      </c>
      <c r="G1236" s="32">
        <f>IF(C1236&lt;&gt;"Venta","",D1236*IFERROR(INDEX(Productos!$E$2:$E$501,MATCH(B1236,Productos!$A$2:$A$501,0)),0))</f>
        <v/>
      </c>
      <c r="H1236" s="33">
        <f>IF(A1236="","",MONTH(A1236))</f>
        <v/>
      </c>
      <c r="I1236" s="33">
        <f>IF(A1236="","",YEAR(A1236))</f>
        <v/>
      </c>
    </row>
    <row r="1237" ht="15" customHeight="1" s="21">
      <c r="A1237" s="34" t="n"/>
      <c r="B1237" s="30" t="n"/>
      <c r="C1237" s="30" t="n"/>
      <c r="D1237" s="30" t="n"/>
      <c r="E1237" s="33">
        <f>IF(B1237="","",IFERROR(INDEX(Productos!$B$2:$B$501,MATCH(B1237,Productos!$A$2:$A$501,0)),"¿Código?"))</f>
        <v/>
      </c>
      <c r="F1237" s="32">
        <f>IF(C1237&lt;&gt;"Venta","",D1237*IFERROR(INDEX(Productos!$D$2:$D$501,MATCH(B1237,Productos!$A$2:$A$501,0)),0))</f>
        <v/>
      </c>
      <c r="G1237" s="32">
        <f>IF(C1237&lt;&gt;"Venta","",D1237*IFERROR(INDEX(Productos!$E$2:$E$501,MATCH(B1237,Productos!$A$2:$A$501,0)),0))</f>
        <v/>
      </c>
      <c r="H1237" s="33">
        <f>IF(A1237="","",MONTH(A1237))</f>
        <v/>
      </c>
      <c r="I1237" s="33">
        <f>IF(A1237="","",YEAR(A1237))</f>
        <v/>
      </c>
    </row>
    <row r="1238" ht="15" customHeight="1" s="21">
      <c r="A1238" s="34" t="n"/>
      <c r="B1238" s="30" t="n"/>
      <c r="C1238" s="30" t="n"/>
      <c r="D1238" s="30" t="n"/>
      <c r="E1238" s="33">
        <f>IF(B1238="","",IFERROR(INDEX(Productos!$B$2:$B$501,MATCH(B1238,Productos!$A$2:$A$501,0)),"¿Código?"))</f>
        <v/>
      </c>
      <c r="F1238" s="32">
        <f>IF(C1238&lt;&gt;"Venta","",D1238*IFERROR(INDEX(Productos!$D$2:$D$501,MATCH(B1238,Productos!$A$2:$A$501,0)),0))</f>
        <v/>
      </c>
      <c r="G1238" s="32">
        <f>IF(C1238&lt;&gt;"Venta","",D1238*IFERROR(INDEX(Productos!$E$2:$E$501,MATCH(B1238,Productos!$A$2:$A$501,0)),0))</f>
        <v/>
      </c>
      <c r="H1238" s="33">
        <f>IF(A1238="","",MONTH(A1238))</f>
        <v/>
      </c>
      <c r="I1238" s="33">
        <f>IF(A1238="","",YEAR(A1238))</f>
        <v/>
      </c>
    </row>
    <row r="1239" ht="15" customHeight="1" s="21">
      <c r="A1239" s="34" t="n"/>
      <c r="B1239" s="30" t="n"/>
      <c r="C1239" s="30" t="n"/>
      <c r="D1239" s="30" t="n"/>
      <c r="E1239" s="33">
        <f>IF(B1239="","",IFERROR(INDEX(Productos!$B$2:$B$501,MATCH(B1239,Productos!$A$2:$A$501,0)),"¿Código?"))</f>
        <v/>
      </c>
      <c r="F1239" s="32">
        <f>IF(C1239&lt;&gt;"Venta","",D1239*IFERROR(INDEX(Productos!$D$2:$D$501,MATCH(B1239,Productos!$A$2:$A$501,0)),0))</f>
        <v/>
      </c>
      <c r="G1239" s="32">
        <f>IF(C1239&lt;&gt;"Venta","",D1239*IFERROR(INDEX(Productos!$E$2:$E$501,MATCH(B1239,Productos!$A$2:$A$501,0)),0))</f>
        <v/>
      </c>
      <c r="H1239" s="33">
        <f>IF(A1239="","",MONTH(A1239))</f>
        <v/>
      </c>
      <c r="I1239" s="33">
        <f>IF(A1239="","",YEAR(A1239))</f>
        <v/>
      </c>
    </row>
    <row r="1240" ht="15" customHeight="1" s="21">
      <c r="A1240" s="34" t="n"/>
      <c r="B1240" s="30" t="n"/>
      <c r="C1240" s="30" t="n"/>
      <c r="D1240" s="30" t="n"/>
      <c r="E1240" s="33">
        <f>IF(B1240="","",IFERROR(INDEX(Productos!$B$2:$B$501,MATCH(B1240,Productos!$A$2:$A$501,0)),"¿Código?"))</f>
        <v/>
      </c>
      <c r="F1240" s="32">
        <f>IF(C1240&lt;&gt;"Venta","",D1240*IFERROR(INDEX(Productos!$D$2:$D$501,MATCH(B1240,Productos!$A$2:$A$501,0)),0))</f>
        <v/>
      </c>
      <c r="G1240" s="32">
        <f>IF(C1240&lt;&gt;"Venta","",D1240*IFERROR(INDEX(Productos!$E$2:$E$501,MATCH(B1240,Productos!$A$2:$A$501,0)),0))</f>
        <v/>
      </c>
      <c r="H1240" s="33">
        <f>IF(A1240="","",MONTH(A1240))</f>
        <v/>
      </c>
      <c r="I1240" s="33">
        <f>IF(A1240="","",YEAR(A1240))</f>
        <v/>
      </c>
    </row>
    <row r="1241" ht="15" customHeight="1" s="21">
      <c r="A1241" s="34" t="n"/>
      <c r="B1241" s="30" t="n"/>
      <c r="C1241" s="30" t="n"/>
      <c r="D1241" s="30" t="n"/>
      <c r="E1241" s="33">
        <f>IF(B1241="","",IFERROR(INDEX(Productos!$B$2:$B$501,MATCH(B1241,Productos!$A$2:$A$501,0)),"¿Código?"))</f>
        <v/>
      </c>
      <c r="F1241" s="32">
        <f>IF(C1241&lt;&gt;"Venta","",D1241*IFERROR(INDEX(Productos!$D$2:$D$501,MATCH(B1241,Productos!$A$2:$A$501,0)),0))</f>
        <v/>
      </c>
      <c r="G1241" s="32">
        <f>IF(C1241&lt;&gt;"Venta","",D1241*IFERROR(INDEX(Productos!$E$2:$E$501,MATCH(B1241,Productos!$A$2:$A$501,0)),0))</f>
        <v/>
      </c>
      <c r="H1241" s="33">
        <f>IF(A1241="","",MONTH(A1241))</f>
        <v/>
      </c>
      <c r="I1241" s="33">
        <f>IF(A1241="","",YEAR(A1241))</f>
        <v/>
      </c>
    </row>
    <row r="1242" ht="15" customHeight="1" s="21">
      <c r="A1242" s="34" t="n"/>
      <c r="B1242" s="30" t="n"/>
      <c r="C1242" s="30" t="n"/>
      <c r="D1242" s="30" t="n"/>
      <c r="E1242" s="33">
        <f>IF(B1242="","",IFERROR(INDEX(Productos!$B$2:$B$501,MATCH(B1242,Productos!$A$2:$A$501,0)),"¿Código?"))</f>
        <v/>
      </c>
      <c r="F1242" s="32">
        <f>IF(C1242&lt;&gt;"Venta","",D1242*IFERROR(INDEX(Productos!$D$2:$D$501,MATCH(B1242,Productos!$A$2:$A$501,0)),0))</f>
        <v/>
      </c>
      <c r="G1242" s="32">
        <f>IF(C1242&lt;&gt;"Venta","",D1242*IFERROR(INDEX(Productos!$E$2:$E$501,MATCH(B1242,Productos!$A$2:$A$501,0)),0))</f>
        <v/>
      </c>
      <c r="H1242" s="33">
        <f>IF(A1242="","",MONTH(A1242))</f>
        <v/>
      </c>
      <c r="I1242" s="33">
        <f>IF(A1242="","",YEAR(A1242))</f>
        <v/>
      </c>
    </row>
    <row r="1243" ht="15" customHeight="1" s="21">
      <c r="A1243" s="34" t="n"/>
      <c r="B1243" s="30" t="n"/>
      <c r="C1243" s="30" t="n"/>
      <c r="D1243" s="30" t="n"/>
      <c r="E1243" s="33">
        <f>IF(B1243="","",IFERROR(INDEX(Productos!$B$2:$B$501,MATCH(B1243,Productos!$A$2:$A$501,0)),"¿Código?"))</f>
        <v/>
      </c>
      <c r="F1243" s="32">
        <f>IF(C1243&lt;&gt;"Venta","",D1243*IFERROR(INDEX(Productos!$D$2:$D$501,MATCH(B1243,Productos!$A$2:$A$501,0)),0))</f>
        <v/>
      </c>
      <c r="G1243" s="32">
        <f>IF(C1243&lt;&gt;"Venta","",D1243*IFERROR(INDEX(Productos!$E$2:$E$501,MATCH(B1243,Productos!$A$2:$A$501,0)),0))</f>
        <v/>
      </c>
      <c r="H1243" s="33">
        <f>IF(A1243="","",MONTH(A1243))</f>
        <v/>
      </c>
      <c r="I1243" s="33">
        <f>IF(A1243="","",YEAR(A1243))</f>
        <v/>
      </c>
    </row>
    <row r="1244" ht="15" customHeight="1" s="21">
      <c r="A1244" s="34" t="n"/>
      <c r="B1244" s="30" t="n"/>
      <c r="C1244" s="30" t="n"/>
      <c r="D1244" s="30" t="n"/>
      <c r="E1244" s="33">
        <f>IF(B1244="","",IFERROR(INDEX(Productos!$B$2:$B$501,MATCH(B1244,Productos!$A$2:$A$501,0)),"¿Código?"))</f>
        <v/>
      </c>
      <c r="F1244" s="32">
        <f>IF(C1244&lt;&gt;"Venta","",D1244*IFERROR(INDEX(Productos!$D$2:$D$501,MATCH(B1244,Productos!$A$2:$A$501,0)),0))</f>
        <v/>
      </c>
      <c r="G1244" s="32">
        <f>IF(C1244&lt;&gt;"Venta","",D1244*IFERROR(INDEX(Productos!$E$2:$E$501,MATCH(B1244,Productos!$A$2:$A$501,0)),0))</f>
        <v/>
      </c>
      <c r="H1244" s="33">
        <f>IF(A1244="","",MONTH(A1244))</f>
        <v/>
      </c>
      <c r="I1244" s="33">
        <f>IF(A1244="","",YEAR(A1244))</f>
        <v/>
      </c>
    </row>
    <row r="1245" ht="15" customHeight="1" s="21">
      <c r="A1245" s="34" t="n"/>
      <c r="B1245" s="30" t="n"/>
      <c r="C1245" s="30" t="n"/>
      <c r="D1245" s="30" t="n"/>
      <c r="E1245" s="33">
        <f>IF(B1245="","",IFERROR(INDEX(Productos!$B$2:$B$501,MATCH(B1245,Productos!$A$2:$A$501,0)),"¿Código?"))</f>
        <v/>
      </c>
      <c r="F1245" s="32">
        <f>IF(C1245&lt;&gt;"Venta","",D1245*IFERROR(INDEX(Productos!$D$2:$D$501,MATCH(B1245,Productos!$A$2:$A$501,0)),0))</f>
        <v/>
      </c>
      <c r="G1245" s="32">
        <f>IF(C1245&lt;&gt;"Venta","",D1245*IFERROR(INDEX(Productos!$E$2:$E$501,MATCH(B1245,Productos!$A$2:$A$501,0)),0))</f>
        <v/>
      </c>
      <c r="H1245" s="33">
        <f>IF(A1245="","",MONTH(A1245))</f>
        <v/>
      </c>
      <c r="I1245" s="33">
        <f>IF(A1245="","",YEAR(A1245))</f>
        <v/>
      </c>
    </row>
    <row r="1246" ht="15" customHeight="1" s="21">
      <c r="A1246" s="34" t="n"/>
      <c r="B1246" s="30" t="n"/>
      <c r="C1246" s="30" t="n"/>
      <c r="D1246" s="30" t="n"/>
      <c r="E1246" s="33">
        <f>IF(B1246="","",IFERROR(INDEX(Productos!$B$2:$B$501,MATCH(B1246,Productos!$A$2:$A$501,0)),"¿Código?"))</f>
        <v/>
      </c>
      <c r="F1246" s="32">
        <f>IF(C1246&lt;&gt;"Venta","",D1246*IFERROR(INDEX(Productos!$D$2:$D$501,MATCH(B1246,Productos!$A$2:$A$501,0)),0))</f>
        <v/>
      </c>
      <c r="G1246" s="32">
        <f>IF(C1246&lt;&gt;"Venta","",D1246*IFERROR(INDEX(Productos!$E$2:$E$501,MATCH(B1246,Productos!$A$2:$A$501,0)),0))</f>
        <v/>
      </c>
      <c r="H1246" s="33">
        <f>IF(A1246="","",MONTH(A1246))</f>
        <v/>
      </c>
      <c r="I1246" s="33">
        <f>IF(A1246="","",YEAR(A1246))</f>
        <v/>
      </c>
    </row>
    <row r="1247" ht="15" customHeight="1" s="21">
      <c r="A1247" s="34" t="n"/>
      <c r="B1247" s="30" t="n"/>
      <c r="C1247" s="30" t="n"/>
      <c r="D1247" s="30" t="n"/>
      <c r="E1247" s="33">
        <f>IF(B1247="","",IFERROR(INDEX(Productos!$B$2:$B$501,MATCH(B1247,Productos!$A$2:$A$501,0)),"¿Código?"))</f>
        <v/>
      </c>
      <c r="F1247" s="32">
        <f>IF(C1247&lt;&gt;"Venta","",D1247*IFERROR(INDEX(Productos!$D$2:$D$501,MATCH(B1247,Productos!$A$2:$A$501,0)),0))</f>
        <v/>
      </c>
      <c r="G1247" s="32">
        <f>IF(C1247&lt;&gt;"Venta","",D1247*IFERROR(INDEX(Productos!$E$2:$E$501,MATCH(B1247,Productos!$A$2:$A$501,0)),0))</f>
        <v/>
      </c>
      <c r="H1247" s="33">
        <f>IF(A1247="","",MONTH(A1247))</f>
        <v/>
      </c>
      <c r="I1247" s="33">
        <f>IF(A1247="","",YEAR(A1247))</f>
        <v/>
      </c>
    </row>
    <row r="1248" ht="15" customHeight="1" s="21">
      <c r="A1248" s="34" t="n"/>
      <c r="B1248" s="30" t="n"/>
      <c r="C1248" s="30" t="n"/>
      <c r="D1248" s="30" t="n"/>
      <c r="E1248" s="33">
        <f>IF(B1248="","",IFERROR(INDEX(Productos!$B$2:$B$501,MATCH(B1248,Productos!$A$2:$A$501,0)),"¿Código?"))</f>
        <v/>
      </c>
      <c r="F1248" s="32">
        <f>IF(C1248&lt;&gt;"Venta","",D1248*IFERROR(INDEX(Productos!$D$2:$D$501,MATCH(B1248,Productos!$A$2:$A$501,0)),0))</f>
        <v/>
      </c>
      <c r="G1248" s="32">
        <f>IF(C1248&lt;&gt;"Venta","",D1248*IFERROR(INDEX(Productos!$E$2:$E$501,MATCH(B1248,Productos!$A$2:$A$501,0)),0))</f>
        <v/>
      </c>
      <c r="H1248" s="33">
        <f>IF(A1248="","",MONTH(A1248))</f>
        <v/>
      </c>
      <c r="I1248" s="33">
        <f>IF(A1248="","",YEAR(A1248))</f>
        <v/>
      </c>
    </row>
    <row r="1249" ht="15" customHeight="1" s="21">
      <c r="A1249" s="34" t="n"/>
      <c r="B1249" s="30" t="n"/>
      <c r="C1249" s="30" t="n"/>
      <c r="D1249" s="30" t="n"/>
      <c r="E1249" s="33">
        <f>IF(B1249="","",IFERROR(INDEX(Productos!$B$2:$B$501,MATCH(B1249,Productos!$A$2:$A$501,0)),"¿Código?"))</f>
        <v/>
      </c>
      <c r="F1249" s="32">
        <f>IF(C1249&lt;&gt;"Venta","",D1249*IFERROR(INDEX(Productos!$D$2:$D$501,MATCH(B1249,Productos!$A$2:$A$501,0)),0))</f>
        <v/>
      </c>
      <c r="G1249" s="32">
        <f>IF(C1249&lt;&gt;"Venta","",D1249*IFERROR(INDEX(Productos!$E$2:$E$501,MATCH(B1249,Productos!$A$2:$A$501,0)),0))</f>
        <v/>
      </c>
      <c r="H1249" s="33">
        <f>IF(A1249="","",MONTH(A1249))</f>
        <v/>
      </c>
      <c r="I1249" s="33">
        <f>IF(A1249="","",YEAR(A1249))</f>
        <v/>
      </c>
    </row>
    <row r="1250" ht="15" customHeight="1" s="21">
      <c r="A1250" s="34" t="n"/>
      <c r="B1250" s="30" t="n"/>
      <c r="C1250" s="30" t="n"/>
      <c r="D1250" s="30" t="n"/>
      <c r="E1250" s="33">
        <f>IF(B1250="","",IFERROR(INDEX(Productos!$B$2:$B$501,MATCH(B1250,Productos!$A$2:$A$501,0)),"¿Código?"))</f>
        <v/>
      </c>
      <c r="F1250" s="32">
        <f>IF(C1250&lt;&gt;"Venta","",D1250*IFERROR(INDEX(Productos!$D$2:$D$501,MATCH(B1250,Productos!$A$2:$A$501,0)),0))</f>
        <v/>
      </c>
      <c r="G1250" s="32">
        <f>IF(C1250&lt;&gt;"Venta","",D1250*IFERROR(INDEX(Productos!$E$2:$E$501,MATCH(B1250,Productos!$A$2:$A$501,0)),0))</f>
        <v/>
      </c>
      <c r="H1250" s="33">
        <f>IF(A1250="","",MONTH(A1250))</f>
        <v/>
      </c>
      <c r="I1250" s="33">
        <f>IF(A1250="","",YEAR(A1250))</f>
        <v/>
      </c>
    </row>
    <row r="1251" ht="15" customHeight="1" s="21">
      <c r="A1251" s="34" t="n"/>
      <c r="B1251" s="30" t="n"/>
      <c r="C1251" s="30" t="n"/>
      <c r="D1251" s="30" t="n"/>
      <c r="E1251" s="33">
        <f>IF(B1251="","",IFERROR(INDEX(Productos!$B$2:$B$501,MATCH(B1251,Productos!$A$2:$A$501,0)),"¿Código?"))</f>
        <v/>
      </c>
      <c r="F1251" s="32">
        <f>IF(C1251&lt;&gt;"Venta","",D1251*IFERROR(INDEX(Productos!$D$2:$D$501,MATCH(B1251,Productos!$A$2:$A$501,0)),0))</f>
        <v/>
      </c>
      <c r="G1251" s="32">
        <f>IF(C1251&lt;&gt;"Venta","",D1251*IFERROR(INDEX(Productos!$E$2:$E$501,MATCH(B1251,Productos!$A$2:$A$501,0)),0))</f>
        <v/>
      </c>
      <c r="H1251" s="33">
        <f>IF(A1251="","",MONTH(A1251))</f>
        <v/>
      </c>
      <c r="I1251" s="33">
        <f>IF(A1251="","",YEAR(A1251))</f>
        <v/>
      </c>
    </row>
    <row r="1252" ht="15" customHeight="1" s="21">
      <c r="A1252" s="34" t="n"/>
      <c r="B1252" s="30" t="n"/>
      <c r="C1252" s="30" t="n"/>
      <c r="D1252" s="30" t="n"/>
      <c r="E1252" s="33">
        <f>IF(B1252="","",IFERROR(INDEX(Productos!$B$2:$B$501,MATCH(B1252,Productos!$A$2:$A$501,0)),"¿Código?"))</f>
        <v/>
      </c>
      <c r="F1252" s="32">
        <f>IF(C1252&lt;&gt;"Venta","",D1252*IFERROR(INDEX(Productos!$D$2:$D$501,MATCH(B1252,Productos!$A$2:$A$501,0)),0))</f>
        <v/>
      </c>
      <c r="G1252" s="32">
        <f>IF(C1252&lt;&gt;"Venta","",D1252*IFERROR(INDEX(Productos!$E$2:$E$501,MATCH(B1252,Productos!$A$2:$A$501,0)),0))</f>
        <v/>
      </c>
      <c r="H1252" s="33">
        <f>IF(A1252="","",MONTH(A1252))</f>
        <v/>
      </c>
      <c r="I1252" s="33">
        <f>IF(A1252="","",YEAR(A1252))</f>
        <v/>
      </c>
    </row>
    <row r="1253" ht="15" customHeight="1" s="21">
      <c r="A1253" s="34" t="n"/>
      <c r="B1253" s="30" t="n"/>
      <c r="C1253" s="30" t="n"/>
      <c r="D1253" s="30" t="n"/>
      <c r="E1253" s="33">
        <f>IF(B1253="","",IFERROR(INDEX(Productos!$B$2:$B$501,MATCH(B1253,Productos!$A$2:$A$501,0)),"¿Código?"))</f>
        <v/>
      </c>
      <c r="F1253" s="32">
        <f>IF(C1253&lt;&gt;"Venta","",D1253*IFERROR(INDEX(Productos!$D$2:$D$501,MATCH(B1253,Productos!$A$2:$A$501,0)),0))</f>
        <v/>
      </c>
      <c r="G1253" s="32">
        <f>IF(C1253&lt;&gt;"Venta","",D1253*IFERROR(INDEX(Productos!$E$2:$E$501,MATCH(B1253,Productos!$A$2:$A$501,0)),0))</f>
        <v/>
      </c>
      <c r="H1253" s="33">
        <f>IF(A1253="","",MONTH(A1253))</f>
        <v/>
      </c>
      <c r="I1253" s="33">
        <f>IF(A1253="","",YEAR(A1253))</f>
        <v/>
      </c>
    </row>
    <row r="1254" ht="15" customHeight="1" s="21">
      <c r="A1254" s="34" t="n"/>
      <c r="B1254" s="30" t="n"/>
      <c r="C1254" s="30" t="n"/>
      <c r="D1254" s="30" t="n"/>
      <c r="E1254" s="33">
        <f>IF(B1254="","",IFERROR(INDEX(Productos!$B$2:$B$501,MATCH(B1254,Productos!$A$2:$A$501,0)),"¿Código?"))</f>
        <v/>
      </c>
      <c r="F1254" s="32">
        <f>IF(C1254&lt;&gt;"Venta","",D1254*IFERROR(INDEX(Productos!$D$2:$D$501,MATCH(B1254,Productos!$A$2:$A$501,0)),0))</f>
        <v/>
      </c>
      <c r="G1254" s="32">
        <f>IF(C1254&lt;&gt;"Venta","",D1254*IFERROR(INDEX(Productos!$E$2:$E$501,MATCH(B1254,Productos!$A$2:$A$501,0)),0))</f>
        <v/>
      </c>
      <c r="H1254" s="33">
        <f>IF(A1254="","",MONTH(A1254))</f>
        <v/>
      </c>
      <c r="I1254" s="33">
        <f>IF(A1254="","",YEAR(A1254))</f>
        <v/>
      </c>
    </row>
    <row r="1255" ht="15" customHeight="1" s="21">
      <c r="A1255" s="34" t="n"/>
      <c r="B1255" s="30" t="n"/>
      <c r="C1255" s="30" t="n"/>
      <c r="D1255" s="30" t="n"/>
      <c r="E1255" s="33">
        <f>IF(B1255="","",IFERROR(INDEX(Productos!$B$2:$B$501,MATCH(B1255,Productos!$A$2:$A$501,0)),"¿Código?"))</f>
        <v/>
      </c>
      <c r="F1255" s="32">
        <f>IF(C1255&lt;&gt;"Venta","",D1255*IFERROR(INDEX(Productos!$D$2:$D$501,MATCH(B1255,Productos!$A$2:$A$501,0)),0))</f>
        <v/>
      </c>
      <c r="G1255" s="32">
        <f>IF(C1255&lt;&gt;"Venta","",D1255*IFERROR(INDEX(Productos!$E$2:$E$501,MATCH(B1255,Productos!$A$2:$A$501,0)),0))</f>
        <v/>
      </c>
      <c r="H1255" s="33">
        <f>IF(A1255="","",MONTH(A1255))</f>
        <v/>
      </c>
      <c r="I1255" s="33">
        <f>IF(A1255="","",YEAR(A1255))</f>
        <v/>
      </c>
    </row>
    <row r="1256" ht="15" customHeight="1" s="21">
      <c r="A1256" s="34" t="n"/>
      <c r="B1256" s="30" t="n"/>
      <c r="C1256" s="30" t="n"/>
      <c r="D1256" s="30" t="n"/>
      <c r="E1256" s="33">
        <f>IF(B1256="","",IFERROR(INDEX(Productos!$B$2:$B$501,MATCH(B1256,Productos!$A$2:$A$501,0)),"¿Código?"))</f>
        <v/>
      </c>
      <c r="F1256" s="32">
        <f>IF(C1256&lt;&gt;"Venta","",D1256*IFERROR(INDEX(Productos!$D$2:$D$501,MATCH(B1256,Productos!$A$2:$A$501,0)),0))</f>
        <v/>
      </c>
      <c r="G1256" s="32">
        <f>IF(C1256&lt;&gt;"Venta","",D1256*IFERROR(INDEX(Productos!$E$2:$E$501,MATCH(B1256,Productos!$A$2:$A$501,0)),0))</f>
        <v/>
      </c>
      <c r="H1256" s="33">
        <f>IF(A1256="","",MONTH(A1256))</f>
        <v/>
      </c>
      <c r="I1256" s="33">
        <f>IF(A1256="","",YEAR(A1256))</f>
        <v/>
      </c>
    </row>
    <row r="1257" ht="15" customHeight="1" s="21">
      <c r="A1257" s="34" t="n"/>
      <c r="B1257" s="30" t="n"/>
      <c r="C1257" s="30" t="n"/>
      <c r="D1257" s="30" t="n"/>
      <c r="E1257" s="33">
        <f>IF(B1257="","",IFERROR(INDEX(Productos!$B$2:$B$501,MATCH(B1257,Productos!$A$2:$A$501,0)),"¿Código?"))</f>
        <v/>
      </c>
      <c r="F1257" s="32">
        <f>IF(C1257&lt;&gt;"Venta","",D1257*IFERROR(INDEX(Productos!$D$2:$D$501,MATCH(B1257,Productos!$A$2:$A$501,0)),0))</f>
        <v/>
      </c>
      <c r="G1257" s="32">
        <f>IF(C1257&lt;&gt;"Venta","",D1257*IFERROR(INDEX(Productos!$E$2:$E$501,MATCH(B1257,Productos!$A$2:$A$501,0)),0))</f>
        <v/>
      </c>
      <c r="H1257" s="33">
        <f>IF(A1257="","",MONTH(A1257))</f>
        <v/>
      </c>
      <c r="I1257" s="33">
        <f>IF(A1257="","",YEAR(A1257))</f>
        <v/>
      </c>
    </row>
    <row r="1258" ht="15" customHeight="1" s="21">
      <c r="A1258" s="34" t="n"/>
      <c r="B1258" s="30" t="n"/>
      <c r="C1258" s="30" t="n"/>
      <c r="D1258" s="30" t="n"/>
      <c r="E1258" s="33">
        <f>IF(B1258="","",IFERROR(INDEX(Productos!$B$2:$B$501,MATCH(B1258,Productos!$A$2:$A$501,0)),"¿Código?"))</f>
        <v/>
      </c>
      <c r="F1258" s="32">
        <f>IF(C1258&lt;&gt;"Venta","",D1258*IFERROR(INDEX(Productos!$D$2:$D$501,MATCH(B1258,Productos!$A$2:$A$501,0)),0))</f>
        <v/>
      </c>
      <c r="G1258" s="32">
        <f>IF(C1258&lt;&gt;"Venta","",D1258*IFERROR(INDEX(Productos!$E$2:$E$501,MATCH(B1258,Productos!$A$2:$A$501,0)),0))</f>
        <v/>
      </c>
      <c r="H1258" s="33">
        <f>IF(A1258="","",MONTH(A1258))</f>
        <v/>
      </c>
      <c r="I1258" s="33">
        <f>IF(A1258="","",YEAR(A1258))</f>
        <v/>
      </c>
    </row>
    <row r="1259" ht="15" customHeight="1" s="21">
      <c r="A1259" s="34" t="n"/>
      <c r="B1259" s="30" t="n"/>
      <c r="C1259" s="30" t="n"/>
      <c r="D1259" s="30" t="n"/>
      <c r="E1259" s="33">
        <f>IF(B1259="","",IFERROR(INDEX(Productos!$B$2:$B$501,MATCH(B1259,Productos!$A$2:$A$501,0)),"¿Código?"))</f>
        <v/>
      </c>
      <c r="F1259" s="32">
        <f>IF(C1259&lt;&gt;"Venta","",D1259*IFERROR(INDEX(Productos!$D$2:$D$501,MATCH(B1259,Productos!$A$2:$A$501,0)),0))</f>
        <v/>
      </c>
      <c r="G1259" s="32">
        <f>IF(C1259&lt;&gt;"Venta","",D1259*IFERROR(INDEX(Productos!$E$2:$E$501,MATCH(B1259,Productos!$A$2:$A$501,0)),0))</f>
        <v/>
      </c>
      <c r="H1259" s="33">
        <f>IF(A1259="","",MONTH(A1259))</f>
        <v/>
      </c>
      <c r="I1259" s="33">
        <f>IF(A1259="","",YEAR(A1259))</f>
        <v/>
      </c>
    </row>
    <row r="1260" ht="15" customHeight="1" s="21">
      <c r="A1260" s="34" t="n"/>
      <c r="B1260" s="30" t="n"/>
      <c r="C1260" s="30" t="n"/>
      <c r="D1260" s="30" t="n"/>
      <c r="E1260" s="33">
        <f>IF(B1260="","",IFERROR(INDEX(Productos!$B$2:$B$501,MATCH(B1260,Productos!$A$2:$A$501,0)),"¿Código?"))</f>
        <v/>
      </c>
      <c r="F1260" s="32">
        <f>IF(C1260&lt;&gt;"Venta","",D1260*IFERROR(INDEX(Productos!$D$2:$D$501,MATCH(B1260,Productos!$A$2:$A$501,0)),0))</f>
        <v/>
      </c>
      <c r="G1260" s="32">
        <f>IF(C1260&lt;&gt;"Venta","",D1260*IFERROR(INDEX(Productos!$E$2:$E$501,MATCH(B1260,Productos!$A$2:$A$501,0)),0))</f>
        <v/>
      </c>
      <c r="H1260" s="33">
        <f>IF(A1260="","",MONTH(A1260))</f>
        <v/>
      </c>
      <c r="I1260" s="33">
        <f>IF(A1260="","",YEAR(A1260))</f>
        <v/>
      </c>
    </row>
    <row r="1261" ht="15" customHeight="1" s="21">
      <c r="A1261" s="34" t="n"/>
      <c r="B1261" s="30" t="n"/>
      <c r="C1261" s="30" t="n"/>
      <c r="D1261" s="30" t="n"/>
      <c r="E1261" s="33">
        <f>IF(B1261="","",IFERROR(INDEX(Productos!$B$2:$B$501,MATCH(B1261,Productos!$A$2:$A$501,0)),"¿Código?"))</f>
        <v/>
      </c>
      <c r="F1261" s="32">
        <f>IF(C1261&lt;&gt;"Venta","",D1261*IFERROR(INDEX(Productos!$D$2:$D$501,MATCH(B1261,Productos!$A$2:$A$501,0)),0))</f>
        <v/>
      </c>
      <c r="G1261" s="32">
        <f>IF(C1261&lt;&gt;"Venta","",D1261*IFERROR(INDEX(Productos!$E$2:$E$501,MATCH(B1261,Productos!$A$2:$A$501,0)),0))</f>
        <v/>
      </c>
      <c r="H1261" s="33">
        <f>IF(A1261="","",MONTH(A1261))</f>
        <v/>
      </c>
      <c r="I1261" s="33">
        <f>IF(A1261="","",YEAR(A1261))</f>
        <v/>
      </c>
    </row>
    <row r="1262" ht="15" customHeight="1" s="21">
      <c r="A1262" s="34" t="n"/>
      <c r="B1262" s="30" t="n"/>
      <c r="C1262" s="30" t="n"/>
      <c r="D1262" s="30" t="n"/>
      <c r="E1262" s="33">
        <f>IF(B1262="","",IFERROR(INDEX(Productos!$B$2:$B$501,MATCH(B1262,Productos!$A$2:$A$501,0)),"¿Código?"))</f>
        <v/>
      </c>
      <c r="F1262" s="32">
        <f>IF(C1262&lt;&gt;"Venta","",D1262*IFERROR(INDEX(Productos!$D$2:$D$501,MATCH(B1262,Productos!$A$2:$A$501,0)),0))</f>
        <v/>
      </c>
      <c r="G1262" s="32">
        <f>IF(C1262&lt;&gt;"Venta","",D1262*IFERROR(INDEX(Productos!$E$2:$E$501,MATCH(B1262,Productos!$A$2:$A$501,0)),0))</f>
        <v/>
      </c>
      <c r="H1262" s="33">
        <f>IF(A1262="","",MONTH(A1262))</f>
        <v/>
      </c>
      <c r="I1262" s="33">
        <f>IF(A1262="","",YEAR(A1262))</f>
        <v/>
      </c>
    </row>
    <row r="1263" ht="15" customHeight="1" s="21">
      <c r="A1263" s="34" t="n"/>
      <c r="B1263" s="30" t="n"/>
      <c r="C1263" s="30" t="n"/>
      <c r="D1263" s="30" t="n"/>
      <c r="E1263" s="33">
        <f>IF(B1263="","",IFERROR(INDEX(Productos!$B$2:$B$501,MATCH(B1263,Productos!$A$2:$A$501,0)),"¿Código?"))</f>
        <v/>
      </c>
      <c r="F1263" s="32">
        <f>IF(C1263&lt;&gt;"Venta","",D1263*IFERROR(INDEX(Productos!$D$2:$D$501,MATCH(B1263,Productos!$A$2:$A$501,0)),0))</f>
        <v/>
      </c>
      <c r="G1263" s="32">
        <f>IF(C1263&lt;&gt;"Venta","",D1263*IFERROR(INDEX(Productos!$E$2:$E$501,MATCH(B1263,Productos!$A$2:$A$501,0)),0))</f>
        <v/>
      </c>
      <c r="H1263" s="33">
        <f>IF(A1263="","",MONTH(A1263))</f>
        <v/>
      </c>
      <c r="I1263" s="33">
        <f>IF(A1263="","",YEAR(A1263))</f>
        <v/>
      </c>
    </row>
    <row r="1264" ht="15" customHeight="1" s="21">
      <c r="A1264" s="34" t="n"/>
      <c r="B1264" s="30" t="n"/>
      <c r="C1264" s="30" t="n"/>
      <c r="D1264" s="30" t="n"/>
      <c r="E1264" s="33">
        <f>IF(B1264="","",IFERROR(INDEX(Productos!$B$2:$B$501,MATCH(B1264,Productos!$A$2:$A$501,0)),"¿Código?"))</f>
        <v/>
      </c>
      <c r="F1264" s="32">
        <f>IF(C1264&lt;&gt;"Venta","",D1264*IFERROR(INDEX(Productos!$D$2:$D$501,MATCH(B1264,Productos!$A$2:$A$501,0)),0))</f>
        <v/>
      </c>
      <c r="G1264" s="32">
        <f>IF(C1264&lt;&gt;"Venta","",D1264*IFERROR(INDEX(Productos!$E$2:$E$501,MATCH(B1264,Productos!$A$2:$A$501,0)),0))</f>
        <v/>
      </c>
      <c r="H1264" s="33">
        <f>IF(A1264="","",MONTH(A1264))</f>
        <v/>
      </c>
      <c r="I1264" s="33">
        <f>IF(A1264="","",YEAR(A1264))</f>
        <v/>
      </c>
    </row>
    <row r="1265" ht="15" customHeight="1" s="21">
      <c r="A1265" s="34" t="n"/>
      <c r="B1265" s="30" t="n"/>
      <c r="C1265" s="30" t="n"/>
      <c r="D1265" s="30" t="n"/>
      <c r="E1265" s="33">
        <f>IF(B1265="","",IFERROR(INDEX(Productos!$B$2:$B$501,MATCH(B1265,Productos!$A$2:$A$501,0)),"¿Código?"))</f>
        <v/>
      </c>
      <c r="F1265" s="32">
        <f>IF(C1265&lt;&gt;"Venta","",D1265*IFERROR(INDEX(Productos!$D$2:$D$501,MATCH(B1265,Productos!$A$2:$A$501,0)),0))</f>
        <v/>
      </c>
      <c r="G1265" s="32">
        <f>IF(C1265&lt;&gt;"Venta","",D1265*IFERROR(INDEX(Productos!$E$2:$E$501,MATCH(B1265,Productos!$A$2:$A$501,0)),0))</f>
        <v/>
      </c>
      <c r="H1265" s="33">
        <f>IF(A1265="","",MONTH(A1265))</f>
        <v/>
      </c>
      <c r="I1265" s="33">
        <f>IF(A1265="","",YEAR(A1265))</f>
        <v/>
      </c>
    </row>
    <row r="1266" ht="15" customHeight="1" s="21">
      <c r="A1266" s="34" t="n"/>
      <c r="B1266" s="30" t="n"/>
      <c r="C1266" s="30" t="n"/>
      <c r="D1266" s="30" t="n"/>
      <c r="E1266" s="33">
        <f>IF(B1266="","",IFERROR(INDEX(Productos!$B$2:$B$501,MATCH(B1266,Productos!$A$2:$A$501,0)),"¿Código?"))</f>
        <v/>
      </c>
      <c r="F1266" s="32">
        <f>IF(C1266&lt;&gt;"Venta","",D1266*IFERROR(INDEX(Productos!$D$2:$D$501,MATCH(B1266,Productos!$A$2:$A$501,0)),0))</f>
        <v/>
      </c>
      <c r="G1266" s="32">
        <f>IF(C1266&lt;&gt;"Venta","",D1266*IFERROR(INDEX(Productos!$E$2:$E$501,MATCH(B1266,Productos!$A$2:$A$501,0)),0))</f>
        <v/>
      </c>
      <c r="H1266" s="33">
        <f>IF(A1266="","",MONTH(A1266))</f>
        <v/>
      </c>
      <c r="I1266" s="33">
        <f>IF(A1266="","",YEAR(A1266))</f>
        <v/>
      </c>
    </row>
    <row r="1267" ht="15" customHeight="1" s="21">
      <c r="A1267" s="34" t="n"/>
      <c r="B1267" s="30" t="n"/>
      <c r="C1267" s="30" t="n"/>
      <c r="D1267" s="30" t="n"/>
      <c r="E1267" s="33">
        <f>IF(B1267="","",IFERROR(INDEX(Productos!$B$2:$B$501,MATCH(B1267,Productos!$A$2:$A$501,0)),"¿Código?"))</f>
        <v/>
      </c>
      <c r="F1267" s="32">
        <f>IF(C1267&lt;&gt;"Venta","",D1267*IFERROR(INDEX(Productos!$D$2:$D$501,MATCH(B1267,Productos!$A$2:$A$501,0)),0))</f>
        <v/>
      </c>
      <c r="G1267" s="32">
        <f>IF(C1267&lt;&gt;"Venta","",D1267*IFERROR(INDEX(Productos!$E$2:$E$501,MATCH(B1267,Productos!$A$2:$A$501,0)),0))</f>
        <v/>
      </c>
      <c r="H1267" s="33">
        <f>IF(A1267="","",MONTH(A1267))</f>
        <v/>
      </c>
      <c r="I1267" s="33">
        <f>IF(A1267="","",YEAR(A1267))</f>
        <v/>
      </c>
    </row>
    <row r="1268" ht="15" customHeight="1" s="21">
      <c r="A1268" s="34" t="n"/>
      <c r="B1268" s="30" t="n"/>
      <c r="C1268" s="30" t="n"/>
      <c r="D1268" s="30" t="n"/>
      <c r="E1268" s="33">
        <f>IF(B1268="","",IFERROR(INDEX(Productos!$B$2:$B$501,MATCH(B1268,Productos!$A$2:$A$501,0)),"¿Código?"))</f>
        <v/>
      </c>
      <c r="F1268" s="32">
        <f>IF(C1268&lt;&gt;"Venta","",D1268*IFERROR(INDEX(Productos!$D$2:$D$501,MATCH(B1268,Productos!$A$2:$A$501,0)),0))</f>
        <v/>
      </c>
      <c r="G1268" s="32">
        <f>IF(C1268&lt;&gt;"Venta","",D1268*IFERROR(INDEX(Productos!$E$2:$E$501,MATCH(B1268,Productos!$A$2:$A$501,0)),0))</f>
        <v/>
      </c>
      <c r="H1268" s="33">
        <f>IF(A1268="","",MONTH(A1268))</f>
        <v/>
      </c>
      <c r="I1268" s="33">
        <f>IF(A1268="","",YEAR(A1268))</f>
        <v/>
      </c>
    </row>
    <row r="1269" ht="15" customHeight="1" s="21">
      <c r="A1269" s="34" t="n"/>
      <c r="B1269" s="30" t="n"/>
      <c r="C1269" s="30" t="n"/>
      <c r="D1269" s="30" t="n"/>
      <c r="E1269" s="33">
        <f>IF(B1269="","",IFERROR(INDEX(Productos!$B$2:$B$501,MATCH(B1269,Productos!$A$2:$A$501,0)),"¿Código?"))</f>
        <v/>
      </c>
      <c r="F1269" s="32">
        <f>IF(C1269&lt;&gt;"Venta","",D1269*IFERROR(INDEX(Productos!$D$2:$D$501,MATCH(B1269,Productos!$A$2:$A$501,0)),0))</f>
        <v/>
      </c>
      <c r="G1269" s="32">
        <f>IF(C1269&lt;&gt;"Venta","",D1269*IFERROR(INDEX(Productos!$E$2:$E$501,MATCH(B1269,Productos!$A$2:$A$501,0)),0))</f>
        <v/>
      </c>
      <c r="H1269" s="33">
        <f>IF(A1269="","",MONTH(A1269))</f>
        <v/>
      </c>
      <c r="I1269" s="33">
        <f>IF(A1269="","",YEAR(A1269))</f>
        <v/>
      </c>
    </row>
    <row r="1270" ht="15" customHeight="1" s="21">
      <c r="A1270" s="34" t="n"/>
      <c r="B1270" s="30" t="n"/>
      <c r="C1270" s="30" t="n"/>
      <c r="D1270" s="30" t="n"/>
      <c r="E1270" s="33">
        <f>IF(B1270="","",IFERROR(INDEX(Productos!$B$2:$B$501,MATCH(B1270,Productos!$A$2:$A$501,0)),"¿Código?"))</f>
        <v/>
      </c>
      <c r="F1270" s="32">
        <f>IF(C1270&lt;&gt;"Venta","",D1270*IFERROR(INDEX(Productos!$D$2:$D$501,MATCH(B1270,Productos!$A$2:$A$501,0)),0))</f>
        <v/>
      </c>
      <c r="G1270" s="32">
        <f>IF(C1270&lt;&gt;"Venta","",D1270*IFERROR(INDEX(Productos!$E$2:$E$501,MATCH(B1270,Productos!$A$2:$A$501,0)),0))</f>
        <v/>
      </c>
      <c r="H1270" s="33">
        <f>IF(A1270="","",MONTH(A1270))</f>
        <v/>
      </c>
      <c r="I1270" s="33">
        <f>IF(A1270="","",YEAR(A1270))</f>
        <v/>
      </c>
    </row>
    <row r="1271" ht="15" customHeight="1" s="21">
      <c r="A1271" s="34" t="n"/>
      <c r="B1271" s="30" t="n"/>
      <c r="C1271" s="30" t="n"/>
      <c r="D1271" s="30" t="n"/>
      <c r="E1271" s="33">
        <f>IF(B1271="","",IFERROR(INDEX(Productos!$B$2:$B$501,MATCH(B1271,Productos!$A$2:$A$501,0)),"¿Código?"))</f>
        <v/>
      </c>
      <c r="F1271" s="32">
        <f>IF(C1271&lt;&gt;"Venta","",D1271*IFERROR(INDEX(Productos!$D$2:$D$501,MATCH(B1271,Productos!$A$2:$A$501,0)),0))</f>
        <v/>
      </c>
      <c r="G1271" s="32">
        <f>IF(C1271&lt;&gt;"Venta","",D1271*IFERROR(INDEX(Productos!$E$2:$E$501,MATCH(B1271,Productos!$A$2:$A$501,0)),0))</f>
        <v/>
      </c>
      <c r="H1271" s="33">
        <f>IF(A1271="","",MONTH(A1271))</f>
        <v/>
      </c>
      <c r="I1271" s="33">
        <f>IF(A1271="","",YEAR(A1271))</f>
        <v/>
      </c>
    </row>
    <row r="1272" ht="15" customHeight="1" s="21">
      <c r="A1272" s="34" t="n"/>
      <c r="B1272" s="30" t="n"/>
      <c r="C1272" s="30" t="n"/>
      <c r="D1272" s="30" t="n"/>
      <c r="E1272" s="33">
        <f>IF(B1272="","",IFERROR(INDEX(Productos!$B$2:$B$501,MATCH(B1272,Productos!$A$2:$A$501,0)),"¿Código?"))</f>
        <v/>
      </c>
      <c r="F1272" s="32">
        <f>IF(C1272&lt;&gt;"Venta","",D1272*IFERROR(INDEX(Productos!$D$2:$D$501,MATCH(B1272,Productos!$A$2:$A$501,0)),0))</f>
        <v/>
      </c>
      <c r="G1272" s="32">
        <f>IF(C1272&lt;&gt;"Venta","",D1272*IFERROR(INDEX(Productos!$E$2:$E$501,MATCH(B1272,Productos!$A$2:$A$501,0)),0))</f>
        <v/>
      </c>
      <c r="H1272" s="33">
        <f>IF(A1272="","",MONTH(A1272))</f>
        <v/>
      </c>
      <c r="I1272" s="33">
        <f>IF(A1272="","",YEAR(A1272))</f>
        <v/>
      </c>
    </row>
    <row r="1273" ht="15" customHeight="1" s="21">
      <c r="A1273" s="34" t="n"/>
      <c r="B1273" s="30" t="n"/>
      <c r="C1273" s="30" t="n"/>
      <c r="D1273" s="30" t="n"/>
      <c r="E1273" s="33">
        <f>IF(B1273="","",IFERROR(INDEX(Productos!$B$2:$B$501,MATCH(B1273,Productos!$A$2:$A$501,0)),"¿Código?"))</f>
        <v/>
      </c>
      <c r="F1273" s="32">
        <f>IF(C1273&lt;&gt;"Venta","",D1273*IFERROR(INDEX(Productos!$D$2:$D$501,MATCH(B1273,Productos!$A$2:$A$501,0)),0))</f>
        <v/>
      </c>
      <c r="G1273" s="32">
        <f>IF(C1273&lt;&gt;"Venta","",D1273*IFERROR(INDEX(Productos!$E$2:$E$501,MATCH(B1273,Productos!$A$2:$A$501,0)),0))</f>
        <v/>
      </c>
      <c r="H1273" s="33">
        <f>IF(A1273="","",MONTH(A1273))</f>
        <v/>
      </c>
      <c r="I1273" s="33">
        <f>IF(A1273="","",YEAR(A1273))</f>
        <v/>
      </c>
    </row>
    <row r="1274" ht="15" customHeight="1" s="21">
      <c r="A1274" s="34" t="n"/>
      <c r="B1274" s="30" t="n"/>
      <c r="C1274" s="30" t="n"/>
      <c r="D1274" s="30" t="n"/>
      <c r="E1274" s="33">
        <f>IF(B1274="","",IFERROR(INDEX(Productos!$B$2:$B$501,MATCH(B1274,Productos!$A$2:$A$501,0)),"¿Código?"))</f>
        <v/>
      </c>
      <c r="F1274" s="32">
        <f>IF(C1274&lt;&gt;"Venta","",D1274*IFERROR(INDEX(Productos!$D$2:$D$501,MATCH(B1274,Productos!$A$2:$A$501,0)),0))</f>
        <v/>
      </c>
      <c r="G1274" s="32">
        <f>IF(C1274&lt;&gt;"Venta","",D1274*IFERROR(INDEX(Productos!$E$2:$E$501,MATCH(B1274,Productos!$A$2:$A$501,0)),0))</f>
        <v/>
      </c>
      <c r="H1274" s="33">
        <f>IF(A1274="","",MONTH(A1274))</f>
        <v/>
      </c>
      <c r="I1274" s="33">
        <f>IF(A1274="","",YEAR(A1274))</f>
        <v/>
      </c>
    </row>
    <row r="1275" ht="15" customHeight="1" s="21">
      <c r="A1275" s="34" t="n"/>
      <c r="B1275" s="30" t="n"/>
      <c r="C1275" s="30" t="n"/>
      <c r="D1275" s="30" t="n"/>
      <c r="E1275" s="33">
        <f>IF(B1275="","",IFERROR(INDEX(Productos!$B$2:$B$501,MATCH(B1275,Productos!$A$2:$A$501,0)),"¿Código?"))</f>
        <v/>
      </c>
      <c r="F1275" s="32">
        <f>IF(C1275&lt;&gt;"Venta","",D1275*IFERROR(INDEX(Productos!$D$2:$D$501,MATCH(B1275,Productos!$A$2:$A$501,0)),0))</f>
        <v/>
      </c>
      <c r="G1275" s="32">
        <f>IF(C1275&lt;&gt;"Venta","",D1275*IFERROR(INDEX(Productos!$E$2:$E$501,MATCH(B1275,Productos!$A$2:$A$501,0)),0))</f>
        <v/>
      </c>
      <c r="H1275" s="33">
        <f>IF(A1275="","",MONTH(A1275))</f>
        <v/>
      </c>
      <c r="I1275" s="33">
        <f>IF(A1275="","",YEAR(A1275))</f>
        <v/>
      </c>
    </row>
    <row r="1276" ht="15" customHeight="1" s="21">
      <c r="A1276" s="34" t="n"/>
      <c r="B1276" s="30" t="n"/>
      <c r="C1276" s="30" t="n"/>
      <c r="D1276" s="30" t="n"/>
      <c r="E1276" s="33">
        <f>IF(B1276="","",IFERROR(INDEX(Productos!$B$2:$B$501,MATCH(B1276,Productos!$A$2:$A$501,0)),"¿Código?"))</f>
        <v/>
      </c>
      <c r="F1276" s="32">
        <f>IF(C1276&lt;&gt;"Venta","",D1276*IFERROR(INDEX(Productos!$D$2:$D$501,MATCH(B1276,Productos!$A$2:$A$501,0)),0))</f>
        <v/>
      </c>
      <c r="G1276" s="32">
        <f>IF(C1276&lt;&gt;"Venta","",D1276*IFERROR(INDEX(Productos!$E$2:$E$501,MATCH(B1276,Productos!$A$2:$A$501,0)),0))</f>
        <v/>
      </c>
      <c r="H1276" s="33">
        <f>IF(A1276="","",MONTH(A1276))</f>
        <v/>
      </c>
      <c r="I1276" s="33">
        <f>IF(A1276="","",YEAR(A1276))</f>
        <v/>
      </c>
    </row>
    <row r="1277" ht="15" customHeight="1" s="21">
      <c r="A1277" s="34" t="n"/>
      <c r="B1277" s="30" t="n"/>
      <c r="C1277" s="30" t="n"/>
      <c r="D1277" s="30" t="n"/>
      <c r="E1277" s="33">
        <f>IF(B1277="","",IFERROR(INDEX(Productos!$B$2:$B$501,MATCH(B1277,Productos!$A$2:$A$501,0)),"¿Código?"))</f>
        <v/>
      </c>
      <c r="F1277" s="32">
        <f>IF(C1277&lt;&gt;"Venta","",D1277*IFERROR(INDEX(Productos!$D$2:$D$501,MATCH(B1277,Productos!$A$2:$A$501,0)),0))</f>
        <v/>
      </c>
      <c r="G1277" s="32">
        <f>IF(C1277&lt;&gt;"Venta","",D1277*IFERROR(INDEX(Productos!$E$2:$E$501,MATCH(B1277,Productos!$A$2:$A$501,0)),0))</f>
        <v/>
      </c>
      <c r="H1277" s="33">
        <f>IF(A1277="","",MONTH(A1277))</f>
        <v/>
      </c>
      <c r="I1277" s="33">
        <f>IF(A1277="","",YEAR(A1277))</f>
        <v/>
      </c>
    </row>
    <row r="1278" ht="15" customHeight="1" s="21">
      <c r="A1278" s="34" t="n"/>
      <c r="B1278" s="30" t="n"/>
      <c r="C1278" s="30" t="n"/>
      <c r="D1278" s="30" t="n"/>
      <c r="E1278" s="33">
        <f>IF(B1278="","",IFERROR(INDEX(Productos!$B$2:$B$501,MATCH(B1278,Productos!$A$2:$A$501,0)),"¿Código?"))</f>
        <v/>
      </c>
      <c r="F1278" s="32">
        <f>IF(C1278&lt;&gt;"Venta","",D1278*IFERROR(INDEX(Productos!$D$2:$D$501,MATCH(B1278,Productos!$A$2:$A$501,0)),0))</f>
        <v/>
      </c>
      <c r="G1278" s="32">
        <f>IF(C1278&lt;&gt;"Venta","",D1278*IFERROR(INDEX(Productos!$E$2:$E$501,MATCH(B1278,Productos!$A$2:$A$501,0)),0))</f>
        <v/>
      </c>
      <c r="H1278" s="33">
        <f>IF(A1278="","",MONTH(A1278))</f>
        <v/>
      </c>
      <c r="I1278" s="33">
        <f>IF(A1278="","",YEAR(A1278))</f>
        <v/>
      </c>
    </row>
    <row r="1279" ht="15" customHeight="1" s="21">
      <c r="A1279" s="34" t="n"/>
      <c r="B1279" s="30" t="n"/>
      <c r="C1279" s="30" t="n"/>
      <c r="D1279" s="30" t="n"/>
      <c r="E1279" s="33">
        <f>IF(B1279="","",IFERROR(INDEX(Productos!$B$2:$B$501,MATCH(B1279,Productos!$A$2:$A$501,0)),"¿Código?"))</f>
        <v/>
      </c>
      <c r="F1279" s="32">
        <f>IF(C1279&lt;&gt;"Venta","",D1279*IFERROR(INDEX(Productos!$D$2:$D$501,MATCH(B1279,Productos!$A$2:$A$501,0)),0))</f>
        <v/>
      </c>
      <c r="G1279" s="32">
        <f>IF(C1279&lt;&gt;"Venta","",D1279*IFERROR(INDEX(Productos!$E$2:$E$501,MATCH(B1279,Productos!$A$2:$A$501,0)),0))</f>
        <v/>
      </c>
      <c r="H1279" s="33">
        <f>IF(A1279="","",MONTH(A1279))</f>
        <v/>
      </c>
      <c r="I1279" s="33">
        <f>IF(A1279="","",YEAR(A1279))</f>
        <v/>
      </c>
    </row>
    <row r="1280" ht="15" customHeight="1" s="21">
      <c r="A1280" s="34" t="n"/>
      <c r="B1280" s="30" t="n"/>
      <c r="C1280" s="30" t="n"/>
      <c r="D1280" s="30" t="n"/>
      <c r="E1280" s="33">
        <f>IF(B1280="","",IFERROR(INDEX(Productos!$B$2:$B$501,MATCH(B1280,Productos!$A$2:$A$501,0)),"¿Código?"))</f>
        <v/>
      </c>
      <c r="F1280" s="32">
        <f>IF(C1280&lt;&gt;"Venta","",D1280*IFERROR(INDEX(Productos!$D$2:$D$501,MATCH(B1280,Productos!$A$2:$A$501,0)),0))</f>
        <v/>
      </c>
      <c r="G1280" s="32">
        <f>IF(C1280&lt;&gt;"Venta","",D1280*IFERROR(INDEX(Productos!$E$2:$E$501,MATCH(B1280,Productos!$A$2:$A$501,0)),0))</f>
        <v/>
      </c>
      <c r="H1280" s="33">
        <f>IF(A1280="","",MONTH(A1280))</f>
        <v/>
      </c>
      <c r="I1280" s="33">
        <f>IF(A1280="","",YEAR(A1280))</f>
        <v/>
      </c>
    </row>
    <row r="1281" ht="15" customHeight="1" s="21">
      <c r="A1281" s="34" t="n"/>
      <c r="B1281" s="30" t="n"/>
      <c r="C1281" s="30" t="n"/>
      <c r="D1281" s="30" t="n"/>
      <c r="E1281" s="33">
        <f>IF(B1281="","",IFERROR(INDEX(Productos!$B$2:$B$501,MATCH(B1281,Productos!$A$2:$A$501,0)),"¿Código?"))</f>
        <v/>
      </c>
      <c r="F1281" s="32">
        <f>IF(C1281&lt;&gt;"Venta","",D1281*IFERROR(INDEX(Productos!$D$2:$D$501,MATCH(B1281,Productos!$A$2:$A$501,0)),0))</f>
        <v/>
      </c>
      <c r="G1281" s="32">
        <f>IF(C1281&lt;&gt;"Venta","",D1281*IFERROR(INDEX(Productos!$E$2:$E$501,MATCH(B1281,Productos!$A$2:$A$501,0)),0))</f>
        <v/>
      </c>
      <c r="H1281" s="33">
        <f>IF(A1281="","",MONTH(A1281))</f>
        <v/>
      </c>
      <c r="I1281" s="33">
        <f>IF(A1281="","",YEAR(A1281))</f>
        <v/>
      </c>
    </row>
    <row r="1282" ht="15" customHeight="1" s="21">
      <c r="A1282" s="34" t="n"/>
      <c r="B1282" s="30" t="n"/>
      <c r="C1282" s="30" t="n"/>
      <c r="D1282" s="30" t="n"/>
      <c r="E1282" s="33">
        <f>IF(B1282="","",IFERROR(INDEX(Productos!$B$2:$B$501,MATCH(B1282,Productos!$A$2:$A$501,0)),"¿Código?"))</f>
        <v/>
      </c>
      <c r="F1282" s="32">
        <f>IF(C1282&lt;&gt;"Venta","",D1282*IFERROR(INDEX(Productos!$D$2:$D$501,MATCH(B1282,Productos!$A$2:$A$501,0)),0))</f>
        <v/>
      </c>
      <c r="G1282" s="32">
        <f>IF(C1282&lt;&gt;"Venta","",D1282*IFERROR(INDEX(Productos!$E$2:$E$501,MATCH(B1282,Productos!$A$2:$A$501,0)),0))</f>
        <v/>
      </c>
      <c r="H1282" s="33">
        <f>IF(A1282="","",MONTH(A1282))</f>
        <v/>
      </c>
      <c r="I1282" s="33">
        <f>IF(A1282="","",YEAR(A1282))</f>
        <v/>
      </c>
    </row>
    <row r="1283" ht="15" customHeight="1" s="21">
      <c r="A1283" s="34" t="n"/>
      <c r="B1283" s="30" t="n"/>
      <c r="C1283" s="30" t="n"/>
      <c r="D1283" s="30" t="n"/>
      <c r="E1283" s="33">
        <f>IF(B1283="","",IFERROR(INDEX(Productos!$B$2:$B$501,MATCH(B1283,Productos!$A$2:$A$501,0)),"¿Código?"))</f>
        <v/>
      </c>
      <c r="F1283" s="32">
        <f>IF(C1283&lt;&gt;"Venta","",D1283*IFERROR(INDEX(Productos!$D$2:$D$501,MATCH(B1283,Productos!$A$2:$A$501,0)),0))</f>
        <v/>
      </c>
      <c r="G1283" s="32">
        <f>IF(C1283&lt;&gt;"Venta","",D1283*IFERROR(INDEX(Productos!$E$2:$E$501,MATCH(B1283,Productos!$A$2:$A$501,0)),0))</f>
        <v/>
      </c>
      <c r="H1283" s="33">
        <f>IF(A1283="","",MONTH(A1283))</f>
        <v/>
      </c>
      <c r="I1283" s="33">
        <f>IF(A1283="","",YEAR(A1283))</f>
        <v/>
      </c>
    </row>
    <row r="1284" ht="15" customHeight="1" s="21">
      <c r="A1284" s="34" t="n"/>
      <c r="B1284" s="30" t="n"/>
      <c r="C1284" s="30" t="n"/>
      <c r="D1284" s="30" t="n"/>
      <c r="E1284" s="33">
        <f>IF(B1284="","",IFERROR(INDEX(Productos!$B$2:$B$501,MATCH(B1284,Productos!$A$2:$A$501,0)),"¿Código?"))</f>
        <v/>
      </c>
      <c r="F1284" s="32">
        <f>IF(C1284&lt;&gt;"Venta","",D1284*IFERROR(INDEX(Productos!$D$2:$D$501,MATCH(B1284,Productos!$A$2:$A$501,0)),0))</f>
        <v/>
      </c>
      <c r="G1284" s="32">
        <f>IF(C1284&lt;&gt;"Venta","",D1284*IFERROR(INDEX(Productos!$E$2:$E$501,MATCH(B1284,Productos!$A$2:$A$501,0)),0))</f>
        <v/>
      </c>
      <c r="H1284" s="33">
        <f>IF(A1284="","",MONTH(A1284))</f>
        <v/>
      </c>
      <c r="I1284" s="33">
        <f>IF(A1284="","",YEAR(A1284))</f>
        <v/>
      </c>
    </row>
    <row r="1285" ht="15" customHeight="1" s="21">
      <c r="A1285" s="34" t="n"/>
      <c r="B1285" s="30" t="n"/>
      <c r="C1285" s="30" t="n"/>
      <c r="D1285" s="30" t="n"/>
      <c r="E1285" s="33">
        <f>IF(B1285="","",IFERROR(INDEX(Productos!$B$2:$B$501,MATCH(B1285,Productos!$A$2:$A$501,0)),"¿Código?"))</f>
        <v/>
      </c>
      <c r="F1285" s="32">
        <f>IF(C1285&lt;&gt;"Venta","",D1285*IFERROR(INDEX(Productos!$D$2:$D$501,MATCH(B1285,Productos!$A$2:$A$501,0)),0))</f>
        <v/>
      </c>
      <c r="G1285" s="32">
        <f>IF(C1285&lt;&gt;"Venta","",D1285*IFERROR(INDEX(Productos!$E$2:$E$501,MATCH(B1285,Productos!$A$2:$A$501,0)),0))</f>
        <v/>
      </c>
      <c r="H1285" s="33">
        <f>IF(A1285="","",MONTH(A1285))</f>
        <v/>
      </c>
      <c r="I1285" s="33">
        <f>IF(A1285="","",YEAR(A1285))</f>
        <v/>
      </c>
    </row>
    <row r="1286" ht="15" customHeight="1" s="21">
      <c r="A1286" s="34" t="n"/>
      <c r="B1286" s="30" t="n"/>
      <c r="C1286" s="30" t="n"/>
      <c r="D1286" s="30" t="n"/>
      <c r="E1286" s="33">
        <f>IF(B1286="","",IFERROR(INDEX(Productos!$B$2:$B$501,MATCH(B1286,Productos!$A$2:$A$501,0)),"¿Código?"))</f>
        <v/>
      </c>
      <c r="F1286" s="32">
        <f>IF(C1286&lt;&gt;"Venta","",D1286*IFERROR(INDEX(Productos!$D$2:$D$501,MATCH(B1286,Productos!$A$2:$A$501,0)),0))</f>
        <v/>
      </c>
      <c r="G1286" s="32">
        <f>IF(C1286&lt;&gt;"Venta","",D1286*IFERROR(INDEX(Productos!$E$2:$E$501,MATCH(B1286,Productos!$A$2:$A$501,0)),0))</f>
        <v/>
      </c>
      <c r="H1286" s="33">
        <f>IF(A1286="","",MONTH(A1286))</f>
        <v/>
      </c>
      <c r="I1286" s="33">
        <f>IF(A1286="","",YEAR(A1286))</f>
        <v/>
      </c>
    </row>
    <row r="1287" ht="15" customHeight="1" s="21">
      <c r="A1287" s="34" t="n"/>
      <c r="B1287" s="30" t="n"/>
      <c r="C1287" s="30" t="n"/>
      <c r="D1287" s="30" t="n"/>
      <c r="E1287" s="33">
        <f>IF(B1287="","",IFERROR(INDEX(Productos!$B$2:$B$501,MATCH(B1287,Productos!$A$2:$A$501,0)),"¿Código?"))</f>
        <v/>
      </c>
      <c r="F1287" s="32">
        <f>IF(C1287&lt;&gt;"Venta","",D1287*IFERROR(INDEX(Productos!$D$2:$D$501,MATCH(B1287,Productos!$A$2:$A$501,0)),0))</f>
        <v/>
      </c>
      <c r="G1287" s="32">
        <f>IF(C1287&lt;&gt;"Venta","",D1287*IFERROR(INDEX(Productos!$E$2:$E$501,MATCH(B1287,Productos!$A$2:$A$501,0)),0))</f>
        <v/>
      </c>
      <c r="H1287" s="33">
        <f>IF(A1287="","",MONTH(A1287))</f>
        <v/>
      </c>
      <c r="I1287" s="33">
        <f>IF(A1287="","",YEAR(A1287))</f>
        <v/>
      </c>
    </row>
    <row r="1288" ht="15" customHeight="1" s="21">
      <c r="A1288" s="34" t="n"/>
      <c r="B1288" s="30" t="n"/>
      <c r="C1288" s="30" t="n"/>
      <c r="D1288" s="30" t="n"/>
      <c r="E1288" s="33">
        <f>IF(B1288="","",IFERROR(INDEX(Productos!$B$2:$B$501,MATCH(B1288,Productos!$A$2:$A$501,0)),"¿Código?"))</f>
        <v/>
      </c>
      <c r="F1288" s="32">
        <f>IF(C1288&lt;&gt;"Venta","",D1288*IFERROR(INDEX(Productos!$D$2:$D$501,MATCH(B1288,Productos!$A$2:$A$501,0)),0))</f>
        <v/>
      </c>
      <c r="G1288" s="32">
        <f>IF(C1288&lt;&gt;"Venta","",D1288*IFERROR(INDEX(Productos!$E$2:$E$501,MATCH(B1288,Productos!$A$2:$A$501,0)),0))</f>
        <v/>
      </c>
      <c r="H1288" s="33">
        <f>IF(A1288="","",MONTH(A1288))</f>
        <v/>
      </c>
      <c r="I1288" s="33">
        <f>IF(A1288="","",YEAR(A1288))</f>
        <v/>
      </c>
    </row>
    <row r="1289" ht="15" customHeight="1" s="21">
      <c r="A1289" s="34" t="n"/>
      <c r="B1289" s="30" t="n"/>
      <c r="C1289" s="30" t="n"/>
      <c r="D1289" s="30" t="n"/>
      <c r="E1289" s="33">
        <f>IF(B1289="","",IFERROR(INDEX(Productos!$B$2:$B$501,MATCH(B1289,Productos!$A$2:$A$501,0)),"¿Código?"))</f>
        <v/>
      </c>
      <c r="F1289" s="32">
        <f>IF(C1289&lt;&gt;"Venta","",D1289*IFERROR(INDEX(Productos!$D$2:$D$501,MATCH(B1289,Productos!$A$2:$A$501,0)),0))</f>
        <v/>
      </c>
      <c r="G1289" s="32">
        <f>IF(C1289&lt;&gt;"Venta","",D1289*IFERROR(INDEX(Productos!$E$2:$E$501,MATCH(B1289,Productos!$A$2:$A$501,0)),0))</f>
        <v/>
      </c>
      <c r="H1289" s="33">
        <f>IF(A1289="","",MONTH(A1289))</f>
        <v/>
      </c>
      <c r="I1289" s="33">
        <f>IF(A1289="","",YEAR(A1289))</f>
        <v/>
      </c>
    </row>
    <row r="1290" ht="15" customHeight="1" s="21">
      <c r="A1290" s="34" t="n"/>
      <c r="B1290" s="30" t="n"/>
      <c r="C1290" s="30" t="n"/>
      <c r="D1290" s="30" t="n"/>
      <c r="E1290" s="33">
        <f>IF(B1290="","",IFERROR(INDEX(Productos!$B$2:$B$501,MATCH(B1290,Productos!$A$2:$A$501,0)),"¿Código?"))</f>
        <v/>
      </c>
      <c r="F1290" s="32">
        <f>IF(C1290&lt;&gt;"Venta","",D1290*IFERROR(INDEX(Productos!$D$2:$D$501,MATCH(B1290,Productos!$A$2:$A$501,0)),0))</f>
        <v/>
      </c>
      <c r="G1290" s="32">
        <f>IF(C1290&lt;&gt;"Venta","",D1290*IFERROR(INDEX(Productos!$E$2:$E$501,MATCH(B1290,Productos!$A$2:$A$501,0)),0))</f>
        <v/>
      </c>
      <c r="H1290" s="33">
        <f>IF(A1290="","",MONTH(A1290))</f>
        <v/>
      </c>
      <c r="I1290" s="33">
        <f>IF(A1290="","",YEAR(A1290))</f>
        <v/>
      </c>
    </row>
    <row r="1291" ht="15" customHeight="1" s="21">
      <c r="A1291" s="34" t="n"/>
      <c r="B1291" s="30" t="n"/>
      <c r="C1291" s="30" t="n"/>
      <c r="D1291" s="30" t="n"/>
      <c r="E1291" s="33">
        <f>IF(B1291="","",IFERROR(INDEX(Productos!$B$2:$B$501,MATCH(B1291,Productos!$A$2:$A$501,0)),"¿Código?"))</f>
        <v/>
      </c>
      <c r="F1291" s="32">
        <f>IF(C1291&lt;&gt;"Venta","",D1291*IFERROR(INDEX(Productos!$D$2:$D$501,MATCH(B1291,Productos!$A$2:$A$501,0)),0))</f>
        <v/>
      </c>
      <c r="G1291" s="32">
        <f>IF(C1291&lt;&gt;"Venta","",D1291*IFERROR(INDEX(Productos!$E$2:$E$501,MATCH(B1291,Productos!$A$2:$A$501,0)),0))</f>
        <v/>
      </c>
      <c r="H1291" s="33">
        <f>IF(A1291="","",MONTH(A1291))</f>
        <v/>
      </c>
      <c r="I1291" s="33">
        <f>IF(A1291="","",YEAR(A1291))</f>
        <v/>
      </c>
    </row>
    <row r="1292" ht="15" customHeight="1" s="21">
      <c r="A1292" s="34" t="n"/>
      <c r="B1292" s="30" t="n"/>
      <c r="C1292" s="30" t="n"/>
      <c r="D1292" s="30" t="n"/>
      <c r="E1292" s="33">
        <f>IF(B1292="","",IFERROR(INDEX(Productos!$B$2:$B$501,MATCH(B1292,Productos!$A$2:$A$501,0)),"¿Código?"))</f>
        <v/>
      </c>
      <c r="F1292" s="32">
        <f>IF(C1292&lt;&gt;"Venta","",D1292*IFERROR(INDEX(Productos!$D$2:$D$501,MATCH(B1292,Productos!$A$2:$A$501,0)),0))</f>
        <v/>
      </c>
      <c r="G1292" s="32">
        <f>IF(C1292&lt;&gt;"Venta","",D1292*IFERROR(INDEX(Productos!$E$2:$E$501,MATCH(B1292,Productos!$A$2:$A$501,0)),0))</f>
        <v/>
      </c>
      <c r="H1292" s="33">
        <f>IF(A1292="","",MONTH(A1292))</f>
        <v/>
      </c>
      <c r="I1292" s="33">
        <f>IF(A1292="","",YEAR(A1292))</f>
        <v/>
      </c>
    </row>
    <row r="1293" ht="15" customHeight="1" s="21">
      <c r="A1293" s="34" t="n"/>
      <c r="B1293" s="30" t="n"/>
      <c r="C1293" s="30" t="n"/>
      <c r="D1293" s="30" t="n"/>
      <c r="E1293" s="33">
        <f>IF(B1293="","",IFERROR(INDEX(Productos!$B$2:$B$501,MATCH(B1293,Productos!$A$2:$A$501,0)),"¿Código?"))</f>
        <v/>
      </c>
      <c r="F1293" s="32">
        <f>IF(C1293&lt;&gt;"Venta","",D1293*IFERROR(INDEX(Productos!$D$2:$D$501,MATCH(B1293,Productos!$A$2:$A$501,0)),0))</f>
        <v/>
      </c>
      <c r="G1293" s="32">
        <f>IF(C1293&lt;&gt;"Venta","",D1293*IFERROR(INDEX(Productos!$E$2:$E$501,MATCH(B1293,Productos!$A$2:$A$501,0)),0))</f>
        <v/>
      </c>
      <c r="H1293" s="33">
        <f>IF(A1293="","",MONTH(A1293))</f>
        <v/>
      </c>
      <c r="I1293" s="33">
        <f>IF(A1293="","",YEAR(A1293))</f>
        <v/>
      </c>
    </row>
    <row r="1294" ht="15" customHeight="1" s="21">
      <c r="A1294" s="34" t="n"/>
      <c r="B1294" s="30" t="n"/>
      <c r="C1294" s="30" t="n"/>
      <c r="D1294" s="30" t="n"/>
      <c r="E1294" s="33">
        <f>IF(B1294="","",IFERROR(INDEX(Productos!$B$2:$B$501,MATCH(B1294,Productos!$A$2:$A$501,0)),"¿Código?"))</f>
        <v/>
      </c>
      <c r="F1294" s="32">
        <f>IF(C1294&lt;&gt;"Venta","",D1294*IFERROR(INDEX(Productos!$D$2:$D$501,MATCH(B1294,Productos!$A$2:$A$501,0)),0))</f>
        <v/>
      </c>
      <c r="G1294" s="32">
        <f>IF(C1294&lt;&gt;"Venta","",D1294*IFERROR(INDEX(Productos!$E$2:$E$501,MATCH(B1294,Productos!$A$2:$A$501,0)),0))</f>
        <v/>
      </c>
      <c r="H1294" s="33">
        <f>IF(A1294="","",MONTH(A1294))</f>
        <v/>
      </c>
      <c r="I1294" s="33">
        <f>IF(A1294="","",YEAR(A1294))</f>
        <v/>
      </c>
    </row>
    <row r="1295" ht="15" customHeight="1" s="21">
      <c r="A1295" s="34" t="n"/>
      <c r="B1295" s="30" t="n"/>
      <c r="C1295" s="30" t="n"/>
      <c r="D1295" s="30" t="n"/>
      <c r="E1295" s="33">
        <f>IF(B1295="","",IFERROR(INDEX(Productos!$B$2:$B$501,MATCH(B1295,Productos!$A$2:$A$501,0)),"¿Código?"))</f>
        <v/>
      </c>
      <c r="F1295" s="32">
        <f>IF(C1295&lt;&gt;"Venta","",D1295*IFERROR(INDEX(Productos!$D$2:$D$501,MATCH(B1295,Productos!$A$2:$A$501,0)),0))</f>
        <v/>
      </c>
      <c r="G1295" s="32">
        <f>IF(C1295&lt;&gt;"Venta","",D1295*IFERROR(INDEX(Productos!$E$2:$E$501,MATCH(B1295,Productos!$A$2:$A$501,0)),0))</f>
        <v/>
      </c>
      <c r="H1295" s="33">
        <f>IF(A1295="","",MONTH(A1295))</f>
        <v/>
      </c>
      <c r="I1295" s="33">
        <f>IF(A1295="","",YEAR(A1295))</f>
        <v/>
      </c>
    </row>
    <row r="1296" ht="15" customHeight="1" s="21">
      <c r="A1296" s="34" t="n"/>
      <c r="B1296" s="30" t="n"/>
      <c r="C1296" s="30" t="n"/>
      <c r="D1296" s="30" t="n"/>
      <c r="E1296" s="33">
        <f>IF(B1296="","",IFERROR(INDEX(Productos!$B$2:$B$501,MATCH(B1296,Productos!$A$2:$A$501,0)),"¿Código?"))</f>
        <v/>
      </c>
      <c r="F1296" s="32">
        <f>IF(C1296&lt;&gt;"Venta","",D1296*IFERROR(INDEX(Productos!$D$2:$D$501,MATCH(B1296,Productos!$A$2:$A$501,0)),0))</f>
        <v/>
      </c>
      <c r="G1296" s="32">
        <f>IF(C1296&lt;&gt;"Venta","",D1296*IFERROR(INDEX(Productos!$E$2:$E$501,MATCH(B1296,Productos!$A$2:$A$501,0)),0))</f>
        <v/>
      </c>
      <c r="H1296" s="33">
        <f>IF(A1296="","",MONTH(A1296))</f>
        <v/>
      </c>
      <c r="I1296" s="33">
        <f>IF(A1296="","",YEAR(A1296))</f>
        <v/>
      </c>
    </row>
    <row r="1297" ht="15" customHeight="1" s="21">
      <c r="A1297" s="34" t="n"/>
      <c r="B1297" s="30" t="n"/>
      <c r="C1297" s="30" t="n"/>
      <c r="D1297" s="30" t="n"/>
      <c r="E1297" s="33">
        <f>IF(B1297="","",IFERROR(INDEX(Productos!$B$2:$B$501,MATCH(B1297,Productos!$A$2:$A$501,0)),"¿Código?"))</f>
        <v/>
      </c>
      <c r="F1297" s="32">
        <f>IF(C1297&lt;&gt;"Venta","",D1297*IFERROR(INDEX(Productos!$D$2:$D$501,MATCH(B1297,Productos!$A$2:$A$501,0)),0))</f>
        <v/>
      </c>
      <c r="G1297" s="32">
        <f>IF(C1297&lt;&gt;"Venta","",D1297*IFERROR(INDEX(Productos!$E$2:$E$501,MATCH(B1297,Productos!$A$2:$A$501,0)),0))</f>
        <v/>
      </c>
      <c r="H1297" s="33">
        <f>IF(A1297="","",MONTH(A1297))</f>
        <v/>
      </c>
      <c r="I1297" s="33">
        <f>IF(A1297="","",YEAR(A1297))</f>
        <v/>
      </c>
    </row>
    <row r="1298" ht="15" customHeight="1" s="21">
      <c r="A1298" s="34" t="n"/>
      <c r="B1298" s="30" t="n"/>
      <c r="C1298" s="30" t="n"/>
      <c r="D1298" s="30" t="n"/>
      <c r="E1298" s="33">
        <f>IF(B1298="","",IFERROR(INDEX(Productos!$B$2:$B$501,MATCH(B1298,Productos!$A$2:$A$501,0)),"¿Código?"))</f>
        <v/>
      </c>
      <c r="F1298" s="32">
        <f>IF(C1298&lt;&gt;"Venta","",D1298*IFERROR(INDEX(Productos!$D$2:$D$501,MATCH(B1298,Productos!$A$2:$A$501,0)),0))</f>
        <v/>
      </c>
      <c r="G1298" s="32">
        <f>IF(C1298&lt;&gt;"Venta","",D1298*IFERROR(INDEX(Productos!$E$2:$E$501,MATCH(B1298,Productos!$A$2:$A$501,0)),0))</f>
        <v/>
      </c>
      <c r="H1298" s="33">
        <f>IF(A1298="","",MONTH(A1298))</f>
        <v/>
      </c>
      <c r="I1298" s="33">
        <f>IF(A1298="","",YEAR(A1298))</f>
        <v/>
      </c>
    </row>
    <row r="1299" ht="15" customHeight="1" s="21">
      <c r="A1299" s="34" t="n"/>
      <c r="B1299" s="30" t="n"/>
      <c r="C1299" s="30" t="n"/>
      <c r="D1299" s="30" t="n"/>
      <c r="E1299" s="33">
        <f>IF(B1299="","",IFERROR(INDEX(Productos!$B$2:$B$501,MATCH(B1299,Productos!$A$2:$A$501,0)),"¿Código?"))</f>
        <v/>
      </c>
      <c r="F1299" s="32">
        <f>IF(C1299&lt;&gt;"Venta","",D1299*IFERROR(INDEX(Productos!$D$2:$D$501,MATCH(B1299,Productos!$A$2:$A$501,0)),0))</f>
        <v/>
      </c>
      <c r="G1299" s="32">
        <f>IF(C1299&lt;&gt;"Venta","",D1299*IFERROR(INDEX(Productos!$E$2:$E$501,MATCH(B1299,Productos!$A$2:$A$501,0)),0))</f>
        <v/>
      </c>
      <c r="H1299" s="33">
        <f>IF(A1299="","",MONTH(A1299))</f>
        <v/>
      </c>
      <c r="I1299" s="33">
        <f>IF(A1299="","",YEAR(A1299))</f>
        <v/>
      </c>
    </row>
    <row r="1300" ht="15" customHeight="1" s="21">
      <c r="A1300" s="34" t="n"/>
      <c r="B1300" s="30" t="n"/>
      <c r="C1300" s="30" t="n"/>
      <c r="D1300" s="30" t="n"/>
      <c r="E1300" s="33">
        <f>IF(B1300="","",IFERROR(INDEX(Productos!$B$2:$B$501,MATCH(B1300,Productos!$A$2:$A$501,0)),"¿Código?"))</f>
        <v/>
      </c>
      <c r="F1300" s="32">
        <f>IF(C1300&lt;&gt;"Venta","",D1300*IFERROR(INDEX(Productos!$D$2:$D$501,MATCH(B1300,Productos!$A$2:$A$501,0)),0))</f>
        <v/>
      </c>
      <c r="G1300" s="32">
        <f>IF(C1300&lt;&gt;"Venta","",D1300*IFERROR(INDEX(Productos!$E$2:$E$501,MATCH(B1300,Productos!$A$2:$A$501,0)),0))</f>
        <v/>
      </c>
      <c r="H1300" s="33">
        <f>IF(A1300="","",MONTH(A1300))</f>
        <v/>
      </c>
      <c r="I1300" s="33">
        <f>IF(A1300="","",YEAR(A1300))</f>
        <v/>
      </c>
    </row>
    <row r="1301" ht="15" customHeight="1" s="21">
      <c r="A1301" s="34" t="n"/>
      <c r="B1301" s="30" t="n"/>
      <c r="C1301" s="30" t="n"/>
      <c r="D1301" s="30" t="n"/>
      <c r="E1301" s="33">
        <f>IF(B1301="","",IFERROR(INDEX(Productos!$B$2:$B$501,MATCH(B1301,Productos!$A$2:$A$501,0)),"¿Código?"))</f>
        <v/>
      </c>
      <c r="F1301" s="32">
        <f>IF(C1301&lt;&gt;"Venta","",D1301*IFERROR(INDEX(Productos!$D$2:$D$501,MATCH(B1301,Productos!$A$2:$A$501,0)),0))</f>
        <v/>
      </c>
      <c r="G1301" s="32">
        <f>IF(C1301&lt;&gt;"Venta","",D1301*IFERROR(INDEX(Productos!$E$2:$E$501,MATCH(B1301,Productos!$A$2:$A$501,0)),0))</f>
        <v/>
      </c>
      <c r="H1301" s="33">
        <f>IF(A1301="","",MONTH(A1301))</f>
        <v/>
      </c>
      <c r="I1301" s="33">
        <f>IF(A1301="","",YEAR(A1301))</f>
        <v/>
      </c>
    </row>
    <row r="1302" ht="15" customHeight="1" s="21">
      <c r="A1302" s="34" t="n"/>
      <c r="B1302" s="30" t="n"/>
      <c r="C1302" s="30" t="n"/>
      <c r="D1302" s="30" t="n"/>
      <c r="E1302" s="33">
        <f>IF(B1302="","",IFERROR(INDEX(Productos!$B$2:$B$501,MATCH(B1302,Productos!$A$2:$A$501,0)),"¿Código?"))</f>
        <v/>
      </c>
      <c r="F1302" s="32">
        <f>IF(C1302&lt;&gt;"Venta","",D1302*IFERROR(INDEX(Productos!$D$2:$D$501,MATCH(B1302,Productos!$A$2:$A$501,0)),0))</f>
        <v/>
      </c>
      <c r="G1302" s="32">
        <f>IF(C1302&lt;&gt;"Venta","",D1302*IFERROR(INDEX(Productos!$E$2:$E$501,MATCH(B1302,Productos!$A$2:$A$501,0)),0))</f>
        <v/>
      </c>
      <c r="H1302" s="33">
        <f>IF(A1302="","",MONTH(A1302))</f>
        <v/>
      </c>
      <c r="I1302" s="33">
        <f>IF(A1302="","",YEAR(A1302))</f>
        <v/>
      </c>
    </row>
    <row r="1303" ht="15" customHeight="1" s="21">
      <c r="A1303" s="34" t="n"/>
      <c r="B1303" s="30" t="n"/>
      <c r="C1303" s="30" t="n"/>
      <c r="D1303" s="30" t="n"/>
      <c r="E1303" s="33">
        <f>IF(B1303="","",IFERROR(INDEX(Productos!$B$2:$B$501,MATCH(B1303,Productos!$A$2:$A$501,0)),"¿Código?"))</f>
        <v/>
      </c>
      <c r="F1303" s="32">
        <f>IF(C1303&lt;&gt;"Venta","",D1303*IFERROR(INDEX(Productos!$D$2:$D$501,MATCH(B1303,Productos!$A$2:$A$501,0)),0))</f>
        <v/>
      </c>
      <c r="G1303" s="32">
        <f>IF(C1303&lt;&gt;"Venta","",D1303*IFERROR(INDEX(Productos!$E$2:$E$501,MATCH(B1303,Productos!$A$2:$A$501,0)),0))</f>
        <v/>
      </c>
      <c r="H1303" s="33">
        <f>IF(A1303="","",MONTH(A1303))</f>
        <v/>
      </c>
      <c r="I1303" s="33">
        <f>IF(A1303="","",YEAR(A1303))</f>
        <v/>
      </c>
    </row>
    <row r="1304" ht="15" customHeight="1" s="21">
      <c r="A1304" s="34" t="n"/>
      <c r="B1304" s="30" t="n"/>
      <c r="C1304" s="30" t="n"/>
      <c r="D1304" s="30" t="n"/>
      <c r="E1304" s="33">
        <f>IF(B1304="","",IFERROR(INDEX(Productos!$B$2:$B$501,MATCH(B1304,Productos!$A$2:$A$501,0)),"¿Código?"))</f>
        <v/>
      </c>
      <c r="F1304" s="32">
        <f>IF(C1304&lt;&gt;"Venta","",D1304*IFERROR(INDEX(Productos!$D$2:$D$501,MATCH(B1304,Productos!$A$2:$A$501,0)),0))</f>
        <v/>
      </c>
      <c r="G1304" s="32">
        <f>IF(C1304&lt;&gt;"Venta","",D1304*IFERROR(INDEX(Productos!$E$2:$E$501,MATCH(B1304,Productos!$A$2:$A$501,0)),0))</f>
        <v/>
      </c>
      <c r="H1304" s="33">
        <f>IF(A1304="","",MONTH(A1304))</f>
        <v/>
      </c>
      <c r="I1304" s="33">
        <f>IF(A1304="","",YEAR(A1304))</f>
        <v/>
      </c>
    </row>
    <row r="1305" ht="15" customHeight="1" s="21">
      <c r="A1305" s="34" t="n"/>
      <c r="B1305" s="30" t="n"/>
      <c r="C1305" s="30" t="n"/>
      <c r="D1305" s="30" t="n"/>
      <c r="E1305" s="33">
        <f>IF(B1305="","",IFERROR(INDEX(Productos!$B$2:$B$501,MATCH(B1305,Productos!$A$2:$A$501,0)),"¿Código?"))</f>
        <v/>
      </c>
      <c r="F1305" s="32">
        <f>IF(C1305&lt;&gt;"Venta","",D1305*IFERROR(INDEX(Productos!$D$2:$D$501,MATCH(B1305,Productos!$A$2:$A$501,0)),0))</f>
        <v/>
      </c>
      <c r="G1305" s="32">
        <f>IF(C1305&lt;&gt;"Venta","",D1305*IFERROR(INDEX(Productos!$E$2:$E$501,MATCH(B1305,Productos!$A$2:$A$501,0)),0))</f>
        <v/>
      </c>
      <c r="H1305" s="33">
        <f>IF(A1305="","",MONTH(A1305))</f>
        <v/>
      </c>
      <c r="I1305" s="33">
        <f>IF(A1305="","",YEAR(A1305))</f>
        <v/>
      </c>
    </row>
    <row r="1306" ht="15" customHeight="1" s="21">
      <c r="A1306" s="34" t="n"/>
      <c r="B1306" s="30" t="n"/>
      <c r="C1306" s="30" t="n"/>
      <c r="D1306" s="30" t="n"/>
      <c r="E1306" s="33">
        <f>IF(B1306="","",IFERROR(INDEX(Productos!$B$2:$B$501,MATCH(B1306,Productos!$A$2:$A$501,0)),"¿Código?"))</f>
        <v/>
      </c>
      <c r="F1306" s="32">
        <f>IF(C1306&lt;&gt;"Venta","",D1306*IFERROR(INDEX(Productos!$D$2:$D$501,MATCH(B1306,Productos!$A$2:$A$501,0)),0))</f>
        <v/>
      </c>
      <c r="G1306" s="32">
        <f>IF(C1306&lt;&gt;"Venta","",D1306*IFERROR(INDEX(Productos!$E$2:$E$501,MATCH(B1306,Productos!$A$2:$A$501,0)),0))</f>
        <v/>
      </c>
      <c r="H1306" s="33">
        <f>IF(A1306="","",MONTH(A1306))</f>
        <v/>
      </c>
      <c r="I1306" s="33">
        <f>IF(A1306="","",YEAR(A1306))</f>
        <v/>
      </c>
    </row>
    <row r="1307" ht="15" customHeight="1" s="21">
      <c r="A1307" s="34" t="n"/>
      <c r="B1307" s="30" t="n"/>
      <c r="C1307" s="30" t="n"/>
      <c r="D1307" s="30" t="n"/>
      <c r="E1307" s="33">
        <f>IF(B1307="","",IFERROR(INDEX(Productos!$B$2:$B$501,MATCH(B1307,Productos!$A$2:$A$501,0)),"¿Código?"))</f>
        <v/>
      </c>
      <c r="F1307" s="32">
        <f>IF(C1307&lt;&gt;"Venta","",D1307*IFERROR(INDEX(Productos!$D$2:$D$501,MATCH(B1307,Productos!$A$2:$A$501,0)),0))</f>
        <v/>
      </c>
      <c r="G1307" s="32">
        <f>IF(C1307&lt;&gt;"Venta","",D1307*IFERROR(INDEX(Productos!$E$2:$E$501,MATCH(B1307,Productos!$A$2:$A$501,0)),0))</f>
        <v/>
      </c>
      <c r="H1307" s="33">
        <f>IF(A1307="","",MONTH(A1307))</f>
        <v/>
      </c>
      <c r="I1307" s="33">
        <f>IF(A1307="","",YEAR(A1307))</f>
        <v/>
      </c>
    </row>
    <row r="1308" ht="15" customHeight="1" s="21">
      <c r="A1308" s="34" t="n"/>
      <c r="B1308" s="30" t="n"/>
      <c r="C1308" s="30" t="n"/>
      <c r="D1308" s="30" t="n"/>
      <c r="E1308" s="33">
        <f>IF(B1308="","",IFERROR(INDEX(Productos!$B$2:$B$501,MATCH(B1308,Productos!$A$2:$A$501,0)),"¿Código?"))</f>
        <v/>
      </c>
      <c r="F1308" s="32">
        <f>IF(C1308&lt;&gt;"Venta","",D1308*IFERROR(INDEX(Productos!$D$2:$D$501,MATCH(B1308,Productos!$A$2:$A$501,0)),0))</f>
        <v/>
      </c>
      <c r="G1308" s="32">
        <f>IF(C1308&lt;&gt;"Venta","",D1308*IFERROR(INDEX(Productos!$E$2:$E$501,MATCH(B1308,Productos!$A$2:$A$501,0)),0))</f>
        <v/>
      </c>
      <c r="H1308" s="33">
        <f>IF(A1308="","",MONTH(A1308))</f>
        <v/>
      </c>
      <c r="I1308" s="33">
        <f>IF(A1308="","",YEAR(A1308))</f>
        <v/>
      </c>
    </row>
    <row r="1309" ht="15" customHeight="1" s="21">
      <c r="A1309" s="34" t="n"/>
      <c r="B1309" s="30" t="n"/>
      <c r="C1309" s="30" t="n"/>
      <c r="D1309" s="30" t="n"/>
      <c r="E1309" s="33">
        <f>IF(B1309="","",IFERROR(INDEX(Productos!$B$2:$B$501,MATCH(B1309,Productos!$A$2:$A$501,0)),"¿Código?"))</f>
        <v/>
      </c>
      <c r="F1309" s="32">
        <f>IF(C1309&lt;&gt;"Venta","",D1309*IFERROR(INDEX(Productos!$D$2:$D$501,MATCH(B1309,Productos!$A$2:$A$501,0)),0))</f>
        <v/>
      </c>
      <c r="G1309" s="32">
        <f>IF(C1309&lt;&gt;"Venta","",D1309*IFERROR(INDEX(Productos!$E$2:$E$501,MATCH(B1309,Productos!$A$2:$A$501,0)),0))</f>
        <v/>
      </c>
      <c r="H1309" s="33">
        <f>IF(A1309="","",MONTH(A1309))</f>
        <v/>
      </c>
      <c r="I1309" s="33">
        <f>IF(A1309="","",YEAR(A1309))</f>
        <v/>
      </c>
    </row>
    <row r="1310" ht="15" customHeight="1" s="21">
      <c r="A1310" s="34" t="n"/>
      <c r="B1310" s="30" t="n"/>
      <c r="C1310" s="30" t="n"/>
      <c r="D1310" s="30" t="n"/>
      <c r="E1310" s="33">
        <f>IF(B1310="","",IFERROR(INDEX(Productos!$B$2:$B$501,MATCH(B1310,Productos!$A$2:$A$501,0)),"¿Código?"))</f>
        <v/>
      </c>
      <c r="F1310" s="32">
        <f>IF(C1310&lt;&gt;"Venta","",D1310*IFERROR(INDEX(Productos!$D$2:$D$501,MATCH(B1310,Productos!$A$2:$A$501,0)),0))</f>
        <v/>
      </c>
      <c r="G1310" s="32">
        <f>IF(C1310&lt;&gt;"Venta","",D1310*IFERROR(INDEX(Productos!$E$2:$E$501,MATCH(B1310,Productos!$A$2:$A$501,0)),0))</f>
        <v/>
      </c>
      <c r="H1310" s="33">
        <f>IF(A1310="","",MONTH(A1310))</f>
        <v/>
      </c>
      <c r="I1310" s="33">
        <f>IF(A1310="","",YEAR(A1310))</f>
        <v/>
      </c>
    </row>
    <row r="1311" ht="15" customHeight="1" s="21">
      <c r="A1311" s="34" t="n"/>
      <c r="B1311" s="30" t="n"/>
      <c r="C1311" s="30" t="n"/>
      <c r="D1311" s="30" t="n"/>
      <c r="E1311" s="33">
        <f>IF(B1311="","",IFERROR(INDEX(Productos!$B$2:$B$501,MATCH(B1311,Productos!$A$2:$A$501,0)),"¿Código?"))</f>
        <v/>
      </c>
      <c r="F1311" s="32">
        <f>IF(C1311&lt;&gt;"Venta","",D1311*IFERROR(INDEX(Productos!$D$2:$D$501,MATCH(B1311,Productos!$A$2:$A$501,0)),0))</f>
        <v/>
      </c>
      <c r="G1311" s="32">
        <f>IF(C1311&lt;&gt;"Venta","",D1311*IFERROR(INDEX(Productos!$E$2:$E$501,MATCH(B1311,Productos!$A$2:$A$501,0)),0))</f>
        <v/>
      </c>
      <c r="H1311" s="33">
        <f>IF(A1311="","",MONTH(A1311))</f>
        <v/>
      </c>
      <c r="I1311" s="33">
        <f>IF(A1311="","",YEAR(A1311))</f>
        <v/>
      </c>
    </row>
    <row r="1312" ht="15" customHeight="1" s="21">
      <c r="A1312" s="34" t="n"/>
      <c r="B1312" s="30" t="n"/>
      <c r="C1312" s="30" t="n"/>
      <c r="D1312" s="30" t="n"/>
      <c r="E1312" s="33">
        <f>IF(B1312="","",IFERROR(INDEX(Productos!$B$2:$B$501,MATCH(B1312,Productos!$A$2:$A$501,0)),"¿Código?"))</f>
        <v/>
      </c>
      <c r="F1312" s="32">
        <f>IF(C1312&lt;&gt;"Venta","",D1312*IFERROR(INDEX(Productos!$D$2:$D$501,MATCH(B1312,Productos!$A$2:$A$501,0)),0))</f>
        <v/>
      </c>
      <c r="G1312" s="32">
        <f>IF(C1312&lt;&gt;"Venta","",D1312*IFERROR(INDEX(Productos!$E$2:$E$501,MATCH(B1312,Productos!$A$2:$A$501,0)),0))</f>
        <v/>
      </c>
      <c r="H1312" s="33">
        <f>IF(A1312="","",MONTH(A1312))</f>
        <v/>
      </c>
      <c r="I1312" s="33">
        <f>IF(A1312="","",YEAR(A1312))</f>
        <v/>
      </c>
    </row>
    <row r="1313" ht="15" customHeight="1" s="21">
      <c r="A1313" s="34" t="n"/>
      <c r="B1313" s="30" t="n"/>
      <c r="C1313" s="30" t="n"/>
      <c r="D1313" s="30" t="n"/>
      <c r="E1313" s="33">
        <f>IF(B1313="","",IFERROR(INDEX(Productos!$B$2:$B$501,MATCH(B1313,Productos!$A$2:$A$501,0)),"¿Código?"))</f>
        <v/>
      </c>
      <c r="F1313" s="32">
        <f>IF(C1313&lt;&gt;"Venta","",D1313*IFERROR(INDEX(Productos!$D$2:$D$501,MATCH(B1313,Productos!$A$2:$A$501,0)),0))</f>
        <v/>
      </c>
      <c r="G1313" s="32">
        <f>IF(C1313&lt;&gt;"Venta","",D1313*IFERROR(INDEX(Productos!$E$2:$E$501,MATCH(B1313,Productos!$A$2:$A$501,0)),0))</f>
        <v/>
      </c>
      <c r="H1313" s="33">
        <f>IF(A1313="","",MONTH(A1313))</f>
        <v/>
      </c>
      <c r="I1313" s="33">
        <f>IF(A1313="","",YEAR(A1313))</f>
        <v/>
      </c>
    </row>
    <row r="1314" ht="15" customHeight="1" s="21">
      <c r="A1314" s="34" t="n"/>
      <c r="B1314" s="30" t="n"/>
      <c r="C1314" s="30" t="n"/>
      <c r="D1314" s="30" t="n"/>
      <c r="E1314" s="33">
        <f>IF(B1314="","",IFERROR(INDEX(Productos!$B$2:$B$501,MATCH(B1314,Productos!$A$2:$A$501,0)),"¿Código?"))</f>
        <v/>
      </c>
      <c r="F1314" s="32">
        <f>IF(C1314&lt;&gt;"Venta","",D1314*IFERROR(INDEX(Productos!$D$2:$D$501,MATCH(B1314,Productos!$A$2:$A$501,0)),0))</f>
        <v/>
      </c>
      <c r="G1314" s="32">
        <f>IF(C1314&lt;&gt;"Venta","",D1314*IFERROR(INDEX(Productos!$E$2:$E$501,MATCH(B1314,Productos!$A$2:$A$501,0)),0))</f>
        <v/>
      </c>
      <c r="H1314" s="33">
        <f>IF(A1314="","",MONTH(A1314))</f>
        <v/>
      </c>
      <c r="I1314" s="33">
        <f>IF(A1314="","",YEAR(A1314))</f>
        <v/>
      </c>
    </row>
    <row r="1315" ht="15" customHeight="1" s="21">
      <c r="A1315" s="34" t="n"/>
      <c r="B1315" s="30" t="n"/>
      <c r="C1315" s="30" t="n"/>
      <c r="D1315" s="30" t="n"/>
      <c r="E1315" s="33">
        <f>IF(B1315="","",IFERROR(INDEX(Productos!$B$2:$B$501,MATCH(B1315,Productos!$A$2:$A$501,0)),"¿Código?"))</f>
        <v/>
      </c>
      <c r="F1315" s="32">
        <f>IF(C1315&lt;&gt;"Venta","",D1315*IFERROR(INDEX(Productos!$D$2:$D$501,MATCH(B1315,Productos!$A$2:$A$501,0)),0))</f>
        <v/>
      </c>
      <c r="G1315" s="32">
        <f>IF(C1315&lt;&gt;"Venta","",D1315*IFERROR(INDEX(Productos!$E$2:$E$501,MATCH(B1315,Productos!$A$2:$A$501,0)),0))</f>
        <v/>
      </c>
      <c r="H1315" s="33">
        <f>IF(A1315="","",MONTH(A1315))</f>
        <v/>
      </c>
      <c r="I1315" s="33">
        <f>IF(A1315="","",YEAR(A1315))</f>
        <v/>
      </c>
    </row>
    <row r="1316" ht="15" customHeight="1" s="21">
      <c r="A1316" s="34" t="n"/>
      <c r="B1316" s="30" t="n"/>
      <c r="C1316" s="30" t="n"/>
      <c r="D1316" s="30" t="n"/>
      <c r="E1316" s="33">
        <f>IF(B1316="","",IFERROR(INDEX(Productos!$B$2:$B$501,MATCH(B1316,Productos!$A$2:$A$501,0)),"¿Código?"))</f>
        <v/>
      </c>
      <c r="F1316" s="32">
        <f>IF(C1316&lt;&gt;"Venta","",D1316*IFERROR(INDEX(Productos!$D$2:$D$501,MATCH(B1316,Productos!$A$2:$A$501,0)),0))</f>
        <v/>
      </c>
      <c r="G1316" s="32">
        <f>IF(C1316&lt;&gt;"Venta","",D1316*IFERROR(INDEX(Productos!$E$2:$E$501,MATCH(B1316,Productos!$A$2:$A$501,0)),0))</f>
        <v/>
      </c>
      <c r="H1316" s="33">
        <f>IF(A1316="","",MONTH(A1316))</f>
        <v/>
      </c>
      <c r="I1316" s="33">
        <f>IF(A1316="","",YEAR(A1316))</f>
        <v/>
      </c>
    </row>
    <row r="1317" ht="15" customHeight="1" s="21">
      <c r="A1317" s="34" t="n"/>
      <c r="B1317" s="30" t="n"/>
      <c r="C1317" s="30" t="n"/>
      <c r="D1317" s="30" t="n"/>
      <c r="E1317" s="33">
        <f>IF(B1317="","",IFERROR(INDEX(Productos!$B$2:$B$501,MATCH(B1317,Productos!$A$2:$A$501,0)),"¿Código?"))</f>
        <v/>
      </c>
      <c r="F1317" s="32">
        <f>IF(C1317&lt;&gt;"Venta","",D1317*IFERROR(INDEX(Productos!$D$2:$D$501,MATCH(B1317,Productos!$A$2:$A$501,0)),0))</f>
        <v/>
      </c>
      <c r="G1317" s="32">
        <f>IF(C1317&lt;&gt;"Venta","",D1317*IFERROR(INDEX(Productos!$E$2:$E$501,MATCH(B1317,Productos!$A$2:$A$501,0)),0))</f>
        <v/>
      </c>
      <c r="H1317" s="33">
        <f>IF(A1317="","",MONTH(A1317))</f>
        <v/>
      </c>
      <c r="I1317" s="33">
        <f>IF(A1317="","",YEAR(A1317))</f>
        <v/>
      </c>
    </row>
    <row r="1318" ht="15" customHeight="1" s="21">
      <c r="A1318" s="34" t="n"/>
      <c r="B1318" s="30" t="n"/>
      <c r="C1318" s="30" t="n"/>
      <c r="D1318" s="30" t="n"/>
      <c r="E1318" s="33">
        <f>IF(B1318="","",IFERROR(INDEX(Productos!$B$2:$B$501,MATCH(B1318,Productos!$A$2:$A$501,0)),"¿Código?"))</f>
        <v/>
      </c>
      <c r="F1318" s="32">
        <f>IF(C1318&lt;&gt;"Venta","",D1318*IFERROR(INDEX(Productos!$D$2:$D$501,MATCH(B1318,Productos!$A$2:$A$501,0)),0))</f>
        <v/>
      </c>
      <c r="G1318" s="32">
        <f>IF(C1318&lt;&gt;"Venta","",D1318*IFERROR(INDEX(Productos!$E$2:$E$501,MATCH(B1318,Productos!$A$2:$A$501,0)),0))</f>
        <v/>
      </c>
      <c r="H1318" s="33">
        <f>IF(A1318="","",MONTH(A1318))</f>
        <v/>
      </c>
      <c r="I1318" s="33">
        <f>IF(A1318="","",YEAR(A1318))</f>
        <v/>
      </c>
    </row>
    <row r="1319" ht="15" customHeight="1" s="21">
      <c r="A1319" s="34" t="n"/>
      <c r="B1319" s="30" t="n"/>
      <c r="C1319" s="30" t="n"/>
      <c r="D1319" s="30" t="n"/>
      <c r="E1319" s="33">
        <f>IF(B1319="","",IFERROR(INDEX(Productos!$B$2:$B$501,MATCH(B1319,Productos!$A$2:$A$501,0)),"¿Código?"))</f>
        <v/>
      </c>
      <c r="F1319" s="32">
        <f>IF(C1319&lt;&gt;"Venta","",D1319*IFERROR(INDEX(Productos!$D$2:$D$501,MATCH(B1319,Productos!$A$2:$A$501,0)),0))</f>
        <v/>
      </c>
      <c r="G1319" s="32">
        <f>IF(C1319&lt;&gt;"Venta","",D1319*IFERROR(INDEX(Productos!$E$2:$E$501,MATCH(B1319,Productos!$A$2:$A$501,0)),0))</f>
        <v/>
      </c>
      <c r="H1319" s="33">
        <f>IF(A1319="","",MONTH(A1319))</f>
        <v/>
      </c>
      <c r="I1319" s="33">
        <f>IF(A1319="","",YEAR(A1319))</f>
        <v/>
      </c>
    </row>
    <row r="1320" ht="15" customHeight="1" s="21">
      <c r="A1320" s="34" t="n"/>
      <c r="B1320" s="30" t="n"/>
      <c r="C1320" s="30" t="n"/>
      <c r="D1320" s="30" t="n"/>
      <c r="E1320" s="33">
        <f>IF(B1320="","",IFERROR(INDEX(Productos!$B$2:$B$501,MATCH(B1320,Productos!$A$2:$A$501,0)),"¿Código?"))</f>
        <v/>
      </c>
      <c r="F1320" s="32">
        <f>IF(C1320&lt;&gt;"Venta","",D1320*IFERROR(INDEX(Productos!$D$2:$D$501,MATCH(B1320,Productos!$A$2:$A$501,0)),0))</f>
        <v/>
      </c>
      <c r="G1320" s="32">
        <f>IF(C1320&lt;&gt;"Venta","",D1320*IFERROR(INDEX(Productos!$E$2:$E$501,MATCH(B1320,Productos!$A$2:$A$501,0)),0))</f>
        <v/>
      </c>
      <c r="H1320" s="33">
        <f>IF(A1320="","",MONTH(A1320))</f>
        <v/>
      </c>
      <c r="I1320" s="33">
        <f>IF(A1320="","",YEAR(A1320))</f>
        <v/>
      </c>
    </row>
    <row r="1321" ht="15" customHeight="1" s="21">
      <c r="A1321" s="34" t="n"/>
      <c r="B1321" s="30" t="n"/>
      <c r="C1321" s="30" t="n"/>
      <c r="D1321" s="30" t="n"/>
      <c r="E1321" s="33">
        <f>IF(B1321="","",IFERROR(INDEX(Productos!$B$2:$B$501,MATCH(B1321,Productos!$A$2:$A$501,0)),"¿Código?"))</f>
        <v/>
      </c>
      <c r="F1321" s="32">
        <f>IF(C1321&lt;&gt;"Venta","",D1321*IFERROR(INDEX(Productos!$D$2:$D$501,MATCH(B1321,Productos!$A$2:$A$501,0)),0))</f>
        <v/>
      </c>
      <c r="G1321" s="32">
        <f>IF(C1321&lt;&gt;"Venta","",D1321*IFERROR(INDEX(Productos!$E$2:$E$501,MATCH(B1321,Productos!$A$2:$A$501,0)),0))</f>
        <v/>
      </c>
      <c r="H1321" s="33">
        <f>IF(A1321="","",MONTH(A1321))</f>
        <v/>
      </c>
      <c r="I1321" s="33">
        <f>IF(A1321="","",YEAR(A1321))</f>
        <v/>
      </c>
    </row>
    <row r="1322" ht="15" customHeight="1" s="21">
      <c r="A1322" s="34" t="n"/>
      <c r="B1322" s="30" t="n"/>
      <c r="C1322" s="30" t="n"/>
      <c r="D1322" s="30" t="n"/>
      <c r="E1322" s="33">
        <f>IF(B1322="","",IFERROR(INDEX(Productos!$B$2:$B$501,MATCH(B1322,Productos!$A$2:$A$501,0)),"¿Código?"))</f>
        <v/>
      </c>
      <c r="F1322" s="32">
        <f>IF(C1322&lt;&gt;"Venta","",D1322*IFERROR(INDEX(Productos!$D$2:$D$501,MATCH(B1322,Productos!$A$2:$A$501,0)),0))</f>
        <v/>
      </c>
      <c r="G1322" s="32">
        <f>IF(C1322&lt;&gt;"Venta","",D1322*IFERROR(INDEX(Productos!$E$2:$E$501,MATCH(B1322,Productos!$A$2:$A$501,0)),0))</f>
        <v/>
      </c>
      <c r="H1322" s="33">
        <f>IF(A1322="","",MONTH(A1322))</f>
        <v/>
      </c>
      <c r="I1322" s="33">
        <f>IF(A1322="","",YEAR(A1322))</f>
        <v/>
      </c>
    </row>
    <row r="1323" ht="15" customHeight="1" s="21">
      <c r="A1323" s="34" t="n"/>
      <c r="B1323" s="30" t="n"/>
      <c r="C1323" s="30" t="n"/>
      <c r="D1323" s="30" t="n"/>
      <c r="E1323" s="33">
        <f>IF(B1323="","",IFERROR(INDEX(Productos!$B$2:$B$501,MATCH(B1323,Productos!$A$2:$A$501,0)),"¿Código?"))</f>
        <v/>
      </c>
      <c r="F1323" s="32">
        <f>IF(C1323&lt;&gt;"Venta","",D1323*IFERROR(INDEX(Productos!$D$2:$D$501,MATCH(B1323,Productos!$A$2:$A$501,0)),0))</f>
        <v/>
      </c>
      <c r="G1323" s="32">
        <f>IF(C1323&lt;&gt;"Venta","",D1323*IFERROR(INDEX(Productos!$E$2:$E$501,MATCH(B1323,Productos!$A$2:$A$501,0)),0))</f>
        <v/>
      </c>
      <c r="H1323" s="33">
        <f>IF(A1323="","",MONTH(A1323))</f>
        <v/>
      </c>
      <c r="I1323" s="33">
        <f>IF(A1323="","",YEAR(A1323))</f>
        <v/>
      </c>
    </row>
    <row r="1324" ht="15" customHeight="1" s="21">
      <c r="A1324" s="34" t="n"/>
      <c r="B1324" s="30" t="n"/>
      <c r="C1324" s="30" t="n"/>
      <c r="D1324" s="30" t="n"/>
      <c r="E1324" s="33">
        <f>IF(B1324="","",IFERROR(INDEX(Productos!$B$2:$B$501,MATCH(B1324,Productos!$A$2:$A$501,0)),"¿Código?"))</f>
        <v/>
      </c>
      <c r="F1324" s="32">
        <f>IF(C1324&lt;&gt;"Venta","",D1324*IFERROR(INDEX(Productos!$D$2:$D$501,MATCH(B1324,Productos!$A$2:$A$501,0)),0))</f>
        <v/>
      </c>
      <c r="G1324" s="32">
        <f>IF(C1324&lt;&gt;"Venta","",D1324*IFERROR(INDEX(Productos!$E$2:$E$501,MATCH(B1324,Productos!$A$2:$A$501,0)),0))</f>
        <v/>
      </c>
      <c r="H1324" s="33">
        <f>IF(A1324="","",MONTH(A1324))</f>
        <v/>
      </c>
      <c r="I1324" s="33">
        <f>IF(A1324="","",YEAR(A1324))</f>
        <v/>
      </c>
    </row>
    <row r="1325" ht="15" customHeight="1" s="21">
      <c r="A1325" s="34" t="n"/>
      <c r="B1325" s="30" t="n"/>
      <c r="C1325" s="30" t="n"/>
      <c r="D1325" s="30" t="n"/>
      <c r="E1325" s="33">
        <f>IF(B1325="","",IFERROR(INDEX(Productos!$B$2:$B$501,MATCH(B1325,Productos!$A$2:$A$501,0)),"¿Código?"))</f>
        <v/>
      </c>
      <c r="F1325" s="32">
        <f>IF(C1325&lt;&gt;"Venta","",D1325*IFERROR(INDEX(Productos!$D$2:$D$501,MATCH(B1325,Productos!$A$2:$A$501,0)),0))</f>
        <v/>
      </c>
      <c r="G1325" s="32">
        <f>IF(C1325&lt;&gt;"Venta","",D1325*IFERROR(INDEX(Productos!$E$2:$E$501,MATCH(B1325,Productos!$A$2:$A$501,0)),0))</f>
        <v/>
      </c>
      <c r="H1325" s="33">
        <f>IF(A1325="","",MONTH(A1325))</f>
        <v/>
      </c>
      <c r="I1325" s="33">
        <f>IF(A1325="","",YEAR(A1325))</f>
        <v/>
      </c>
    </row>
    <row r="1326" ht="15" customHeight="1" s="21">
      <c r="A1326" s="34" t="n"/>
      <c r="B1326" s="30" t="n"/>
      <c r="C1326" s="30" t="n"/>
      <c r="D1326" s="30" t="n"/>
      <c r="E1326" s="33">
        <f>IF(B1326="","",IFERROR(INDEX(Productos!$B$2:$B$501,MATCH(B1326,Productos!$A$2:$A$501,0)),"¿Código?"))</f>
        <v/>
      </c>
      <c r="F1326" s="32">
        <f>IF(C1326&lt;&gt;"Venta","",D1326*IFERROR(INDEX(Productos!$D$2:$D$501,MATCH(B1326,Productos!$A$2:$A$501,0)),0))</f>
        <v/>
      </c>
      <c r="G1326" s="32">
        <f>IF(C1326&lt;&gt;"Venta","",D1326*IFERROR(INDEX(Productos!$E$2:$E$501,MATCH(B1326,Productos!$A$2:$A$501,0)),0))</f>
        <v/>
      </c>
      <c r="H1326" s="33">
        <f>IF(A1326="","",MONTH(A1326))</f>
        <v/>
      </c>
      <c r="I1326" s="33">
        <f>IF(A1326="","",YEAR(A1326))</f>
        <v/>
      </c>
    </row>
    <row r="1327" ht="15" customHeight="1" s="21">
      <c r="A1327" s="34" t="n"/>
      <c r="B1327" s="30" t="n"/>
      <c r="C1327" s="30" t="n"/>
      <c r="D1327" s="30" t="n"/>
      <c r="E1327" s="33">
        <f>IF(B1327="","",IFERROR(INDEX(Productos!$B$2:$B$501,MATCH(B1327,Productos!$A$2:$A$501,0)),"¿Código?"))</f>
        <v/>
      </c>
      <c r="F1327" s="32">
        <f>IF(C1327&lt;&gt;"Venta","",D1327*IFERROR(INDEX(Productos!$D$2:$D$501,MATCH(B1327,Productos!$A$2:$A$501,0)),0))</f>
        <v/>
      </c>
      <c r="G1327" s="32">
        <f>IF(C1327&lt;&gt;"Venta","",D1327*IFERROR(INDEX(Productos!$E$2:$E$501,MATCH(B1327,Productos!$A$2:$A$501,0)),0))</f>
        <v/>
      </c>
      <c r="H1327" s="33">
        <f>IF(A1327="","",MONTH(A1327))</f>
        <v/>
      </c>
      <c r="I1327" s="33">
        <f>IF(A1327="","",YEAR(A1327))</f>
        <v/>
      </c>
    </row>
    <row r="1328" ht="15" customHeight="1" s="21">
      <c r="A1328" s="34" t="n"/>
      <c r="B1328" s="30" t="n"/>
      <c r="C1328" s="30" t="n"/>
      <c r="D1328" s="30" t="n"/>
      <c r="E1328" s="33">
        <f>IF(B1328="","",IFERROR(INDEX(Productos!$B$2:$B$501,MATCH(B1328,Productos!$A$2:$A$501,0)),"¿Código?"))</f>
        <v/>
      </c>
      <c r="F1328" s="32">
        <f>IF(C1328&lt;&gt;"Venta","",D1328*IFERROR(INDEX(Productos!$D$2:$D$501,MATCH(B1328,Productos!$A$2:$A$501,0)),0))</f>
        <v/>
      </c>
      <c r="G1328" s="32">
        <f>IF(C1328&lt;&gt;"Venta","",D1328*IFERROR(INDEX(Productos!$E$2:$E$501,MATCH(B1328,Productos!$A$2:$A$501,0)),0))</f>
        <v/>
      </c>
      <c r="H1328" s="33">
        <f>IF(A1328="","",MONTH(A1328))</f>
        <v/>
      </c>
      <c r="I1328" s="33">
        <f>IF(A1328="","",YEAR(A1328))</f>
        <v/>
      </c>
    </row>
    <row r="1329" ht="15" customHeight="1" s="21">
      <c r="A1329" s="34" t="n"/>
      <c r="B1329" s="30" t="n"/>
      <c r="C1329" s="30" t="n"/>
      <c r="D1329" s="30" t="n"/>
      <c r="E1329" s="33">
        <f>IF(B1329="","",IFERROR(INDEX(Productos!$B$2:$B$501,MATCH(B1329,Productos!$A$2:$A$501,0)),"¿Código?"))</f>
        <v/>
      </c>
      <c r="F1329" s="32">
        <f>IF(C1329&lt;&gt;"Venta","",D1329*IFERROR(INDEX(Productos!$D$2:$D$501,MATCH(B1329,Productos!$A$2:$A$501,0)),0))</f>
        <v/>
      </c>
      <c r="G1329" s="32">
        <f>IF(C1329&lt;&gt;"Venta","",D1329*IFERROR(INDEX(Productos!$E$2:$E$501,MATCH(B1329,Productos!$A$2:$A$501,0)),0))</f>
        <v/>
      </c>
      <c r="H1329" s="33">
        <f>IF(A1329="","",MONTH(A1329))</f>
        <v/>
      </c>
      <c r="I1329" s="33">
        <f>IF(A1329="","",YEAR(A1329))</f>
        <v/>
      </c>
    </row>
    <row r="1330" ht="15" customHeight="1" s="21">
      <c r="A1330" s="34" t="n"/>
      <c r="B1330" s="30" t="n"/>
      <c r="C1330" s="30" t="n"/>
      <c r="D1330" s="30" t="n"/>
      <c r="E1330" s="33">
        <f>IF(B1330="","",IFERROR(INDEX(Productos!$B$2:$B$501,MATCH(B1330,Productos!$A$2:$A$501,0)),"¿Código?"))</f>
        <v/>
      </c>
      <c r="F1330" s="32">
        <f>IF(C1330&lt;&gt;"Venta","",D1330*IFERROR(INDEX(Productos!$D$2:$D$501,MATCH(B1330,Productos!$A$2:$A$501,0)),0))</f>
        <v/>
      </c>
      <c r="G1330" s="32">
        <f>IF(C1330&lt;&gt;"Venta","",D1330*IFERROR(INDEX(Productos!$E$2:$E$501,MATCH(B1330,Productos!$A$2:$A$501,0)),0))</f>
        <v/>
      </c>
      <c r="H1330" s="33">
        <f>IF(A1330="","",MONTH(A1330))</f>
        <v/>
      </c>
      <c r="I1330" s="33">
        <f>IF(A1330="","",YEAR(A1330))</f>
        <v/>
      </c>
    </row>
    <row r="1331" ht="15" customHeight="1" s="21">
      <c r="A1331" s="34" t="n"/>
      <c r="B1331" s="30" t="n"/>
      <c r="C1331" s="30" t="n"/>
      <c r="D1331" s="30" t="n"/>
      <c r="E1331" s="33">
        <f>IF(B1331="","",IFERROR(INDEX(Productos!$B$2:$B$501,MATCH(B1331,Productos!$A$2:$A$501,0)),"¿Código?"))</f>
        <v/>
      </c>
      <c r="F1331" s="32">
        <f>IF(C1331&lt;&gt;"Venta","",D1331*IFERROR(INDEX(Productos!$D$2:$D$501,MATCH(B1331,Productos!$A$2:$A$501,0)),0))</f>
        <v/>
      </c>
      <c r="G1331" s="32">
        <f>IF(C1331&lt;&gt;"Venta","",D1331*IFERROR(INDEX(Productos!$E$2:$E$501,MATCH(B1331,Productos!$A$2:$A$501,0)),0))</f>
        <v/>
      </c>
      <c r="H1331" s="33">
        <f>IF(A1331="","",MONTH(A1331))</f>
        <v/>
      </c>
      <c r="I1331" s="33">
        <f>IF(A1331="","",YEAR(A1331))</f>
        <v/>
      </c>
    </row>
    <row r="1332" ht="15" customHeight="1" s="21">
      <c r="A1332" s="34" t="n"/>
      <c r="B1332" s="30" t="n"/>
      <c r="C1332" s="30" t="n"/>
      <c r="D1332" s="30" t="n"/>
      <c r="E1332" s="33">
        <f>IF(B1332="","",IFERROR(INDEX(Productos!$B$2:$B$501,MATCH(B1332,Productos!$A$2:$A$501,0)),"¿Código?"))</f>
        <v/>
      </c>
      <c r="F1332" s="32">
        <f>IF(C1332&lt;&gt;"Venta","",D1332*IFERROR(INDEX(Productos!$D$2:$D$501,MATCH(B1332,Productos!$A$2:$A$501,0)),0))</f>
        <v/>
      </c>
      <c r="G1332" s="32">
        <f>IF(C1332&lt;&gt;"Venta","",D1332*IFERROR(INDEX(Productos!$E$2:$E$501,MATCH(B1332,Productos!$A$2:$A$501,0)),0))</f>
        <v/>
      </c>
      <c r="H1332" s="33">
        <f>IF(A1332="","",MONTH(A1332))</f>
        <v/>
      </c>
      <c r="I1332" s="33">
        <f>IF(A1332="","",YEAR(A1332))</f>
        <v/>
      </c>
    </row>
    <row r="1333" ht="15" customHeight="1" s="21">
      <c r="A1333" s="34" t="n"/>
      <c r="B1333" s="30" t="n"/>
      <c r="C1333" s="30" t="n"/>
      <c r="D1333" s="30" t="n"/>
      <c r="E1333" s="33">
        <f>IF(B1333="","",IFERROR(INDEX(Productos!$B$2:$B$501,MATCH(B1333,Productos!$A$2:$A$501,0)),"¿Código?"))</f>
        <v/>
      </c>
      <c r="F1333" s="32">
        <f>IF(C1333&lt;&gt;"Venta","",D1333*IFERROR(INDEX(Productos!$D$2:$D$501,MATCH(B1333,Productos!$A$2:$A$501,0)),0))</f>
        <v/>
      </c>
      <c r="G1333" s="32">
        <f>IF(C1333&lt;&gt;"Venta","",D1333*IFERROR(INDEX(Productos!$E$2:$E$501,MATCH(B1333,Productos!$A$2:$A$501,0)),0))</f>
        <v/>
      </c>
      <c r="H1333" s="33">
        <f>IF(A1333="","",MONTH(A1333))</f>
        <v/>
      </c>
      <c r="I1333" s="33">
        <f>IF(A1333="","",YEAR(A1333))</f>
        <v/>
      </c>
    </row>
    <row r="1334" ht="15" customHeight="1" s="21">
      <c r="A1334" s="34" t="n"/>
      <c r="B1334" s="30" t="n"/>
      <c r="C1334" s="30" t="n"/>
      <c r="D1334" s="30" t="n"/>
      <c r="E1334" s="33">
        <f>IF(B1334="","",IFERROR(INDEX(Productos!$B$2:$B$501,MATCH(B1334,Productos!$A$2:$A$501,0)),"¿Código?"))</f>
        <v/>
      </c>
      <c r="F1334" s="32">
        <f>IF(C1334&lt;&gt;"Venta","",D1334*IFERROR(INDEX(Productos!$D$2:$D$501,MATCH(B1334,Productos!$A$2:$A$501,0)),0))</f>
        <v/>
      </c>
      <c r="G1334" s="32">
        <f>IF(C1334&lt;&gt;"Venta","",D1334*IFERROR(INDEX(Productos!$E$2:$E$501,MATCH(B1334,Productos!$A$2:$A$501,0)),0))</f>
        <v/>
      </c>
      <c r="H1334" s="33">
        <f>IF(A1334="","",MONTH(A1334))</f>
        <v/>
      </c>
      <c r="I1334" s="33">
        <f>IF(A1334="","",YEAR(A1334))</f>
        <v/>
      </c>
    </row>
    <row r="1335" ht="15" customHeight="1" s="21">
      <c r="A1335" s="34" t="n"/>
      <c r="B1335" s="30" t="n"/>
      <c r="C1335" s="30" t="n"/>
      <c r="D1335" s="30" t="n"/>
      <c r="E1335" s="33">
        <f>IF(B1335="","",IFERROR(INDEX(Productos!$B$2:$B$501,MATCH(B1335,Productos!$A$2:$A$501,0)),"¿Código?"))</f>
        <v/>
      </c>
      <c r="F1335" s="32">
        <f>IF(C1335&lt;&gt;"Venta","",D1335*IFERROR(INDEX(Productos!$D$2:$D$501,MATCH(B1335,Productos!$A$2:$A$501,0)),0))</f>
        <v/>
      </c>
      <c r="G1335" s="32">
        <f>IF(C1335&lt;&gt;"Venta","",D1335*IFERROR(INDEX(Productos!$E$2:$E$501,MATCH(B1335,Productos!$A$2:$A$501,0)),0))</f>
        <v/>
      </c>
      <c r="H1335" s="33">
        <f>IF(A1335="","",MONTH(A1335))</f>
        <v/>
      </c>
      <c r="I1335" s="33">
        <f>IF(A1335="","",YEAR(A1335))</f>
        <v/>
      </c>
    </row>
    <row r="1336" ht="15" customHeight="1" s="21">
      <c r="A1336" s="34" t="n"/>
      <c r="B1336" s="30" t="n"/>
      <c r="C1336" s="30" t="n"/>
      <c r="D1336" s="30" t="n"/>
      <c r="E1336" s="33">
        <f>IF(B1336="","",IFERROR(INDEX(Productos!$B$2:$B$501,MATCH(B1336,Productos!$A$2:$A$501,0)),"¿Código?"))</f>
        <v/>
      </c>
      <c r="F1336" s="32">
        <f>IF(C1336&lt;&gt;"Venta","",D1336*IFERROR(INDEX(Productos!$D$2:$D$501,MATCH(B1336,Productos!$A$2:$A$501,0)),0))</f>
        <v/>
      </c>
      <c r="G1336" s="32">
        <f>IF(C1336&lt;&gt;"Venta","",D1336*IFERROR(INDEX(Productos!$E$2:$E$501,MATCH(B1336,Productos!$A$2:$A$501,0)),0))</f>
        <v/>
      </c>
      <c r="H1336" s="33">
        <f>IF(A1336="","",MONTH(A1336))</f>
        <v/>
      </c>
      <c r="I1336" s="33">
        <f>IF(A1336="","",YEAR(A1336))</f>
        <v/>
      </c>
    </row>
    <row r="1337" ht="15" customHeight="1" s="21">
      <c r="A1337" s="34" t="n"/>
      <c r="B1337" s="30" t="n"/>
      <c r="C1337" s="30" t="n"/>
      <c r="D1337" s="30" t="n"/>
      <c r="E1337" s="33">
        <f>IF(B1337="","",IFERROR(INDEX(Productos!$B$2:$B$501,MATCH(B1337,Productos!$A$2:$A$501,0)),"¿Código?"))</f>
        <v/>
      </c>
      <c r="F1337" s="32">
        <f>IF(C1337&lt;&gt;"Venta","",D1337*IFERROR(INDEX(Productos!$D$2:$D$501,MATCH(B1337,Productos!$A$2:$A$501,0)),0))</f>
        <v/>
      </c>
      <c r="G1337" s="32">
        <f>IF(C1337&lt;&gt;"Venta","",D1337*IFERROR(INDEX(Productos!$E$2:$E$501,MATCH(B1337,Productos!$A$2:$A$501,0)),0))</f>
        <v/>
      </c>
      <c r="H1337" s="33">
        <f>IF(A1337="","",MONTH(A1337))</f>
        <v/>
      </c>
      <c r="I1337" s="33">
        <f>IF(A1337="","",YEAR(A1337))</f>
        <v/>
      </c>
    </row>
    <row r="1338" ht="15" customHeight="1" s="21">
      <c r="A1338" s="34" t="n"/>
      <c r="B1338" s="30" t="n"/>
      <c r="C1338" s="30" t="n"/>
      <c r="D1338" s="30" t="n"/>
      <c r="E1338" s="33">
        <f>IF(B1338="","",IFERROR(INDEX(Productos!$B$2:$B$501,MATCH(B1338,Productos!$A$2:$A$501,0)),"¿Código?"))</f>
        <v/>
      </c>
      <c r="F1338" s="32">
        <f>IF(C1338&lt;&gt;"Venta","",D1338*IFERROR(INDEX(Productos!$D$2:$D$501,MATCH(B1338,Productos!$A$2:$A$501,0)),0))</f>
        <v/>
      </c>
      <c r="G1338" s="32">
        <f>IF(C1338&lt;&gt;"Venta","",D1338*IFERROR(INDEX(Productos!$E$2:$E$501,MATCH(B1338,Productos!$A$2:$A$501,0)),0))</f>
        <v/>
      </c>
      <c r="H1338" s="33">
        <f>IF(A1338="","",MONTH(A1338))</f>
        <v/>
      </c>
      <c r="I1338" s="33">
        <f>IF(A1338="","",YEAR(A1338))</f>
        <v/>
      </c>
    </row>
    <row r="1339" ht="15" customHeight="1" s="21">
      <c r="A1339" s="34" t="n"/>
      <c r="B1339" s="30" t="n"/>
      <c r="C1339" s="30" t="n"/>
      <c r="D1339" s="30" t="n"/>
      <c r="E1339" s="33">
        <f>IF(B1339="","",IFERROR(INDEX(Productos!$B$2:$B$501,MATCH(B1339,Productos!$A$2:$A$501,0)),"¿Código?"))</f>
        <v/>
      </c>
      <c r="F1339" s="32">
        <f>IF(C1339&lt;&gt;"Venta","",D1339*IFERROR(INDEX(Productos!$D$2:$D$501,MATCH(B1339,Productos!$A$2:$A$501,0)),0))</f>
        <v/>
      </c>
      <c r="G1339" s="32">
        <f>IF(C1339&lt;&gt;"Venta","",D1339*IFERROR(INDEX(Productos!$E$2:$E$501,MATCH(B1339,Productos!$A$2:$A$501,0)),0))</f>
        <v/>
      </c>
      <c r="H1339" s="33">
        <f>IF(A1339="","",MONTH(A1339))</f>
        <v/>
      </c>
      <c r="I1339" s="33">
        <f>IF(A1339="","",YEAR(A1339))</f>
        <v/>
      </c>
    </row>
    <row r="1340" ht="15" customHeight="1" s="21">
      <c r="A1340" s="34" t="n"/>
      <c r="B1340" s="30" t="n"/>
      <c r="C1340" s="30" t="n"/>
      <c r="D1340" s="30" t="n"/>
      <c r="E1340" s="33">
        <f>IF(B1340="","",IFERROR(INDEX(Productos!$B$2:$B$501,MATCH(B1340,Productos!$A$2:$A$501,0)),"¿Código?"))</f>
        <v/>
      </c>
      <c r="F1340" s="32">
        <f>IF(C1340&lt;&gt;"Venta","",D1340*IFERROR(INDEX(Productos!$D$2:$D$501,MATCH(B1340,Productos!$A$2:$A$501,0)),0))</f>
        <v/>
      </c>
      <c r="G1340" s="32">
        <f>IF(C1340&lt;&gt;"Venta","",D1340*IFERROR(INDEX(Productos!$E$2:$E$501,MATCH(B1340,Productos!$A$2:$A$501,0)),0))</f>
        <v/>
      </c>
      <c r="H1340" s="33">
        <f>IF(A1340="","",MONTH(A1340))</f>
        <v/>
      </c>
      <c r="I1340" s="33">
        <f>IF(A1340="","",YEAR(A1340))</f>
        <v/>
      </c>
    </row>
    <row r="1341" ht="15" customHeight="1" s="21">
      <c r="A1341" s="34" t="n"/>
      <c r="B1341" s="30" t="n"/>
      <c r="C1341" s="30" t="n"/>
      <c r="D1341" s="30" t="n"/>
      <c r="E1341" s="33">
        <f>IF(B1341="","",IFERROR(INDEX(Productos!$B$2:$B$501,MATCH(B1341,Productos!$A$2:$A$501,0)),"¿Código?"))</f>
        <v/>
      </c>
      <c r="F1341" s="32">
        <f>IF(C1341&lt;&gt;"Venta","",D1341*IFERROR(INDEX(Productos!$D$2:$D$501,MATCH(B1341,Productos!$A$2:$A$501,0)),0))</f>
        <v/>
      </c>
      <c r="G1341" s="32">
        <f>IF(C1341&lt;&gt;"Venta","",D1341*IFERROR(INDEX(Productos!$E$2:$E$501,MATCH(B1341,Productos!$A$2:$A$501,0)),0))</f>
        <v/>
      </c>
      <c r="H1341" s="33">
        <f>IF(A1341="","",MONTH(A1341))</f>
        <v/>
      </c>
      <c r="I1341" s="33">
        <f>IF(A1341="","",YEAR(A1341))</f>
        <v/>
      </c>
    </row>
    <row r="1342" ht="15" customHeight="1" s="21">
      <c r="A1342" s="34" t="n"/>
      <c r="B1342" s="30" t="n"/>
      <c r="C1342" s="30" t="n"/>
      <c r="D1342" s="30" t="n"/>
      <c r="E1342" s="33">
        <f>IF(B1342="","",IFERROR(INDEX(Productos!$B$2:$B$501,MATCH(B1342,Productos!$A$2:$A$501,0)),"¿Código?"))</f>
        <v/>
      </c>
      <c r="F1342" s="32">
        <f>IF(C1342&lt;&gt;"Venta","",D1342*IFERROR(INDEX(Productos!$D$2:$D$501,MATCH(B1342,Productos!$A$2:$A$501,0)),0))</f>
        <v/>
      </c>
      <c r="G1342" s="32">
        <f>IF(C1342&lt;&gt;"Venta","",D1342*IFERROR(INDEX(Productos!$E$2:$E$501,MATCH(B1342,Productos!$A$2:$A$501,0)),0))</f>
        <v/>
      </c>
      <c r="H1342" s="33">
        <f>IF(A1342="","",MONTH(A1342))</f>
        <v/>
      </c>
      <c r="I1342" s="33">
        <f>IF(A1342="","",YEAR(A1342))</f>
        <v/>
      </c>
    </row>
    <row r="1343" ht="15" customHeight="1" s="21">
      <c r="A1343" s="34" t="n"/>
      <c r="B1343" s="30" t="n"/>
      <c r="C1343" s="30" t="n"/>
      <c r="D1343" s="30" t="n"/>
      <c r="E1343" s="33">
        <f>IF(B1343="","",IFERROR(INDEX(Productos!$B$2:$B$501,MATCH(B1343,Productos!$A$2:$A$501,0)),"¿Código?"))</f>
        <v/>
      </c>
      <c r="F1343" s="32">
        <f>IF(C1343&lt;&gt;"Venta","",D1343*IFERROR(INDEX(Productos!$D$2:$D$501,MATCH(B1343,Productos!$A$2:$A$501,0)),0))</f>
        <v/>
      </c>
      <c r="G1343" s="32">
        <f>IF(C1343&lt;&gt;"Venta","",D1343*IFERROR(INDEX(Productos!$E$2:$E$501,MATCH(B1343,Productos!$A$2:$A$501,0)),0))</f>
        <v/>
      </c>
      <c r="H1343" s="33">
        <f>IF(A1343="","",MONTH(A1343))</f>
        <v/>
      </c>
      <c r="I1343" s="33">
        <f>IF(A1343="","",YEAR(A1343))</f>
        <v/>
      </c>
    </row>
    <row r="1344" ht="15" customHeight="1" s="21">
      <c r="A1344" s="34" t="n"/>
      <c r="B1344" s="30" t="n"/>
      <c r="C1344" s="30" t="n"/>
      <c r="D1344" s="30" t="n"/>
      <c r="E1344" s="33">
        <f>IF(B1344="","",IFERROR(INDEX(Productos!$B$2:$B$501,MATCH(B1344,Productos!$A$2:$A$501,0)),"¿Código?"))</f>
        <v/>
      </c>
      <c r="F1344" s="32">
        <f>IF(C1344&lt;&gt;"Venta","",D1344*IFERROR(INDEX(Productos!$D$2:$D$501,MATCH(B1344,Productos!$A$2:$A$501,0)),0))</f>
        <v/>
      </c>
      <c r="G1344" s="32">
        <f>IF(C1344&lt;&gt;"Venta","",D1344*IFERROR(INDEX(Productos!$E$2:$E$501,MATCH(B1344,Productos!$A$2:$A$501,0)),0))</f>
        <v/>
      </c>
      <c r="H1344" s="33">
        <f>IF(A1344="","",MONTH(A1344))</f>
        <v/>
      </c>
      <c r="I1344" s="33">
        <f>IF(A1344="","",YEAR(A1344))</f>
        <v/>
      </c>
    </row>
    <row r="1345" ht="15" customHeight="1" s="21">
      <c r="A1345" s="34" t="n"/>
      <c r="B1345" s="30" t="n"/>
      <c r="C1345" s="30" t="n"/>
      <c r="D1345" s="30" t="n"/>
      <c r="E1345" s="33">
        <f>IF(B1345="","",IFERROR(INDEX(Productos!$B$2:$B$501,MATCH(B1345,Productos!$A$2:$A$501,0)),"¿Código?"))</f>
        <v/>
      </c>
      <c r="F1345" s="32">
        <f>IF(C1345&lt;&gt;"Venta","",D1345*IFERROR(INDEX(Productos!$D$2:$D$501,MATCH(B1345,Productos!$A$2:$A$501,0)),0))</f>
        <v/>
      </c>
      <c r="G1345" s="32">
        <f>IF(C1345&lt;&gt;"Venta","",D1345*IFERROR(INDEX(Productos!$E$2:$E$501,MATCH(B1345,Productos!$A$2:$A$501,0)),0))</f>
        <v/>
      </c>
      <c r="H1345" s="33">
        <f>IF(A1345="","",MONTH(A1345))</f>
        <v/>
      </c>
      <c r="I1345" s="33">
        <f>IF(A1345="","",YEAR(A1345))</f>
        <v/>
      </c>
    </row>
    <row r="1346" ht="15" customHeight="1" s="21">
      <c r="A1346" s="34" t="n"/>
      <c r="B1346" s="30" t="n"/>
      <c r="C1346" s="30" t="n"/>
      <c r="D1346" s="30" t="n"/>
      <c r="E1346" s="33">
        <f>IF(B1346="","",IFERROR(INDEX(Productos!$B$2:$B$501,MATCH(B1346,Productos!$A$2:$A$501,0)),"¿Código?"))</f>
        <v/>
      </c>
      <c r="F1346" s="32">
        <f>IF(C1346&lt;&gt;"Venta","",D1346*IFERROR(INDEX(Productos!$D$2:$D$501,MATCH(B1346,Productos!$A$2:$A$501,0)),0))</f>
        <v/>
      </c>
      <c r="G1346" s="32">
        <f>IF(C1346&lt;&gt;"Venta","",D1346*IFERROR(INDEX(Productos!$E$2:$E$501,MATCH(B1346,Productos!$A$2:$A$501,0)),0))</f>
        <v/>
      </c>
      <c r="H1346" s="33">
        <f>IF(A1346="","",MONTH(A1346))</f>
        <v/>
      </c>
      <c r="I1346" s="33">
        <f>IF(A1346="","",YEAR(A1346))</f>
        <v/>
      </c>
    </row>
    <row r="1347" ht="15" customHeight="1" s="21">
      <c r="A1347" s="34" t="n"/>
      <c r="B1347" s="30" t="n"/>
      <c r="C1347" s="30" t="n"/>
      <c r="D1347" s="30" t="n"/>
      <c r="E1347" s="33">
        <f>IF(B1347="","",IFERROR(INDEX(Productos!$B$2:$B$501,MATCH(B1347,Productos!$A$2:$A$501,0)),"¿Código?"))</f>
        <v/>
      </c>
      <c r="F1347" s="32">
        <f>IF(C1347&lt;&gt;"Venta","",D1347*IFERROR(INDEX(Productos!$D$2:$D$501,MATCH(B1347,Productos!$A$2:$A$501,0)),0))</f>
        <v/>
      </c>
      <c r="G1347" s="32">
        <f>IF(C1347&lt;&gt;"Venta","",D1347*IFERROR(INDEX(Productos!$E$2:$E$501,MATCH(B1347,Productos!$A$2:$A$501,0)),0))</f>
        <v/>
      </c>
      <c r="H1347" s="33">
        <f>IF(A1347="","",MONTH(A1347))</f>
        <v/>
      </c>
      <c r="I1347" s="33">
        <f>IF(A1347="","",YEAR(A1347))</f>
        <v/>
      </c>
    </row>
    <row r="1348" ht="15" customHeight="1" s="21">
      <c r="A1348" s="34" t="n"/>
      <c r="B1348" s="30" t="n"/>
      <c r="C1348" s="30" t="n"/>
      <c r="D1348" s="30" t="n"/>
      <c r="E1348" s="33">
        <f>IF(B1348="","",IFERROR(INDEX(Productos!$B$2:$B$501,MATCH(B1348,Productos!$A$2:$A$501,0)),"¿Código?"))</f>
        <v/>
      </c>
      <c r="F1348" s="32">
        <f>IF(C1348&lt;&gt;"Venta","",D1348*IFERROR(INDEX(Productos!$D$2:$D$501,MATCH(B1348,Productos!$A$2:$A$501,0)),0))</f>
        <v/>
      </c>
      <c r="G1348" s="32">
        <f>IF(C1348&lt;&gt;"Venta","",D1348*IFERROR(INDEX(Productos!$E$2:$E$501,MATCH(B1348,Productos!$A$2:$A$501,0)),0))</f>
        <v/>
      </c>
      <c r="H1348" s="33">
        <f>IF(A1348="","",MONTH(A1348))</f>
        <v/>
      </c>
      <c r="I1348" s="33">
        <f>IF(A1348="","",YEAR(A1348))</f>
        <v/>
      </c>
    </row>
    <row r="1349" ht="15" customHeight="1" s="21">
      <c r="A1349" s="34" t="n"/>
      <c r="B1349" s="30" t="n"/>
      <c r="C1349" s="30" t="n"/>
      <c r="D1349" s="30" t="n"/>
      <c r="E1349" s="33">
        <f>IF(B1349="","",IFERROR(INDEX(Productos!$B$2:$B$501,MATCH(B1349,Productos!$A$2:$A$501,0)),"¿Código?"))</f>
        <v/>
      </c>
      <c r="F1349" s="32">
        <f>IF(C1349&lt;&gt;"Venta","",D1349*IFERROR(INDEX(Productos!$D$2:$D$501,MATCH(B1349,Productos!$A$2:$A$501,0)),0))</f>
        <v/>
      </c>
      <c r="G1349" s="32">
        <f>IF(C1349&lt;&gt;"Venta","",D1349*IFERROR(INDEX(Productos!$E$2:$E$501,MATCH(B1349,Productos!$A$2:$A$501,0)),0))</f>
        <v/>
      </c>
      <c r="H1349" s="33">
        <f>IF(A1349="","",MONTH(A1349))</f>
        <v/>
      </c>
      <c r="I1349" s="33">
        <f>IF(A1349="","",YEAR(A1349))</f>
        <v/>
      </c>
    </row>
    <row r="1350" ht="15" customHeight="1" s="21">
      <c r="A1350" s="34" t="n"/>
      <c r="B1350" s="30" t="n"/>
      <c r="C1350" s="30" t="n"/>
      <c r="D1350" s="30" t="n"/>
      <c r="E1350" s="33">
        <f>IF(B1350="","",IFERROR(INDEX(Productos!$B$2:$B$501,MATCH(B1350,Productos!$A$2:$A$501,0)),"¿Código?"))</f>
        <v/>
      </c>
      <c r="F1350" s="32">
        <f>IF(C1350&lt;&gt;"Venta","",D1350*IFERROR(INDEX(Productos!$D$2:$D$501,MATCH(B1350,Productos!$A$2:$A$501,0)),0))</f>
        <v/>
      </c>
      <c r="G1350" s="32">
        <f>IF(C1350&lt;&gt;"Venta","",D1350*IFERROR(INDEX(Productos!$E$2:$E$501,MATCH(B1350,Productos!$A$2:$A$501,0)),0))</f>
        <v/>
      </c>
      <c r="H1350" s="33">
        <f>IF(A1350="","",MONTH(A1350))</f>
        <v/>
      </c>
      <c r="I1350" s="33">
        <f>IF(A1350="","",YEAR(A1350))</f>
        <v/>
      </c>
    </row>
    <row r="1351" ht="15" customHeight="1" s="21">
      <c r="A1351" s="34" t="n"/>
      <c r="B1351" s="30" t="n"/>
      <c r="C1351" s="30" t="n"/>
      <c r="D1351" s="30" t="n"/>
      <c r="E1351" s="33">
        <f>IF(B1351="","",IFERROR(INDEX(Productos!$B$2:$B$501,MATCH(B1351,Productos!$A$2:$A$501,0)),"¿Código?"))</f>
        <v/>
      </c>
      <c r="F1351" s="32">
        <f>IF(C1351&lt;&gt;"Venta","",D1351*IFERROR(INDEX(Productos!$D$2:$D$501,MATCH(B1351,Productos!$A$2:$A$501,0)),0))</f>
        <v/>
      </c>
      <c r="G1351" s="32">
        <f>IF(C1351&lt;&gt;"Venta","",D1351*IFERROR(INDEX(Productos!$E$2:$E$501,MATCH(B1351,Productos!$A$2:$A$501,0)),0))</f>
        <v/>
      </c>
      <c r="H1351" s="33">
        <f>IF(A1351="","",MONTH(A1351))</f>
        <v/>
      </c>
      <c r="I1351" s="33">
        <f>IF(A1351="","",YEAR(A1351))</f>
        <v/>
      </c>
    </row>
    <row r="1352" ht="15" customHeight="1" s="21">
      <c r="A1352" s="34" t="n"/>
      <c r="B1352" s="30" t="n"/>
      <c r="C1352" s="30" t="n"/>
      <c r="D1352" s="30" t="n"/>
      <c r="E1352" s="33">
        <f>IF(B1352="","",IFERROR(INDEX(Productos!$B$2:$B$501,MATCH(B1352,Productos!$A$2:$A$501,0)),"¿Código?"))</f>
        <v/>
      </c>
      <c r="F1352" s="32">
        <f>IF(C1352&lt;&gt;"Venta","",D1352*IFERROR(INDEX(Productos!$D$2:$D$501,MATCH(B1352,Productos!$A$2:$A$501,0)),0))</f>
        <v/>
      </c>
      <c r="G1352" s="32">
        <f>IF(C1352&lt;&gt;"Venta","",D1352*IFERROR(INDEX(Productos!$E$2:$E$501,MATCH(B1352,Productos!$A$2:$A$501,0)),0))</f>
        <v/>
      </c>
      <c r="H1352" s="33">
        <f>IF(A1352="","",MONTH(A1352))</f>
        <v/>
      </c>
      <c r="I1352" s="33">
        <f>IF(A1352="","",YEAR(A1352))</f>
        <v/>
      </c>
    </row>
    <row r="1353" ht="15" customHeight="1" s="21">
      <c r="A1353" s="34" t="n"/>
      <c r="B1353" s="30" t="n"/>
      <c r="C1353" s="30" t="n"/>
      <c r="D1353" s="30" t="n"/>
      <c r="E1353" s="33">
        <f>IF(B1353="","",IFERROR(INDEX(Productos!$B$2:$B$501,MATCH(B1353,Productos!$A$2:$A$501,0)),"¿Código?"))</f>
        <v/>
      </c>
      <c r="F1353" s="32">
        <f>IF(C1353&lt;&gt;"Venta","",D1353*IFERROR(INDEX(Productos!$D$2:$D$501,MATCH(B1353,Productos!$A$2:$A$501,0)),0))</f>
        <v/>
      </c>
      <c r="G1353" s="32">
        <f>IF(C1353&lt;&gt;"Venta","",D1353*IFERROR(INDEX(Productos!$E$2:$E$501,MATCH(B1353,Productos!$A$2:$A$501,0)),0))</f>
        <v/>
      </c>
      <c r="H1353" s="33">
        <f>IF(A1353="","",MONTH(A1353))</f>
        <v/>
      </c>
      <c r="I1353" s="33">
        <f>IF(A1353="","",YEAR(A1353))</f>
        <v/>
      </c>
    </row>
    <row r="1354" ht="15" customHeight="1" s="21">
      <c r="A1354" s="34" t="n"/>
      <c r="B1354" s="30" t="n"/>
      <c r="C1354" s="30" t="n"/>
      <c r="D1354" s="30" t="n"/>
      <c r="E1354" s="33">
        <f>IF(B1354="","",IFERROR(INDEX(Productos!$B$2:$B$501,MATCH(B1354,Productos!$A$2:$A$501,0)),"¿Código?"))</f>
        <v/>
      </c>
      <c r="F1354" s="32">
        <f>IF(C1354&lt;&gt;"Venta","",D1354*IFERROR(INDEX(Productos!$D$2:$D$501,MATCH(B1354,Productos!$A$2:$A$501,0)),0))</f>
        <v/>
      </c>
      <c r="G1354" s="32">
        <f>IF(C1354&lt;&gt;"Venta","",D1354*IFERROR(INDEX(Productos!$E$2:$E$501,MATCH(B1354,Productos!$A$2:$A$501,0)),0))</f>
        <v/>
      </c>
      <c r="H1354" s="33">
        <f>IF(A1354="","",MONTH(A1354))</f>
        <v/>
      </c>
      <c r="I1354" s="33">
        <f>IF(A1354="","",YEAR(A1354))</f>
        <v/>
      </c>
    </row>
    <row r="1355" ht="15" customHeight="1" s="21">
      <c r="A1355" s="34" t="n"/>
      <c r="B1355" s="30" t="n"/>
      <c r="C1355" s="30" t="n"/>
      <c r="D1355" s="30" t="n"/>
      <c r="E1355" s="33">
        <f>IF(B1355="","",IFERROR(INDEX(Productos!$B$2:$B$501,MATCH(B1355,Productos!$A$2:$A$501,0)),"¿Código?"))</f>
        <v/>
      </c>
      <c r="F1355" s="32">
        <f>IF(C1355&lt;&gt;"Venta","",D1355*IFERROR(INDEX(Productos!$D$2:$D$501,MATCH(B1355,Productos!$A$2:$A$501,0)),0))</f>
        <v/>
      </c>
      <c r="G1355" s="32">
        <f>IF(C1355&lt;&gt;"Venta","",D1355*IFERROR(INDEX(Productos!$E$2:$E$501,MATCH(B1355,Productos!$A$2:$A$501,0)),0))</f>
        <v/>
      </c>
      <c r="H1355" s="33">
        <f>IF(A1355="","",MONTH(A1355))</f>
        <v/>
      </c>
      <c r="I1355" s="33">
        <f>IF(A1355="","",YEAR(A1355))</f>
        <v/>
      </c>
    </row>
    <row r="1356" ht="15" customHeight="1" s="21">
      <c r="A1356" s="34" t="n"/>
      <c r="B1356" s="30" t="n"/>
      <c r="C1356" s="30" t="n"/>
      <c r="D1356" s="30" t="n"/>
      <c r="E1356" s="33">
        <f>IF(B1356="","",IFERROR(INDEX(Productos!$B$2:$B$501,MATCH(B1356,Productos!$A$2:$A$501,0)),"¿Código?"))</f>
        <v/>
      </c>
      <c r="F1356" s="32">
        <f>IF(C1356&lt;&gt;"Venta","",D1356*IFERROR(INDEX(Productos!$D$2:$D$501,MATCH(B1356,Productos!$A$2:$A$501,0)),0))</f>
        <v/>
      </c>
      <c r="G1356" s="32">
        <f>IF(C1356&lt;&gt;"Venta","",D1356*IFERROR(INDEX(Productos!$E$2:$E$501,MATCH(B1356,Productos!$A$2:$A$501,0)),0))</f>
        <v/>
      </c>
      <c r="H1356" s="33">
        <f>IF(A1356="","",MONTH(A1356))</f>
        <v/>
      </c>
      <c r="I1356" s="33">
        <f>IF(A1356="","",YEAR(A1356))</f>
        <v/>
      </c>
    </row>
    <row r="1357" ht="15" customHeight="1" s="21">
      <c r="A1357" s="34" t="n"/>
      <c r="B1357" s="30" t="n"/>
      <c r="C1357" s="30" t="n"/>
      <c r="D1357" s="30" t="n"/>
      <c r="E1357" s="33">
        <f>IF(B1357="","",IFERROR(INDEX(Productos!$B$2:$B$501,MATCH(B1357,Productos!$A$2:$A$501,0)),"¿Código?"))</f>
        <v/>
      </c>
      <c r="F1357" s="32">
        <f>IF(C1357&lt;&gt;"Venta","",D1357*IFERROR(INDEX(Productos!$D$2:$D$501,MATCH(B1357,Productos!$A$2:$A$501,0)),0))</f>
        <v/>
      </c>
      <c r="G1357" s="32">
        <f>IF(C1357&lt;&gt;"Venta","",D1357*IFERROR(INDEX(Productos!$E$2:$E$501,MATCH(B1357,Productos!$A$2:$A$501,0)),0))</f>
        <v/>
      </c>
      <c r="H1357" s="33">
        <f>IF(A1357="","",MONTH(A1357))</f>
        <v/>
      </c>
      <c r="I1357" s="33">
        <f>IF(A1357="","",YEAR(A1357))</f>
        <v/>
      </c>
    </row>
    <row r="1358" ht="15" customHeight="1" s="21">
      <c r="A1358" s="34" t="n"/>
      <c r="B1358" s="30" t="n"/>
      <c r="C1358" s="30" t="n"/>
      <c r="D1358" s="30" t="n"/>
      <c r="E1358" s="33">
        <f>IF(B1358="","",IFERROR(INDEX(Productos!$B$2:$B$501,MATCH(B1358,Productos!$A$2:$A$501,0)),"¿Código?"))</f>
        <v/>
      </c>
      <c r="F1358" s="32">
        <f>IF(C1358&lt;&gt;"Venta","",D1358*IFERROR(INDEX(Productos!$D$2:$D$501,MATCH(B1358,Productos!$A$2:$A$501,0)),0))</f>
        <v/>
      </c>
      <c r="G1358" s="32">
        <f>IF(C1358&lt;&gt;"Venta","",D1358*IFERROR(INDEX(Productos!$E$2:$E$501,MATCH(B1358,Productos!$A$2:$A$501,0)),0))</f>
        <v/>
      </c>
      <c r="H1358" s="33">
        <f>IF(A1358="","",MONTH(A1358))</f>
        <v/>
      </c>
      <c r="I1358" s="33">
        <f>IF(A1358="","",YEAR(A1358))</f>
        <v/>
      </c>
    </row>
    <row r="1359" ht="15" customHeight="1" s="21">
      <c r="A1359" s="34" t="n"/>
      <c r="B1359" s="30" t="n"/>
      <c r="C1359" s="30" t="n"/>
      <c r="D1359" s="30" t="n"/>
      <c r="E1359" s="33">
        <f>IF(B1359="","",IFERROR(INDEX(Productos!$B$2:$B$501,MATCH(B1359,Productos!$A$2:$A$501,0)),"¿Código?"))</f>
        <v/>
      </c>
      <c r="F1359" s="32">
        <f>IF(C1359&lt;&gt;"Venta","",D1359*IFERROR(INDEX(Productos!$D$2:$D$501,MATCH(B1359,Productos!$A$2:$A$501,0)),0))</f>
        <v/>
      </c>
      <c r="G1359" s="32">
        <f>IF(C1359&lt;&gt;"Venta","",D1359*IFERROR(INDEX(Productos!$E$2:$E$501,MATCH(B1359,Productos!$A$2:$A$501,0)),0))</f>
        <v/>
      </c>
      <c r="H1359" s="33">
        <f>IF(A1359="","",MONTH(A1359))</f>
        <v/>
      </c>
      <c r="I1359" s="33">
        <f>IF(A1359="","",YEAR(A1359))</f>
        <v/>
      </c>
    </row>
    <row r="1360" ht="15" customHeight="1" s="21">
      <c r="A1360" s="34" t="n"/>
      <c r="B1360" s="30" t="n"/>
      <c r="C1360" s="30" t="n"/>
      <c r="D1360" s="30" t="n"/>
      <c r="E1360" s="33">
        <f>IF(B1360="","",IFERROR(INDEX(Productos!$B$2:$B$501,MATCH(B1360,Productos!$A$2:$A$501,0)),"¿Código?"))</f>
        <v/>
      </c>
      <c r="F1360" s="32">
        <f>IF(C1360&lt;&gt;"Venta","",D1360*IFERROR(INDEX(Productos!$D$2:$D$501,MATCH(B1360,Productos!$A$2:$A$501,0)),0))</f>
        <v/>
      </c>
      <c r="G1360" s="32">
        <f>IF(C1360&lt;&gt;"Venta","",D1360*IFERROR(INDEX(Productos!$E$2:$E$501,MATCH(B1360,Productos!$A$2:$A$501,0)),0))</f>
        <v/>
      </c>
      <c r="H1360" s="33">
        <f>IF(A1360="","",MONTH(A1360))</f>
        <v/>
      </c>
      <c r="I1360" s="33">
        <f>IF(A1360="","",YEAR(A1360))</f>
        <v/>
      </c>
    </row>
    <row r="1361" ht="15" customHeight="1" s="21">
      <c r="A1361" s="34" t="n"/>
      <c r="B1361" s="30" t="n"/>
      <c r="C1361" s="30" t="n"/>
      <c r="D1361" s="30" t="n"/>
      <c r="E1361" s="33">
        <f>IF(B1361="","",IFERROR(INDEX(Productos!$B$2:$B$501,MATCH(B1361,Productos!$A$2:$A$501,0)),"¿Código?"))</f>
        <v/>
      </c>
      <c r="F1361" s="32">
        <f>IF(C1361&lt;&gt;"Venta","",D1361*IFERROR(INDEX(Productos!$D$2:$D$501,MATCH(B1361,Productos!$A$2:$A$501,0)),0))</f>
        <v/>
      </c>
      <c r="G1361" s="32">
        <f>IF(C1361&lt;&gt;"Venta","",D1361*IFERROR(INDEX(Productos!$E$2:$E$501,MATCH(B1361,Productos!$A$2:$A$501,0)),0))</f>
        <v/>
      </c>
      <c r="H1361" s="33">
        <f>IF(A1361="","",MONTH(A1361))</f>
        <v/>
      </c>
      <c r="I1361" s="33">
        <f>IF(A1361="","",YEAR(A1361))</f>
        <v/>
      </c>
    </row>
    <row r="1362" ht="15" customHeight="1" s="21">
      <c r="A1362" s="34" t="n"/>
      <c r="B1362" s="30" t="n"/>
      <c r="C1362" s="30" t="n"/>
      <c r="D1362" s="30" t="n"/>
      <c r="E1362" s="33">
        <f>IF(B1362="","",IFERROR(INDEX(Productos!$B$2:$B$501,MATCH(B1362,Productos!$A$2:$A$501,0)),"¿Código?"))</f>
        <v/>
      </c>
      <c r="F1362" s="32">
        <f>IF(C1362&lt;&gt;"Venta","",D1362*IFERROR(INDEX(Productos!$D$2:$D$501,MATCH(B1362,Productos!$A$2:$A$501,0)),0))</f>
        <v/>
      </c>
      <c r="G1362" s="32">
        <f>IF(C1362&lt;&gt;"Venta","",D1362*IFERROR(INDEX(Productos!$E$2:$E$501,MATCH(B1362,Productos!$A$2:$A$501,0)),0))</f>
        <v/>
      </c>
      <c r="H1362" s="33">
        <f>IF(A1362="","",MONTH(A1362))</f>
        <v/>
      </c>
      <c r="I1362" s="33">
        <f>IF(A1362="","",YEAR(A1362))</f>
        <v/>
      </c>
    </row>
    <row r="1363" ht="15" customHeight="1" s="21">
      <c r="A1363" s="34" t="n"/>
      <c r="B1363" s="30" t="n"/>
      <c r="C1363" s="30" t="n"/>
      <c r="D1363" s="30" t="n"/>
      <c r="E1363" s="33">
        <f>IF(B1363="","",IFERROR(INDEX(Productos!$B$2:$B$501,MATCH(B1363,Productos!$A$2:$A$501,0)),"¿Código?"))</f>
        <v/>
      </c>
      <c r="F1363" s="32">
        <f>IF(C1363&lt;&gt;"Venta","",D1363*IFERROR(INDEX(Productos!$D$2:$D$501,MATCH(B1363,Productos!$A$2:$A$501,0)),0))</f>
        <v/>
      </c>
      <c r="G1363" s="32">
        <f>IF(C1363&lt;&gt;"Venta","",D1363*IFERROR(INDEX(Productos!$E$2:$E$501,MATCH(B1363,Productos!$A$2:$A$501,0)),0))</f>
        <v/>
      </c>
      <c r="H1363" s="33">
        <f>IF(A1363="","",MONTH(A1363))</f>
        <v/>
      </c>
      <c r="I1363" s="33">
        <f>IF(A1363="","",YEAR(A1363))</f>
        <v/>
      </c>
    </row>
    <row r="1364" ht="15" customHeight="1" s="21">
      <c r="A1364" s="34" t="n"/>
      <c r="B1364" s="30" t="n"/>
      <c r="C1364" s="30" t="n"/>
      <c r="D1364" s="30" t="n"/>
      <c r="E1364" s="33">
        <f>IF(B1364="","",IFERROR(INDEX(Productos!$B$2:$B$501,MATCH(B1364,Productos!$A$2:$A$501,0)),"¿Código?"))</f>
        <v/>
      </c>
      <c r="F1364" s="32">
        <f>IF(C1364&lt;&gt;"Venta","",D1364*IFERROR(INDEX(Productos!$D$2:$D$501,MATCH(B1364,Productos!$A$2:$A$501,0)),0))</f>
        <v/>
      </c>
      <c r="G1364" s="32">
        <f>IF(C1364&lt;&gt;"Venta","",D1364*IFERROR(INDEX(Productos!$E$2:$E$501,MATCH(B1364,Productos!$A$2:$A$501,0)),0))</f>
        <v/>
      </c>
      <c r="H1364" s="33">
        <f>IF(A1364="","",MONTH(A1364))</f>
        <v/>
      </c>
      <c r="I1364" s="33">
        <f>IF(A1364="","",YEAR(A1364))</f>
        <v/>
      </c>
    </row>
    <row r="1365" ht="15" customHeight="1" s="21">
      <c r="A1365" s="34" t="n"/>
      <c r="B1365" s="30" t="n"/>
      <c r="C1365" s="30" t="n"/>
      <c r="D1365" s="30" t="n"/>
      <c r="E1365" s="33">
        <f>IF(B1365="","",IFERROR(INDEX(Productos!$B$2:$B$501,MATCH(B1365,Productos!$A$2:$A$501,0)),"¿Código?"))</f>
        <v/>
      </c>
      <c r="F1365" s="32">
        <f>IF(C1365&lt;&gt;"Venta","",D1365*IFERROR(INDEX(Productos!$D$2:$D$501,MATCH(B1365,Productos!$A$2:$A$501,0)),0))</f>
        <v/>
      </c>
      <c r="G1365" s="32">
        <f>IF(C1365&lt;&gt;"Venta","",D1365*IFERROR(INDEX(Productos!$E$2:$E$501,MATCH(B1365,Productos!$A$2:$A$501,0)),0))</f>
        <v/>
      </c>
      <c r="H1365" s="33">
        <f>IF(A1365="","",MONTH(A1365))</f>
        <v/>
      </c>
      <c r="I1365" s="33">
        <f>IF(A1365="","",YEAR(A1365))</f>
        <v/>
      </c>
    </row>
    <row r="1366" ht="15" customHeight="1" s="21">
      <c r="A1366" s="34" t="n"/>
      <c r="B1366" s="30" t="n"/>
      <c r="C1366" s="30" t="n"/>
      <c r="D1366" s="30" t="n"/>
      <c r="E1366" s="33">
        <f>IF(B1366="","",IFERROR(INDEX(Productos!$B$2:$B$501,MATCH(B1366,Productos!$A$2:$A$501,0)),"¿Código?"))</f>
        <v/>
      </c>
      <c r="F1366" s="32">
        <f>IF(C1366&lt;&gt;"Venta","",D1366*IFERROR(INDEX(Productos!$D$2:$D$501,MATCH(B1366,Productos!$A$2:$A$501,0)),0))</f>
        <v/>
      </c>
      <c r="G1366" s="32">
        <f>IF(C1366&lt;&gt;"Venta","",D1366*IFERROR(INDEX(Productos!$E$2:$E$501,MATCH(B1366,Productos!$A$2:$A$501,0)),0))</f>
        <v/>
      </c>
      <c r="H1366" s="33">
        <f>IF(A1366="","",MONTH(A1366))</f>
        <v/>
      </c>
      <c r="I1366" s="33">
        <f>IF(A1366="","",YEAR(A1366))</f>
        <v/>
      </c>
    </row>
    <row r="1367" ht="15" customHeight="1" s="21">
      <c r="A1367" s="34" t="n"/>
      <c r="B1367" s="30" t="n"/>
      <c r="C1367" s="30" t="n"/>
      <c r="D1367" s="30" t="n"/>
      <c r="E1367" s="33">
        <f>IF(B1367="","",IFERROR(INDEX(Productos!$B$2:$B$501,MATCH(B1367,Productos!$A$2:$A$501,0)),"¿Código?"))</f>
        <v/>
      </c>
      <c r="F1367" s="32">
        <f>IF(C1367&lt;&gt;"Venta","",D1367*IFERROR(INDEX(Productos!$D$2:$D$501,MATCH(B1367,Productos!$A$2:$A$501,0)),0))</f>
        <v/>
      </c>
      <c r="G1367" s="32">
        <f>IF(C1367&lt;&gt;"Venta","",D1367*IFERROR(INDEX(Productos!$E$2:$E$501,MATCH(B1367,Productos!$A$2:$A$501,0)),0))</f>
        <v/>
      </c>
      <c r="H1367" s="33">
        <f>IF(A1367="","",MONTH(A1367))</f>
        <v/>
      </c>
      <c r="I1367" s="33">
        <f>IF(A1367="","",YEAR(A1367))</f>
        <v/>
      </c>
    </row>
    <row r="1368" ht="15" customHeight="1" s="21">
      <c r="A1368" s="34" t="n"/>
      <c r="B1368" s="30" t="n"/>
      <c r="C1368" s="30" t="n"/>
      <c r="D1368" s="30" t="n"/>
      <c r="E1368" s="33">
        <f>IF(B1368="","",IFERROR(INDEX(Productos!$B$2:$B$501,MATCH(B1368,Productos!$A$2:$A$501,0)),"¿Código?"))</f>
        <v/>
      </c>
      <c r="F1368" s="32">
        <f>IF(C1368&lt;&gt;"Venta","",D1368*IFERROR(INDEX(Productos!$D$2:$D$501,MATCH(B1368,Productos!$A$2:$A$501,0)),0))</f>
        <v/>
      </c>
      <c r="G1368" s="32">
        <f>IF(C1368&lt;&gt;"Venta","",D1368*IFERROR(INDEX(Productos!$E$2:$E$501,MATCH(B1368,Productos!$A$2:$A$501,0)),0))</f>
        <v/>
      </c>
      <c r="H1368" s="33">
        <f>IF(A1368="","",MONTH(A1368))</f>
        <v/>
      </c>
      <c r="I1368" s="33">
        <f>IF(A1368="","",YEAR(A1368))</f>
        <v/>
      </c>
    </row>
    <row r="1369" ht="15" customHeight="1" s="21">
      <c r="A1369" s="34" t="n"/>
      <c r="B1369" s="30" t="n"/>
      <c r="C1369" s="30" t="n"/>
      <c r="D1369" s="30" t="n"/>
      <c r="E1369" s="33">
        <f>IF(B1369="","",IFERROR(INDEX(Productos!$B$2:$B$501,MATCH(B1369,Productos!$A$2:$A$501,0)),"¿Código?"))</f>
        <v/>
      </c>
      <c r="F1369" s="32">
        <f>IF(C1369&lt;&gt;"Venta","",D1369*IFERROR(INDEX(Productos!$D$2:$D$501,MATCH(B1369,Productos!$A$2:$A$501,0)),0))</f>
        <v/>
      </c>
      <c r="G1369" s="32">
        <f>IF(C1369&lt;&gt;"Venta","",D1369*IFERROR(INDEX(Productos!$E$2:$E$501,MATCH(B1369,Productos!$A$2:$A$501,0)),0))</f>
        <v/>
      </c>
      <c r="H1369" s="33">
        <f>IF(A1369="","",MONTH(A1369))</f>
        <v/>
      </c>
      <c r="I1369" s="33">
        <f>IF(A1369="","",YEAR(A1369))</f>
        <v/>
      </c>
    </row>
    <row r="1370" ht="15" customHeight="1" s="21">
      <c r="A1370" s="34" t="n"/>
      <c r="B1370" s="30" t="n"/>
      <c r="C1370" s="30" t="n"/>
      <c r="D1370" s="30" t="n"/>
      <c r="E1370" s="33">
        <f>IF(B1370="","",IFERROR(INDEX(Productos!$B$2:$B$501,MATCH(B1370,Productos!$A$2:$A$501,0)),"¿Código?"))</f>
        <v/>
      </c>
      <c r="F1370" s="32">
        <f>IF(C1370&lt;&gt;"Venta","",D1370*IFERROR(INDEX(Productos!$D$2:$D$501,MATCH(B1370,Productos!$A$2:$A$501,0)),0))</f>
        <v/>
      </c>
      <c r="G1370" s="32">
        <f>IF(C1370&lt;&gt;"Venta","",D1370*IFERROR(INDEX(Productos!$E$2:$E$501,MATCH(B1370,Productos!$A$2:$A$501,0)),0))</f>
        <v/>
      </c>
      <c r="H1370" s="33">
        <f>IF(A1370="","",MONTH(A1370))</f>
        <v/>
      </c>
      <c r="I1370" s="33">
        <f>IF(A1370="","",YEAR(A1370))</f>
        <v/>
      </c>
    </row>
    <row r="1371" ht="15" customHeight="1" s="21">
      <c r="A1371" s="34" t="n"/>
      <c r="B1371" s="30" t="n"/>
      <c r="C1371" s="30" t="n"/>
      <c r="D1371" s="30" t="n"/>
      <c r="E1371" s="33">
        <f>IF(B1371="","",IFERROR(INDEX(Productos!$B$2:$B$501,MATCH(B1371,Productos!$A$2:$A$501,0)),"¿Código?"))</f>
        <v/>
      </c>
      <c r="F1371" s="32">
        <f>IF(C1371&lt;&gt;"Venta","",D1371*IFERROR(INDEX(Productos!$D$2:$D$501,MATCH(B1371,Productos!$A$2:$A$501,0)),0))</f>
        <v/>
      </c>
      <c r="G1371" s="32">
        <f>IF(C1371&lt;&gt;"Venta","",D1371*IFERROR(INDEX(Productos!$E$2:$E$501,MATCH(B1371,Productos!$A$2:$A$501,0)),0))</f>
        <v/>
      </c>
      <c r="H1371" s="33">
        <f>IF(A1371="","",MONTH(A1371))</f>
        <v/>
      </c>
      <c r="I1371" s="33">
        <f>IF(A1371="","",YEAR(A1371))</f>
        <v/>
      </c>
    </row>
    <row r="1372" ht="15" customHeight="1" s="21">
      <c r="A1372" s="34" t="n"/>
      <c r="B1372" s="30" t="n"/>
      <c r="C1372" s="30" t="n"/>
      <c r="D1372" s="30" t="n"/>
      <c r="E1372" s="33">
        <f>IF(B1372="","",IFERROR(INDEX(Productos!$B$2:$B$501,MATCH(B1372,Productos!$A$2:$A$501,0)),"¿Código?"))</f>
        <v/>
      </c>
      <c r="F1372" s="32">
        <f>IF(C1372&lt;&gt;"Venta","",D1372*IFERROR(INDEX(Productos!$D$2:$D$501,MATCH(B1372,Productos!$A$2:$A$501,0)),0))</f>
        <v/>
      </c>
      <c r="G1372" s="32">
        <f>IF(C1372&lt;&gt;"Venta","",D1372*IFERROR(INDEX(Productos!$E$2:$E$501,MATCH(B1372,Productos!$A$2:$A$501,0)),0))</f>
        <v/>
      </c>
      <c r="H1372" s="33">
        <f>IF(A1372="","",MONTH(A1372))</f>
        <v/>
      </c>
      <c r="I1372" s="33">
        <f>IF(A1372="","",YEAR(A1372))</f>
        <v/>
      </c>
    </row>
    <row r="1373" ht="15" customHeight="1" s="21">
      <c r="A1373" s="34" t="n"/>
      <c r="B1373" s="30" t="n"/>
      <c r="C1373" s="30" t="n"/>
      <c r="D1373" s="30" t="n"/>
      <c r="E1373" s="33">
        <f>IF(B1373="","",IFERROR(INDEX(Productos!$B$2:$B$501,MATCH(B1373,Productos!$A$2:$A$501,0)),"¿Código?"))</f>
        <v/>
      </c>
      <c r="F1373" s="32">
        <f>IF(C1373&lt;&gt;"Venta","",D1373*IFERROR(INDEX(Productos!$D$2:$D$501,MATCH(B1373,Productos!$A$2:$A$501,0)),0))</f>
        <v/>
      </c>
      <c r="G1373" s="32">
        <f>IF(C1373&lt;&gt;"Venta","",D1373*IFERROR(INDEX(Productos!$E$2:$E$501,MATCH(B1373,Productos!$A$2:$A$501,0)),0))</f>
        <v/>
      </c>
      <c r="H1373" s="33">
        <f>IF(A1373="","",MONTH(A1373))</f>
        <v/>
      </c>
      <c r="I1373" s="33">
        <f>IF(A1373="","",YEAR(A1373))</f>
        <v/>
      </c>
    </row>
    <row r="1374" ht="15" customHeight="1" s="21">
      <c r="A1374" s="34" t="n"/>
      <c r="B1374" s="30" t="n"/>
      <c r="C1374" s="30" t="n"/>
      <c r="D1374" s="30" t="n"/>
      <c r="E1374" s="33">
        <f>IF(B1374="","",IFERROR(INDEX(Productos!$B$2:$B$501,MATCH(B1374,Productos!$A$2:$A$501,0)),"¿Código?"))</f>
        <v/>
      </c>
      <c r="F1374" s="32">
        <f>IF(C1374&lt;&gt;"Venta","",D1374*IFERROR(INDEX(Productos!$D$2:$D$501,MATCH(B1374,Productos!$A$2:$A$501,0)),0))</f>
        <v/>
      </c>
      <c r="G1374" s="32">
        <f>IF(C1374&lt;&gt;"Venta","",D1374*IFERROR(INDEX(Productos!$E$2:$E$501,MATCH(B1374,Productos!$A$2:$A$501,0)),0))</f>
        <v/>
      </c>
      <c r="H1374" s="33">
        <f>IF(A1374="","",MONTH(A1374))</f>
        <v/>
      </c>
      <c r="I1374" s="33">
        <f>IF(A1374="","",YEAR(A1374))</f>
        <v/>
      </c>
    </row>
    <row r="1375" ht="15" customHeight="1" s="21">
      <c r="A1375" s="34" t="n"/>
      <c r="B1375" s="30" t="n"/>
      <c r="C1375" s="30" t="n"/>
      <c r="D1375" s="30" t="n"/>
      <c r="E1375" s="33">
        <f>IF(B1375="","",IFERROR(INDEX(Productos!$B$2:$B$501,MATCH(B1375,Productos!$A$2:$A$501,0)),"¿Código?"))</f>
        <v/>
      </c>
      <c r="F1375" s="32">
        <f>IF(C1375&lt;&gt;"Venta","",D1375*IFERROR(INDEX(Productos!$D$2:$D$501,MATCH(B1375,Productos!$A$2:$A$501,0)),0))</f>
        <v/>
      </c>
      <c r="G1375" s="32">
        <f>IF(C1375&lt;&gt;"Venta","",D1375*IFERROR(INDEX(Productos!$E$2:$E$501,MATCH(B1375,Productos!$A$2:$A$501,0)),0))</f>
        <v/>
      </c>
      <c r="H1375" s="33">
        <f>IF(A1375="","",MONTH(A1375))</f>
        <v/>
      </c>
      <c r="I1375" s="33">
        <f>IF(A1375="","",YEAR(A1375))</f>
        <v/>
      </c>
    </row>
    <row r="1376" ht="15" customHeight="1" s="21">
      <c r="A1376" s="34" t="n"/>
      <c r="B1376" s="30" t="n"/>
      <c r="C1376" s="30" t="n"/>
      <c r="D1376" s="30" t="n"/>
      <c r="E1376" s="33">
        <f>IF(B1376="","",IFERROR(INDEX(Productos!$B$2:$B$501,MATCH(B1376,Productos!$A$2:$A$501,0)),"¿Código?"))</f>
        <v/>
      </c>
      <c r="F1376" s="32">
        <f>IF(C1376&lt;&gt;"Venta","",D1376*IFERROR(INDEX(Productos!$D$2:$D$501,MATCH(B1376,Productos!$A$2:$A$501,0)),0))</f>
        <v/>
      </c>
      <c r="G1376" s="32">
        <f>IF(C1376&lt;&gt;"Venta","",D1376*IFERROR(INDEX(Productos!$E$2:$E$501,MATCH(B1376,Productos!$A$2:$A$501,0)),0))</f>
        <v/>
      </c>
      <c r="H1376" s="33">
        <f>IF(A1376="","",MONTH(A1376))</f>
        <v/>
      </c>
      <c r="I1376" s="33">
        <f>IF(A1376="","",YEAR(A1376))</f>
        <v/>
      </c>
    </row>
    <row r="1377" ht="15" customHeight="1" s="21">
      <c r="A1377" s="34" t="n"/>
      <c r="B1377" s="30" t="n"/>
      <c r="C1377" s="30" t="n"/>
      <c r="D1377" s="30" t="n"/>
      <c r="E1377" s="33">
        <f>IF(B1377="","",IFERROR(INDEX(Productos!$B$2:$B$501,MATCH(B1377,Productos!$A$2:$A$501,0)),"¿Código?"))</f>
        <v/>
      </c>
      <c r="F1377" s="32">
        <f>IF(C1377&lt;&gt;"Venta","",D1377*IFERROR(INDEX(Productos!$D$2:$D$501,MATCH(B1377,Productos!$A$2:$A$501,0)),0))</f>
        <v/>
      </c>
      <c r="G1377" s="32">
        <f>IF(C1377&lt;&gt;"Venta","",D1377*IFERROR(INDEX(Productos!$E$2:$E$501,MATCH(B1377,Productos!$A$2:$A$501,0)),0))</f>
        <v/>
      </c>
      <c r="H1377" s="33">
        <f>IF(A1377="","",MONTH(A1377))</f>
        <v/>
      </c>
      <c r="I1377" s="33">
        <f>IF(A1377="","",YEAR(A1377))</f>
        <v/>
      </c>
    </row>
    <row r="1378" ht="15" customHeight="1" s="21">
      <c r="A1378" s="34" t="n"/>
      <c r="B1378" s="30" t="n"/>
      <c r="C1378" s="30" t="n"/>
      <c r="D1378" s="30" t="n"/>
      <c r="E1378" s="33">
        <f>IF(B1378="","",IFERROR(INDEX(Productos!$B$2:$B$501,MATCH(B1378,Productos!$A$2:$A$501,0)),"¿Código?"))</f>
        <v/>
      </c>
      <c r="F1378" s="32">
        <f>IF(C1378&lt;&gt;"Venta","",D1378*IFERROR(INDEX(Productos!$D$2:$D$501,MATCH(B1378,Productos!$A$2:$A$501,0)),0))</f>
        <v/>
      </c>
      <c r="G1378" s="32">
        <f>IF(C1378&lt;&gt;"Venta","",D1378*IFERROR(INDEX(Productos!$E$2:$E$501,MATCH(B1378,Productos!$A$2:$A$501,0)),0))</f>
        <v/>
      </c>
      <c r="H1378" s="33">
        <f>IF(A1378="","",MONTH(A1378))</f>
        <v/>
      </c>
      <c r="I1378" s="33">
        <f>IF(A1378="","",YEAR(A1378))</f>
        <v/>
      </c>
    </row>
    <row r="1379" ht="15" customHeight="1" s="21">
      <c r="A1379" s="34" t="n"/>
      <c r="B1379" s="30" t="n"/>
      <c r="C1379" s="30" t="n"/>
      <c r="D1379" s="30" t="n"/>
      <c r="E1379" s="33">
        <f>IF(B1379="","",IFERROR(INDEX(Productos!$B$2:$B$501,MATCH(B1379,Productos!$A$2:$A$501,0)),"¿Código?"))</f>
        <v/>
      </c>
      <c r="F1379" s="32">
        <f>IF(C1379&lt;&gt;"Venta","",D1379*IFERROR(INDEX(Productos!$D$2:$D$501,MATCH(B1379,Productos!$A$2:$A$501,0)),0))</f>
        <v/>
      </c>
      <c r="G1379" s="32">
        <f>IF(C1379&lt;&gt;"Venta","",D1379*IFERROR(INDEX(Productos!$E$2:$E$501,MATCH(B1379,Productos!$A$2:$A$501,0)),0))</f>
        <v/>
      </c>
      <c r="H1379" s="33">
        <f>IF(A1379="","",MONTH(A1379))</f>
        <v/>
      </c>
      <c r="I1379" s="33">
        <f>IF(A1379="","",YEAR(A1379))</f>
        <v/>
      </c>
    </row>
    <row r="1380" ht="15" customHeight="1" s="21">
      <c r="A1380" s="34" t="n"/>
      <c r="B1380" s="30" t="n"/>
      <c r="C1380" s="30" t="n"/>
      <c r="D1380" s="30" t="n"/>
      <c r="E1380" s="33">
        <f>IF(B1380="","",IFERROR(INDEX(Productos!$B$2:$B$501,MATCH(B1380,Productos!$A$2:$A$501,0)),"¿Código?"))</f>
        <v/>
      </c>
      <c r="F1380" s="32">
        <f>IF(C1380&lt;&gt;"Venta","",D1380*IFERROR(INDEX(Productos!$D$2:$D$501,MATCH(B1380,Productos!$A$2:$A$501,0)),0))</f>
        <v/>
      </c>
      <c r="G1380" s="32">
        <f>IF(C1380&lt;&gt;"Venta","",D1380*IFERROR(INDEX(Productos!$E$2:$E$501,MATCH(B1380,Productos!$A$2:$A$501,0)),0))</f>
        <v/>
      </c>
      <c r="H1380" s="33">
        <f>IF(A1380="","",MONTH(A1380))</f>
        <v/>
      </c>
      <c r="I1380" s="33">
        <f>IF(A1380="","",YEAR(A1380))</f>
        <v/>
      </c>
    </row>
    <row r="1381" ht="15" customHeight="1" s="21">
      <c r="A1381" s="34" t="n"/>
      <c r="B1381" s="30" t="n"/>
      <c r="C1381" s="30" t="n"/>
      <c r="D1381" s="30" t="n"/>
      <c r="E1381" s="33">
        <f>IF(B1381="","",IFERROR(INDEX(Productos!$B$2:$B$501,MATCH(B1381,Productos!$A$2:$A$501,0)),"¿Código?"))</f>
        <v/>
      </c>
      <c r="F1381" s="32">
        <f>IF(C1381&lt;&gt;"Venta","",D1381*IFERROR(INDEX(Productos!$D$2:$D$501,MATCH(B1381,Productos!$A$2:$A$501,0)),0))</f>
        <v/>
      </c>
      <c r="G1381" s="32">
        <f>IF(C1381&lt;&gt;"Venta","",D1381*IFERROR(INDEX(Productos!$E$2:$E$501,MATCH(B1381,Productos!$A$2:$A$501,0)),0))</f>
        <v/>
      </c>
      <c r="H1381" s="33">
        <f>IF(A1381="","",MONTH(A1381))</f>
        <v/>
      </c>
      <c r="I1381" s="33">
        <f>IF(A1381="","",YEAR(A1381))</f>
        <v/>
      </c>
    </row>
    <row r="1382" ht="15" customHeight="1" s="21">
      <c r="A1382" s="34" t="n"/>
      <c r="B1382" s="30" t="n"/>
      <c r="C1382" s="30" t="n"/>
      <c r="D1382" s="30" t="n"/>
      <c r="E1382" s="33">
        <f>IF(B1382="","",IFERROR(INDEX(Productos!$B$2:$B$501,MATCH(B1382,Productos!$A$2:$A$501,0)),"¿Código?"))</f>
        <v/>
      </c>
      <c r="F1382" s="32">
        <f>IF(C1382&lt;&gt;"Venta","",D1382*IFERROR(INDEX(Productos!$D$2:$D$501,MATCH(B1382,Productos!$A$2:$A$501,0)),0))</f>
        <v/>
      </c>
      <c r="G1382" s="32">
        <f>IF(C1382&lt;&gt;"Venta","",D1382*IFERROR(INDEX(Productos!$E$2:$E$501,MATCH(B1382,Productos!$A$2:$A$501,0)),0))</f>
        <v/>
      </c>
      <c r="H1382" s="33">
        <f>IF(A1382="","",MONTH(A1382))</f>
        <v/>
      </c>
      <c r="I1382" s="33">
        <f>IF(A1382="","",YEAR(A1382))</f>
        <v/>
      </c>
    </row>
    <row r="1383" ht="15" customHeight="1" s="21">
      <c r="A1383" s="34" t="n"/>
      <c r="B1383" s="30" t="n"/>
      <c r="C1383" s="30" t="n"/>
      <c r="D1383" s="30" t="n"/>
      <c r="E1383" s="33">
        <f>IF(B1383="","",IFERROR(INDEX(Productos!$B$2:$B$501,MATCH(B1383,Productos!$A$2:$A$501,0)),"¿Código?"))</f>
        <v/>
      </c>
      <c r="F1383" s="32">
        <f>IF(C1383&lt;&gt;"Venta","",D1383*IFERROR(INDEX(Productos!$D$2:$D$501,MATCH(B1383,Productos!$A$2:$A$501,0)),0))</f>
        <v/>
      </c>
      <c r="G1383" s="32">
        <f>IF(C1383&lt;&gt;"Venta","",D1383*IFERROR(INDEX(Productos!$E$2:$E$501,MATCH(B1383,Productos!$A$2:$A$501,0)),0))</f>
        <v/>
      </c>
      <c r="H1383" s="33">
        <f>IF(A1383="","",MONTH(A1383))</f>
        <v/>
      </c>
      <c r="I1383" s="33">
        <f>IF(A1383="","",YEAR(A1383))</f>
        <v/>
      </c>
    </row>
    <row r="1384" ht="15" customHeight="1" s="21">
      <c r="A1384" s="34" t="n"/>
      <c r="B1384" s="30" t="n"/>
      <c r="C1384" s="30" t="n"/>
      <c r="D1384" s="30" t="n"/>
      <c r="E1384" s="33">
        <f>IF(B1384="","",IFERROR(INDEX(Productos!$B$2:$B$501,MATCH(B1384,Productos!$A$2:$A$501,0)),"¿Código?"))</f>
        <v/>
      </c>
      <c r="F1384" s="32">
        <f>IF(C1384&lt;&gt;"Venta","",D1384*IFERROR(INDEX(Productos!$D$2:$D$501,MATCH(B1384,Productos!$A$2:$A$501,0)),0))</f>
        <v/>
      </c>
      <c r="G1384" s="32">
        <f>IF(C1384&lt;&gt;"Venta","",D1384*IFERROR(INDEX(Productos!$E$2:$E$501,MATCH(B1384,Productos!$A$2:$A$501,0)),0))</f>
        <v/>
      </c>
      <c r="H1384" s="33">
        <f>IF(A1384="","",MONTH(A1384))</f>
        <v/>
      </c>
      <c r="I1384" s="33">
        <f>IF(A1384="","",YEAR(A1384))</f>
        <v/>
      </c>
    </row>
    <row r="1385" ht="15" customHeight="1" s="21">
      <c r="A1385" s="34" t="n"/>
      <c r="B1385" s="30" t="n"/>
      <c r="C1385" s="30" t="n"/>
      <c r="D1385" s="30" t="n"/>
      <c r="E1385" s="33">
        <f>IF(B1385="","",IFERROR(INDEX(Productos!$B$2:$B$501,MATCH(B1385,Productos!$A$2:$A$501,0)),"¿Código?"))</f>
        <v/>
      </c>
      <c r="F1385" s="32">
        <f>IF(C1385&lt;&gt;"Venta","",D1385*IFERROR(INDEX(Productos!$D$2:$D$501,MATCH(B1385,Productos!$A$2:$A$501,0)),0))</f>
        <v/>
      </c>
      <c r="G1385" s="32">
        <f>IF(C1385&lt;&gt;"Venta","",D1385*IFERROR(INDEX(Productos!$E$2:$E$501,MATCH(B1385,Productos!$A$2:$A$501,0)),0))</f>
        <v/>
      </c>
      <c r="H1385" s="33">
        <f>IF(A1385="","",MONTH(A1385))</f>
        <v/>
      </c>
      <c r="I1385" s="33">
        <f>IF(A1385="","",YEAR(A1385))</f>
        <v/>
      </c>
    </row>
    <row r="1386" ht="15" customHeight="1" s="21">
      <c r="A1386" s="34" t="n"/>
      <c r="B1386" s="30" t="n"/>
      <c r="C1386" s="30" t="n"/>
      <c r="D1386" s="30" t="n"/>
      <c r="E1386" s="33">
        <f>IF(B1386="","",IFERROR(INDEX(Productos!$B$2:$B$501,MATCH(B1386,Productos!$A$2:$A$501,0)),"¿Código?"))</f>
        <v/>
      </c>
      <c r="F1386" s="32">
        <f>IF(C1386&lt;&gt;"Venta","",D1386*IFERROR(INDEX(Productos!$D$2:$D$501,MATCH(B1386,Productos!$A$2:$A$501,0)),0))</f>
        <v/>
      </c>
      <c r="G1386" s="32">
        <f>IF(C1386&lt;&gt;"Venta","",D1386*IFERROR(INDEX(Productos!$E$2:$E$501,MATCH(B1386,Productos!$A$2:$A$501,0)),0))</f>
        <v/>
      </c>
      <c r="H1386" s="33">
        <f>IF(A1386="","",MONTH(A1386))</f>
        <v/>
      </c>
      <c r="I1386" s="33">
        <f>IF(A1386="","",YEAR(A1386))</f>
        <v/>
      </c>
    </row>
    <row r="1387" ht="15" customHeight="1" s="21">
      <c r="A1387" s="34" t="n"/>
      <c r="B1387" s="30" t="n"/>
      <c r="C1387" s="30" t="n"/>
      <c r="D1387" s="30" t="n"/>
      <c r="E1387" s="33">
        <f>IF(B1387="","",IFERROR(INDEX(Productos!$B$2:$B$501,MATCH(B1387,Productos!$A$2:$A$501,0)),"¿Código?"))</f>
        <v/>
      </c>
      <c r="F1387" s="32">
        <f>IF(C1387&lt;&gt;"Venta","",D1387*IFERROR(INDEX(Productos!$D$2:$D$501,MATCH(B1387,Productos!$A$2:$A$501,0)),0))</f>
        <v/>
      </c>
      <c r="G1387" s="32">
        <f>IF(C1387&lt;&gt;"Venta","",D1387*IFERROR(INDEX(Productos!$E$2:$E$501,MATCH(B1387,Productos!$A$2:$A$501,0)),0))</f>
        <v/>
      </c>
      <c r="H1387" s="33">
        <f>IF(A1387="","",MONTH(A1387))</f>
        <v/>
      </c>
      <c r="I1387" s="33">
        <f>IF(A1387="","",YEAR(A1387))</f>
        <v/>
      </c>
    </row>
    <row r="1388" ht="15" customHeight="1" s="21">
      <c r="A1388" s="34" t="n"/>
      <c r="B1388" s="30" t="n"/>
      <c r="C1388" s="30" t="n"/>
      <c r="D1388" s="30" t="n"/>
      <c r="E1388" s="33">
        <f>IF(B1388="","",IFERROR(INDEX(Productos!$B$2:$B$501,MATCH(B1388,Productos!$A$2:$A$501,0)),"¿Código?"))</f>
        <v/>
      </c>
      <c r="F1388" s="32">
        <f>IF(C1388&lt;&gt;"Venta","",D1388*IFERROR(INDEX(Productos!$D$2:$D$501,MATCH(B1388,Productos!$A$2:$A$501,0)),0))</f>
        <v/>
      </c>
      <c r="G1388" s="32">
        <f>IF(C1388&lt;&gt;"Venta","",D1388*IFERROR(INDEX(Productos!$E$2:$E$501,MATCH(B1388,Productos!$A$2:$A$501,0)),0))</f>
        <v/>
      </c>
      <c r="H1388" s="33">
        <f>IF(A1388="","",MONTH(A1388))</f>
        <v/>
      </c>
      <c r="I1388" s="33">
        <f>IF(A1388="","",YEAR(A1388))</f>
        <v/>
      </c>
    </row>
    <row r="1389" ht="15" customHeight="1" s="21">
      <c r="A1389" s="34" t="n"/>
      <c r="B1389" s="30" t="n"/>
      <c r="C1389" s="30" t="n"/>
      <c r="D1389" s="30" t="n"/>
      <c r="E1389" s="33">
        <f>IF(B1389="","",IFERROR(INDEX(Productos!$B$2:$B$501,MATCH(B1389,Productos!$A$2:$A$501,0)),"¿Código?"))</f>
        <v/>
      </c>
      <c r="F1389" s="32">
        <f>IF(C1389&lt;&gt;"Venta","",D1389*IFERROR(INDEX(Productos!$D$2:$D$501,MATCH(B1389,Productos!$A$2:$A$501,0)),0))</f>
        <v/>
      </c>
      <c r="G1389" s="32">
        <f>IF(C1389&lt;&gt;"Venta","",D1389*IFERROR(INDEX(Productos!$E$2:$E$501,MATCH(B1389,Productos!$A$2:$A$501,0)),0))</f>
        <v/>
      </c>
      <c r="H1389" s="33">
        <f>IF(A1389="","",MONTH(A1389))</f>
        <v/>
      </c>
      <c r="I1389" s="33">
        <f>IF(A1389="","",YEAR(A1389))</f>
        <v/>
      </c>
    </row>
    <row r="1390" ht="15" customHeight="1" s="21">
      <c r="A1390" s="34" t="n"/>
      <c r="B1390" s="30" t="n"/>
      <c r="C1390" s="30" t="n"/>
      <c r="D1390" s="30" t="n"/>
      <c r="E1390" s="33">
        <f>IF(B1390="","",IFERROR(INDEX(Productos!$B$2:$B$501,MATCH(B1390,Productos!$A$2:$A$501,0)),"¿Código?"))</f>
        <v/>
      </c>
      <c r="F1390" s="32">
        <f>IF(C1390&lt;&gt;"Venta","",D1390*IFERROR(INDEX(Productos!$D$2:$D$501,MATCH(B1390,Productos!$A$2:$A$501,0)),0))</f>
        <v/>
      </c>
      <c r="G1390" s="32">
        <f>IF(C1390&lt;&gt;"Venta","",D1390*IFERROR(INDEX(Productos!$E$2:$E$501,MATCH(B1390,Productos!$A$2:$A$501,0)),0))</f>
        <v/>
      </c>
      <c r="H1390" s="33">
        <f>IF(A1390="","",MONTH(A1390))</f>
        <v/>
      </c>
      <c r="I1390" s="33">
        <f>IF(A1390="","",YEAR(A1390))</f>
        <v/>
      </c>
    </row>
    <row r="1391" ht="15" customHeight="1" s="21">
      <c r="A1391" s="34" t="n"/>
      <c r="B1391" s="30" t="n"/>
      <c r="C1391" s="30" t="n"/>
      <c r="D1391" s="30" t="n"/>
      <c r="E1391" s="33">
        <f>IF(B1391="","",IFERROR(INDEX(Productos!$B$2:$B$501,MATCH(B1391,Productos!$A$2:$A$501,0)),"¿Código?"))</f>
        <v/>
      </c>
      <c r="F1391" s="32">
        <f>IF(C1391&lt;&gt;"Venta","",D1391*IFERROR(INDEX(Productos!$D$2:$D$501,MATCH(B1391,Productos!$A$2:$A$501,0)),0))</f>
        <v/>
      </c>
      <c r="G1391" s="32">
        <f>IF(C1391&lt;&gt;"Venta","",D1391*IFERROR(INDEX(Productos!$E$2:$E$501,MATCH(B1391,Productos!$A$2:$A$501,0)),0))</f>
        <v/>
      </c>
      <c r="H1391" s="33">
        <f>IF(A1391="","",MONTH(A1391))</f>
        <v/>
      </c>
      <c r="I1391" s="33">
        <f>IF(A1391="","",YEAR(A1391))</f>
        <v/>
      </c>
    </row>
    <row r="1392" ht="15" customHeight="1" s="21">
      <c r="A1392" s="34" t="n"/>
      <c r="B1392" s="30" t="n"/>
      <c r="C1392" s="30" t="n"/>
      <c r="D1392" s="30" t="n"/>
      <c r="E1392" s="33">
        <f>IF(B1392="","",IFERROR(INDEX(Productos!$B$2:$B$501,MATCH(B1392,Productos!$A$2:$A$501,0)),"¿Código?"))</f>
        <v/>
      </c>
      <c r="F1392" s="32">
        <f>IF(C1392&lt;&gt;"Venta","",D1392*IFERROR(INDEX(Productos!$D$2:$D$501,MATCH(B1392,Productos!$A$2:$A$501,0)),0))</f>
        <v/>
      </c>
      <c r="G1392" s="32">
        <f>IF(C1392&lt;&gt;"Venta","",D1392*IFERROR(INDEX(Productos!$E$2:$E$501,MATCH(B1392,Productos!$A$2:$A$501,0)),0))</f>
        <v/>
      </c>
      <c r="H1392" s="33">
        <f>IF(A1392="","",MONTH(A1392))</f>
        <v/>
      </c>
      <c r="I1392" s="33">
        <f>IF(A1392="","",YEAR(A1392))</f>
        <v/>
      </c>
    </row>
    <row r="1393" ht="15" customHeight="1" s="21">
      <c r="A1393" s="34" t="n"/>
      <c r="B1393" s="30" t="n"/>
      <c r="C1393" s="30" t="n"/>
      <c r="D1393" s="30" t="n"/>
      <c r="E1393" s="33">
        <f>IF(B1393="","",IFERROR(INDEX(Productos!$B$2:$B$501,MATCH(B1393,Productos!$A$2:$A$501,0)),"¿Código?"))</f>
        <v/>
      </c>
      <c r="F1393" s="32">
        <f>IF(C1393&lt;&gt;"Venta","",D1393*IFERROR(INDEX(Productos!$D$2:$D$501,MATCH(B1393,Productos!$A$2:$A$501,0)),0))</f>
        <v/>
      </c>
      <c r="G1393" s="32">
        <f>IF(C1393&lt;&gt;"Venta","",D1393*IFERROR(INDEX(Productos!$E$2:$E$501,MATCH(B1393,Productos!$A$2:$A$501,0)),0))</f>
        <v/>
      </c>
      <c r="H1393" s="33">
        <f>IF(A1393="","",MONTH(A1393))</f>
        <v/>
      </c>
      <c r="I1393" s="33">
        <f>IF(A1393="","",YEAR(A1393))</f>
        <v/>
      </c>
    </row>
    <row r="1394" ht="15" customHeight="1" s="21">
      <c r="A1394" s="34" t="n"/>
      <c r="B1394" s="30" t="n"/>
      <c r="C1394" s="30" t="n"/>
      <c r="D1394" s="30" t="n"/>
      <c r="E1394" s="33">
        <f>IF(B1394="","",IFERROR(INDEX(Productos!$B$2:$B$501,MATCH(B1394,Productos!$A$2:$A$501,0)),"¿Código?"))</f>
        <v/>
      </c>
      <c r="F1394" s="32">
        <f>IF(C1394&lt;&gt;"Venta","",D1394*IFERROR(INDEX(Productos!$D$2:$D$501,MATCH(B1394,Productos!$A$2:$A$501,0)),0))</f>
        <v/>
      </c>
      <c r="G1394" s="32">
        <f>IF(C1394&lt;&gt;"Venta","",D1394*IFERROR(INDEX(Productos!$E$2:$E$501,MATCH(B1394,Productos!$A$2:$A$501,0)),0))</f>
        <v/>
      </c>
      <c r="H1394" s="33">
        <f>IF(A1394="","",MONTH(A1394))</f>
        <v/>
      </c>
      <c r="I1394" s="33">
        <f>IF(A1394="","",YEAR(A1394))</f>
        <v/>
      </c>
    </row>
    <row r="1395" ht="15" customHeight="1" s="21">
      <c r="A1395" s="34" t="n"/>
      <c r="B1395" s="30" t="n"/>
      <c r="C1395" s="30" t="n"/>
      <c r="D1395" s="30" t="n"/>
      <c r="E1395" s="33">
        <f>IF(B1395="","",IFERROR(INDEX(Productos!$B$2:$B$501,MATCH(B1395,Productos!$A$2:$A$501,0)),"¿Código?"))</f>
        <v/>
      </c>
      <c r="F1395" s="32">
        <f>IF(C1395&lt;&gt;"Venta","",D1395*IFERROR(INDEX(Productos!$D$2:$D$501,MATCH(B1395,Productos!$A$2:$A$501,0)),0))</f>
        <v/>
      </c>
      <c r="G1395" s="32">
        <f>IF(C1395&lt;&gt;"Venta","",D1395*IFERROR(INDEX(Productos!$E$2:$E$501,MATCH(B1395,Productos!$A$2:$A$501,0)),0))</f>
        <v/>
      </c>
      <c r="H1395" s="33">
        <f>IF(A1395="","",MONTH(A1395))</f>
        <v/>
      </c>
      <c r="I1395" s="33">
        <f>IF(A1395="","",YEAR(A1395))</f>
        <v/>
      </c>
    </row>
    <row r="1396" ht="15" customHeight="1" s="21">
      <c r="A1396" s="34" t="n"/>
      <c r="B1396" s="30" t="n"/>
      <c r="C1396" s="30" t="n"/>
      <c r="D1396" s="30" t="n"/>
      <c r="E1396" s="33">
        <f>IF(B1396="","",IFERROR(INDEX(Productos!$B$2:$B$501,MATCH(B1396,Productos!$A$2:$A$501,0)),"¿Código?"))</f>
        <v/>
      </c>
      <c r="F1396" s="32">
        <f>IF(C1396&lt;&gt;"Venta","",D1396*IFERROR(INDEX(Productos!$D$2:$D$501,MATCH(B1396,Productos!$A$2:$A$501,0)),0))</f>
        <v/>
      </c>
      <c r="G1396" s="32">
        <f>IF(C1396&lt;&gt;"Venta","",D1396*IFERROR(INDEX(Productos!$E$2:$E$501,MATCH(B1396,Productos!$A$2:$A$501,0)),0))</f>
        <v/>
      </c>
      <c r="H1396" s="33">
        <f>IF(A1396="","",MONTH(A1396))</f>
        <v/>
      </c>
      <c r="I1396" s="33">
        <f>IF(A1396="","",YEAR(A1396))</f>
        <v/>
      </c>
    </row>
    <row r="1397" ht="15" customHeight="1" s="21">
      <c r="A1397" s="34" t="n"/>
      <c r="B1397" s="30" t="n"/>
      <c r="C1397" s="30" t="n"/>
      <c r="D1397" s="30" t="n"/>
      <c r="E1397" s="33">
        <f>IF(B1397="","",IFERROR(INDEX(Productos!$B$2:$B$501,MATCH(B1397,Productos!$A$2:$A$501,0)),"¿Código?"))</f>
        <v/>
      </c>
      <c r="F1397" s="32">
        <f>IF(C1397&lt;&gt;"Venta","",D1397*IFERROR(INDEX(Productos!$D$2:$D$501,MATCH(B1397,Productos!$A$2:$A$501,0)),0))</f>
        <v/>
      </c>
      <c r="G1397" s="32">
        <f>IF(C1397&lt;&gt;"Venta","",D1397*IFERROR(INDEX(Productos!$E$2:$E$501,MATCH(B1397,Productos!$A$2:$A$501,0)),0))</f>
        <v/>
      </c>
      <c r="H1397" s="33">
        <f>IF(A1397="","",MONTH(A1397))</f>
        <v/>
      </c>
      <c r="I1397" s="33">
        <f>IF(A1397="","",YEAR(A1397))</f>
        <v/>
      </c>
    </row>
    <row r="1398" ht="15" customHeight="1" s="21">
      <c r="A1398" s="34" t="n"/>
      <c r="B1398" s="30" t="n"/>
      <c r="C1398" s="30" t="n"/>
      <c r="D1398" s="30" t="n"/>
      <c r="E1398" s="33">
        <f>IF(B1398="","",IFERROR(INDEX(Productos!$B$2:$B$501,MATCH(B1398,Productos!$A$2:$A$501,0)),"¿Código?"))</f>
        <v/>
      </c>
      <c r="F1398" s="32">
        <f>IF(C1398&lt;&gt;"Venta","",D1398*IFERROR(INDEX(Productos!$D$2:$D$501,MATCH(B1398,Productos!$A$2:$A$501,0)),0))</f>
        <v/>
      </c>
      <c r="G1398" s="32">
        <f>IF(C1398&lt;&gt;"Venta","",D1398*IFERROR(INDEX(Productos!$E$2:$E$501,MATCH(B1398,Productos!$A$2:$A$501,0)),0))</f>
        <v/>
      </c>
      <c r="H1398" s="33">
        <f>IF(A1398="","",MONTH(A1398))</f>
        <v/>
      </c>
      <c r="I1398" s="33">
        <f>IF(A1398="","",YEAR(A1398))</f>
        <v/>
      </c>
    </row>
    <row r="1399" ht="15" customHeight="1" s="21">
      <c r="A1399" s="34" t="n"/>
      <c r="B1399" s="30" t="n"/>
      <c r="C1399" s="30" t="n"/>
      <c r="D1399" s="30" t="n"/>
      <c r="E1399" s="33">
        <f>IF(B1399="","",IFERROR(INDEX(Productos!$B$2:$B$501,MATCH(B1399,Productos!$A$2:$A$501,0)),"¿Código?"))</f>
        <v/>
      </c>
      <c r="F1399" s="32">
        <f>IF(C1399&lt;&gt;"Venta","",D1399*IFERROR(INDEX(Productos!$D$2:$D$501,MATCH(B1399,Productos!$A$2:$A$501,0)),0))</f>
        <v/>
      </c>
      <c r="G1399" s="32">
        <f>IF(C1399&lt;&gt;"Venta","",D1399*IFERROR(INDEX(Productos!$E$2:$E$501,MATCH(B1399,Productos!$A$2:$A$501,0)),0))</f>
        <v/>
      </c>
      <c r="H1399" s="33">
        <f>IF(A1399="","",MONTH(A1399))</f>
        <v/>
      </c>
      <c r="I1399" s="33">
        <f>IF(A1399="","",YEAR(A1399))</f>
        <v/>
      </c>
    </row>
    <row r="1400" ht="15" customHeight="1" s="21">
      <c r="A1400" s="34" t="n"/>
      <c r="B1400" s="30" t="n"/>
      <c r="C1400" s="30" t="n"/>
      <c r="D1400" s="30" t="n"/>
      <c r="E1400" s="33">
        <f>IF(B1400="","",IFERROR(INDEX(Productos!$B$2:$B$501,MATCH(B1400,Productos!$A$2:$A$501,0)),"¿Código?"))</f>
        <v/>
      </c>
      <c r="F1400" s="32">
        <f>IF(C1400&lt;&gt;"Venta","",D1400*IFERROR(INDEX(Productos!$D$2:$D$501,MATCH(B1400,Productos!$A$2:$A$501,0)),0))</f>
        <v/>
      </c>
      <c r="G1400" s="32">
        <f>IF(C1400&lt;&gt;"Venta","",D1400*IFERROR(INDEX(Productos!$E$2:$E$501,MATCH(B1400,Productos!$A$2:$A$501,0)),0))</f>
        <v/>
      </c>
      <c r="H1400" s="33">
        <f>IF(A1400="","",MONTH(A1400))</f>
        <v/>
      </c>
      <c r="I1400" s="33">
        <f>IF(A1400="","",YEAR(A1400))</f>
        <v/>
      </c>
    </row>
    <row r="1401" ht="15" customHeight="1" s="21">
      <c r="A1401" s="34" t="n"/>
      <c r="B1401" s="30" t="n"/>
      <c r="C1401" s="30" t="n"/>
      <c r="D1401" s="30" t="n"/>
      <c r="E1401" s="33">
        <f>IF(B1401="","",IFERROR(INDEX(Productos!$B$2:$B$501,MATCH(B1401,Productos!$A$2:$A$501,0)),"¿Código?"))</f>
        <v/>
      </c>
      <c r="F1401" s="32">
        <f>IF(C1401&lt;&gt;"Venta","",D1401*IFERROR(INDEX(Productos!$D$2:$D$501,MATCH(B1401,Productos!$A$2:$A$501,0)),0))</f>
        <v/>
      </c>
      <c r="G1401" s="32">
        <f>IF(C1401&lt;&gt;"Venta","",D1401*IFERROR(INDEX(Productos!$E$2:$E$501,MATCH(B1401,Productos!$A$2:$A$501,0)),0))</f>
        <v/>
      </c>
      <c r="H1401" s="33">
        <f>IF(A1401="","",MONTH(A1401))</f>
        <v/>
      </c>
      <c r="I1401" s="33">
        <f>IF(A1401="","",YEAR(A1401))</f>
        <v/>
      </c>
    </row>
    <row r="1402" ht="15" customHeight="1" s="21">
      <c r="A1402" s="34" t="n"/>
      <c r="B1402" s="30" t="n"/>
      <c r="C1402" s="30" t="n"/>
      <c r="D1402" s="30" t="n"/>
      <c r="E1402" s="33">
        <f>IF(B1402="","",IFERROR(INDEX(Productos!$B$2:$B$501,MATCH(B1402,Productos!$A$2:$A$501,0)),"¿Código?"))</f>
        <v/>
      </c>
      <c r="F1402" s="32">
        <f>IF(C1402&lt;&gt;"Venta","",D1402*IFERROR(INDEX(Productos!$D$2:$D$501,MATCH(B1402,Productos!$A$2:$A$501,0)),0))</f>
        <v/>
      </c>
      <c r="G1402" s="32">
        <f>IF(C1402&lt;&gt;"Venta","",D1402*IFERROR(INDEX(Productos!$E$2:$E$501,MATCH(B1402,Productos!$A$2:$A$501,0)),0))</f>
        <v/>
      </c>
      <c r="H1402" s="33">
        <f>IF(A1402="","",MONTH(A1402))</f>
        <v/>
      </c>
      <c r="I1402" s="33">
        <f>IF(A1402="","",YEAR(A1402))</f>
        <v/>
      </c>
    </row>
    <row r="1403" ht="15" customHeight="1" s="21">
      <c r="A1403" s="34" t="n"/>
      <c r="B1403" s="30" t="n"/>
      <c r="C1403" s="30" t="n"/>
      <c r="D1403" s="30" t="n"/>
      <c r="E1403" s="33">
        <f>IF(B1403="","",IFERROR(INDEX(Productos!$B$2:$B$501,MATCH(B1403,Productos!$A$2:$A$501,0)),"¿Código?"))</f>
        <v/>
      </c>
      <c r="F1403" s="32">
        <f>IF(C1403&lt;&gt;"Venta","",D1403*IFERROR(INDEX(Productos!$D$2:$D$501,MATCH(B1403,Productos!$A$2:$A$501,0)),0))</f>
        <v/>
      </c>
      <c r="G1403" s="32">
        <f>IF(C1403&lt;&gt;"Venta","",D1403*IFERROR(INDEX(Productos!$E$2:$E$501,MATCH(B1403,Productos!$A$2:$A$501,0)),0))</f>
        <v/>
      </c>
      <c r="H1403" s="33">
        <f>IF(A1403="","",MONTH(A1403))</f>
        <v/>
      </c>
      <c r="I1403" s="33">
        <f>IF(A1403="","",YEAR(A1403))</f>
        <v/>
      </c>
    </row>
    <row r="1404" ht="15" customHeight="1" s="21">
      <c r="A1404" s="34" t="n"/>
      <c r="B1404" s="30" t="n"/>
      <c r="C1404" s="30" t="n"/>
      <c r="D1404" s="30" t="n"/>
      <c r="E1404" s="33">
        <f>IF(B1404="","",IFERROR(INDEX(Productos!$B$2:$B$501,MATCH(B1404,Productos!$A$2:$A$501,0)),"¿Código?"))</f>
        <v/>
      </c>
      <c r="F1404" s="32">
        <f>IF(C1404&lt;&gt;"Venta","",D1404*IFERROR(INDEX(Productos!$D$2:$D$501,MATCH(B1404,Productos!$A$2:$A$501,0)),0))</f>
        <v/>
      </c>
      <c r="G1404" s="32">
        <f>IF(C1404&lt;&gt;"Venta","",D1404*IFERROR(INDEX(Productos!$E$2:$E$501,MATCH(B1404,Productos!$A$2:$A$501,0)),0))</f>
        <v/>
      </c>
      <c r="H1404" s="33">
        <f>IF(A1404="","",MONTH(A1404))</f>
        <v/>
      </c>
      <c r="I1404" s="33">
        <f>IF(A1404="","",YEAR(A1404))</f>
        <v/>
      </c>
    </row>
    <row r="1405" ht="15" customHeight="1" s="21">
      <c r="A1405" s="34" t="n"/>
      <c r="B1405" s="30" t="n"/>
      <c r="C1405" s="30" t="n"/>
      <c r="D1405" s="30" t="n"/>
      <c r="E1405" s="33">
        <f>IF(B1405="","",IFERROR(INDEX(Productos!$B$2:$B$501,MATCH(B1405,Productos!$A$2:$A$501,0)),"¿Código?"))</f>
        <v/>
      </c>
      <c r="F1405" s="32">
        <f>IF(C1405&lt;&gt;"Venta","",D1405*IFERROR(INDEX(Productos!$D$2:$D$501,MATCH(B1405,Productos!$A$2:$A$501,0)),0))</f>
        <v/>
      </c>
      <c r="G1405" s="32">
        <f>IF(C1405&lt;&gt;"Venta","",D1405*IFERROR(INDEX(Productos!$E$2:$E$501,MATCH(B1405,Productos!$A$2:$A$501,0)),0))</f>
        <v/>
      </c>
      <c r="H1405" s="33">
        <f>IF(A1405="","",MONTH(A1405))</f>
        <v/>
      </c>
      <c r="I1405" s="33">
        <f>IF(A1405="","",YEAR(A1405))</f>
        <v/>
      </c>
    </row>
    <row r="1406" ht="15" customHeight="1" s="21">
      <c r="A1406" s="34" t="n"/>
      <c r="B1406" s="30" t="n"/>
      <c r="C1406" s="30" t="n"/>
      <c r="D1406" s="30" t="n"/>
      <c r="E1406" s="33">
        <f>IF(B1406="","",IFERROR(INDEX(Productos!$B$2:$B$501,MATCH(B1406,Productos!$A$2:$A$501,0)),"¿Código?"))</f>
        <v/>
      </c>
      <c r="F1406" s="32">
        <f>IF(C1406&lt;&gt;"Venta","",D1406*IFERROR(INDEX(Productos!$D$2:$D$501,MATCH(B1406,Productos!$A$2:$A$501,0)),0))</f>
        <v/>
      </c>
      <c r="G1406" s="32">
        <f>IF(C1406&lt;&gt;"Venta","",D1406*IFERROR(INDEX(Productos!$E$2:$E$501,MATCH(B1406,Productos!$A$2:$A$501,0)),0))</f>
        <v/>
      </c>
      <c r="H1406" s="33">
        <f>IF(A1406="","",MONTH(A1406))</f>
        <v/>
      </c>
      <c r="I1406" s="33">
        <f>IF(A1406="","",YEAR(A1406))</f>
        <v/>
      </c>
    </row>
    <row r="1407" ht="15" customHeight="1" s="21">
      <c r="A1407" s="34" t="n"/>
      <c r="B1407" s="30" t="n"/>
      <c r="C1407" s="30" t="n"/>
      <c r="D1407" s="30" t="n"/>
      <c r="E1407" s="33">
        <f>IF(B1407="","",IFERROR(INDEX(Productos!$B$2:$B$501,MATCH(B1407,Productos!$A$2:$A$501,0)),"¿Código?"))</f>
        <v/>
      </c>
      <c r="F1407" s="32">
        <f>IF(C1407&lt;&gt;"Venta","",D1407*IFERROR(INDEX(Productos!$D$2:$D$501,MATCH(B1407,Productos!$A$2:$A$501,0)),0))</f>
        <v/>
      </c>
      <c r="G1407" s="32">
        <f>IF(C1407&lt;&gt;"Venta","",D1407*IFERROR(INDEX(Productos!$E$2:$E$501,MATCH(B1407,Productos!$A$2:$A$501,0)),0))</f>
        <v/>
      </c>
      <c r="H1407" s="33">
        <f>IF(A1407="","",MONTH(A1407))</f>
        <v/>
      </c>
      <c r="I1407" s="33">
        <f>IF(A1407="","",YEAR(A1407))</f>
        <v/>
      </c>
    </row>
    <row r="1408" ht="15" customHeight="1" s="21">
      <c r="A1408" s="34" t="n"/>
      <c r="B1408" s="30" t="n"/>
      <c r="C1408" s="30" t="n"/>
      <c r="D1408" s="30" t="n"/>
      <c r="E1408" s="33">
        <f>IF(B1408="","",IFERROR(INDEX(Productos!$B$2:$B$501,MATCH(B1408,Productos!$A$2:$A$501,0)),"¿Código?"))</f>
        <v/>
      </c>
      <c r="F1408" s="32">
        <f>IF(C1408&lt;&gt;"Venta","",D1408*IFERROR(INDEX(Productos!$D$2:$D$501,MATCH(B1408,Productos!$A$2:$A$501,0)),0))</f>
        <v/>
      </c>
      <c r="G1408" s="32">
        <f>IF(C1408&lt;&gt;"Venta","",D1408*IFERROR(INDEX(Productos!$E$2:$E$501,MATCH(B1408,Productos!$A$2:$A$501,0)),0))</f>
        <v/>
      </c>
      <c r="H1408" s="33">
        <f>IF(A1408="","",MONTH(A1408))</f>
        <v/>
      </c>
      <c r="I1408" s="33">
        <f>IF(A1408="","",YEAR(A1408))</f>
        <v/>
      </c>
    </row>
    <row r="1409" ht="15" customHeight="1" s="21">
      <c r="A1409" s="34" t="n"/>
      <c r="B1409" s="30" t="n"/>
      <c r="C1409" s="30" t="n"/>
      <c r="D1409" s="30" t="n"/>
      <c r="E1409" s="33">
        <f>IF(B1409="","",IFERROR(INDEX(Productos!$B$2:$B$501,MATCH(B1409,Productos!$A$2:$A$501,0)),"¿Código?"))</f>
        <v/>
      </c>
      <c r="F1409" s="32">
        <f>IF(C1409&lt;&gt;"Venta","",D1409*IFERROR(INDEX(Productos!$D$2:$D$501,MATCH(B1409,Productos!$A$2:$A$501,0)),0))</f>
        <v/>
      </c>
      <c r="G1409" s="32">
        <f>IF(C1409&lt;&gt;"Venta","",D1409*IFERROR(INDEX(Productos!$E$2:$E$501,MATCH(B1409,Productos!$A$2:$A$501,0)),0))</f>
        <v/>
      </c>
      <c r="H1409" s="33">
        <f>IF(A1409="","",MONTH(A1409))</f>
        <v/>
      </c>
      <c r="I1409" s="33">
        <f>IF(A1409="","",YEAR(A1409))</f>
        <v/>
      </c>
    </row>
    <row r="1410" ht="15" customHeight="1" s="21">
      <c r="A1410" s="34" t="n"/>
      <c r="B1410" s="30" t="n"/>
      <c r="C1410" s="30" t="n"/>
      <c r="D1410" s="30" t="n"/>
      <c r="E1410" s="33">
        <f>IF(B1410="","",IFERROR(INDEX(Productos!$B$2:$B$501,MATCH(B1410,Productos!$A$2:$A$501,0)),"¿Código?"))</f>
        <v/>
      </c>
      <c r="F1410" s="32">
        <f>IF(C1410&lt;&gt;"Venta","",D1410*IFERROR(INDEX(Productos!$D$2:$D$501,MATCH(B1410,Productos!$A$2:$A$501,0)),0))</f>
        <v/>
      </c>
      <c r="G1410" s="32">
        <f>IF(C1410&lt;&gt;"Venta","",D1410*IFERROR(INDEX(Productos!$E$2:$E$501,MATCH(B1410,Productos!$A$2:$A$501,0)),0))</f>
        <v/>
      </c>
      <c r="H1410" s="33">
        <f>IF(A1410="","",MONTH(A1410))</f>
        <v/>
      </c>
      <c r="I1410" s="33">
        <f>IF(A1410="","",YEAR(A1410))</f>
        <v/>
      </c>
    </row>
    <row r="1411" ht="15" customHeight="1" s="21">
      <c r="A1411" s="34" t="n"/>
      <c r="B1411" s="30" t="n"/>
      <c r="C1411" s="30" t="n"/>
      <c r="D1411" s="30" t="n"/>
      <c r="E1411" s="33">
        <f>IF(B1411="","",IFERROR(INDEX(Productos!$B$2:$B$501,MATCH(B1411,Productos!$A$2:$A$501,0)),"¿Código?"))</f>
        <v/>
      </c>
      <c r="F1411" s="32">
        <f>IF(C1411&lt;&gt;"Venta","",D1411*IFERROR(INDEX(Productos!$D$2:$D$501,MATCH(B1411,Productos!$A$2:$A$501,0)),0))</f>
        <v/>
      </c>
      <c r="G1411" s="32">
        <f>IF(C1411&lt;&gt;"Venta","",D1411*IFERROR(INDEX(Productos!$E$2:$E$501,MATCH(B1411,Productos!$A$2:$A$501,0)),0))</f>
        <v/>
      </c>
      <c r="H1411" s="33">
        <f>IF(A1411="","",MONTH(A1411))</f>
        <v/>
      </c>
      <c r="I1411" s="33">
        <f>IF(A1411="","",YEAR(A1411))</f>
        <v/>
      </c>
    </row>
    <row r="1412" ht="15" customHeight="1" s="21">
      <c r="A1412" s="34" t="n"/>
      <c r="B1412" s="30" t="n"/>
      <c r="C1412" s="30" t="n"/>
      <c r="D1412" s="30" t="n"/>
      <c r="E1412" s="33">
        <f>IF(B1412="","",IFERROR(INDEX(Productos!$B$2:$B$501,MATCH(B1412,Productos!$A$2:$A$501,0)),"¿Código?"))</f>
        <v/>
      </c>
      <c r="F1412" s="32">
        <f>IF(C1412&lt;&gt;"Venta","",D1412*IFERROR(INDEX(Productos!$D$2:$D$501,MATCH(B1412,Productos!$A$2:$A$501,0)),0))</f>
        <v/>
      </c>
      <c r="G1412" s="32">
        <f>IF(C1412&lt;&gt;"Venta","",D1412*IFERROR(INDEX(Productos!$E$2:$E$501,MATCH(B1412,Productos!$A$2:$A$501,0)),0))</f>
        <v/>
      </c>
      <c r="H1412" s="33">
        <f>IF(A1412="","",MONTH(A1412))</f>
        <v/>
      </c>
      <c r="I1412" s="33">
        <f>IF(A1412="","",YEAR(A1412))</f>
        <v/>
      </c>
    </row>
    <row r="1413" ht="15" customHeight="1" s="21">
      <c r="A1413" s="34" t="n"/>
      <c r="B1413" s="30" t="n"/>
      <c r="C1413" s="30" t="n"/>
      <c r="D1413" s="30" t="n"/>
      <c r="E1413" s="33">
        <f>IF(B1413="","",IFERROR(INDEX(Productos!$B$2:$B$501,MATCH(B1413,Productos!$A$2:$A$501,0)),"¿Código?"))</f>
        <v/>
      </c>
      <c r="F1413" s="32">
        <f>IF(C1413&lt;&gt;"Venta","",D1413*IFERROR(INDEX(Productos!$D$2:$D$501,MATCH(B1413,Productos!$A$2:$A$501,0)),0))</f>
        <v/>
      </c>
      <c r="G1413" s="32">
        <f>IF(C1413&lt;&gt;"Venta","",D1413*IFERROR(INDEX(Productos!$E$2:$E$501,MATCH(B1413,Productos!$A$2:$A$501,0)),0))</f>
        <v/>
      </c>
      <c r="H1413" s="33">
        <f>IF(A1413="","",MONTH(A1413))</f>
        <v/>
      </c>
      <c r="I1413" s="33">
        <f>IF(A1413="","",YEAR(A1413))</f>
        <v/>
      </c>
    </row>
    <row r="1414" ht="15" customHeight="1" s="21">
      <c r="A1414" s="34" t="n"/>
      <c r="B1414" s="30" t="n"/>
      <c r="C1414" s="30" t="n"/>
      <c r="D1414" s="30" t="n"/>
      <c r="E1414" s="33">
        <f>IF(B1414="","",IFERROR(INDEX(Productos!$B$2:$B$501,MATCH(B1414,Productos!$A$2:$A$501,0)),"¿Código?"))</f>
        <v/>
      </c>
      <c r="F1414" s="32">
        <f>IF(C1414&lt;&gt;"Venta","",D1414*IFERROR(INDEX(Productos!$D$2:$D$501,MATCH(B1414,Productos!$A$2:$A$501,0)),0))</f>
        <v/>
      </c>
      <c r="G1414" s="32">
        <f>IF(C1414&lt;&gt;"Venta","",D1414*IFERROR(INDEX(Productos!$E$2:$E$501,MATCH(B1414,Productos!$A$2:$A$501,0)),0))</f>
        <v/>
      </c>
      <c r="H1414" s="33">
        <f>IF(A1414="","",MONTH(A1414))</f>
        <v/>
      </c>
      <c r="I1414" s="33">
        <f>IF(A1414="","",YEAR(A1414))</f>
        <v/>
      </c>
    </row>
    <row r="1415" ht="15" customHeight="1" s="21">
      <c r="A1415" s="34" t="n"/>
      <c r="B1415" s="30" t="n"/>
      <c r="C1415" s="30" t="n"/>
      <c r="D1415" s="30" t="n"/>
      <c r="E1415" s="33">
        <f>IF(B1415="","",IFERROR(INDEX(Productos!$B$2:$B$501,MATCH(B1415,Productos!$A$2:$A$501,0)),"¿Código?"))</f>
        <v/>
      </c>
      <c r="F1415" s="32">
        <f>IF(C1415&lt;&gt;"Venta","",D1415*IFERROR(INDEX(Productos!$D$2:$D$501,MATCH(B1415,Productos!$A$2:$A$501,0)),0))</f>
        <v/>
      </c>
      <c r="G1415" s="32">
        <f>IF(C1415&lt;&gt;"Venta","",D1415*IFERROR(INDEX(Productos!$E$2:$E$501,MATCH(B1415,Productos!$A$2:$A$501,0)),0))</f>
        <v/>
      </c>
      <c r="H1415" s="33">
        <f>IF(A1415="","",MONTH(A1415))</f>
        <v/>
      </c>
      <c r="I1415" s="33">
        <f>IF(A1415="","",YEAR(A1415))</f>
        <v/>
      </c>
    </row>
    <row r="1416" ht="15" customHeight="1" s="21">
      <c r="A1416" s="34" t="n"/>
      <c r="B1416" s="30" t="n"/>
      <c r="C1416" s="30" t="n"/>
      <c r="D1416" s="30" t="n"/>
      <c r="E1416" s="33">
        <f>IF(B1416="","",IFERROR(INDEX(Productos!$B$2:$B$501,MATCH(B1416,Productos!$A$2:$A$501,0)),"¿Código?"))</f>
        <v/>
      </c>
      <c r="F1416" s="32">
        <f>IF(C1416&lt;&gt;"Venta","",D1416*IFERROR(INDEX(Productos!$D$2:$D$501,MATCH(B1416,Productos!$A$2:$A$501,0)),0))</f>
        <v/>
      </c>
      <c r="G1416" s="32">
        <f>IF(C1416&lt;&gt;"Venta","",D1416*IFERROR(INDEX(Productos!$E$2:$E$501,MATCH(B1416,Productos!$A$2:$A$501,0)),0))</f>
        <v/>
      </c>
      <c r="H1416" s="33">
        <f>IF(A1416="","",MONTH(A1416))</f>
        <v/>
      </c>
      <c r="I1416" s="33">
        <f>IF(A1416="","",YEAR(A1416))</f>
        <v/>
      </c>
    </row>
    <row r="1417" ht="15" customHeight="1" s="21">
      <c r="A1417" s="34" t="n"/>
      <c r="B1417" s="30" t="n"/>
      <c r="C1417" s="30" t="n"/>
      <c r="D1417" s="30" t="n"/>
      <c r="E1417" s="33">
        <f>IF(B1417="","",IFERROR(INDEX(Productos!$B$2:$B$501,MATCH(B1417,Productos!$A$2:$A$501,0)),"¿Código?"))</f>
        <v/>
      </c>
      <c r="F1417" s="32">
        <f>IF(C1417&lt;&gt;"Venta","",D1417*IFERROR(INDEX(Productos!$D$2:$D$501,MATCH(B1417,Productos!$A$2:$A$501,0)),0))</f>
        <v/>
      </c>
      <c r="G1417" s="32">
        <f>IF(C1417&lt;&gt;"Venta","",D1417*IFERROR(INDEX(Productos!$E$2:$E$501,MATCH(B1417,Productos!$A$2:$A$501,0)),0))</f>
        <v/>
      </c>
      <c r="H1417" s="33">
        <f>IF(A1417="","",MONTH(A1417))</f>
        <v/>
      </c>
      <c r="I1417" s="33">
        <f>IF(A1417="","",YEAR(A1417))</f>
        <v/>
      </c>
    </row>
    <row r="1418" ht="15" customHeight="1" s="21">
      <c r="A1418" s="34" t="n"/>
      <c r="B1418" s="30" t="n"/>
      <c r="C1418" s="30" t="n"/>
      <c r="D1418" s="30" t="n"/>
      <c r="E1418" s="33">
        <f>IF(B1418="","",IFERROR(INDEX(Productos!$B$2:$B$501,MATCH(B1418,Productos!$A$2:$A$501,0)),"¿Código?"))</f>
        <v/>
      </c>
      <c r="F1418" s="32">
        <f>IF(C1418&lt;&gt;"Venta","",D1418*IFERROR(INDEX(Productos!$D$2:$D$501,MATCH(B1418,Productos!$A$2:$A$501,0)),0))</f>
        <v/>
      </c>
      <c r="G1418" s="32">
        <f>IF(C1418&lt;&gt;"Venta","",D1418*IFERROR(INDEX(Productos!$E$2:$E$501,MATCH(B1418,Productos!$A$2:$A$501,0)),0))</f>
        <v/>
      </c>
      <c r="H1418" s="33">
        <f>IF(A1418="","",MONTH(A1418))</f>
        <v/>
      </c>
      <c r="I1418" s="33">
        <f>IF(A1418="","",YEAR(A1418))</f>
        <v/>
      </c>
    </row>
    <row r="1419" ht="15" customHeight="1" s="21">
      <c r="A1419" s="34" t="n"/>
      <c r="B1419" s="30" t="n"/>
      <c r="C1419" s="30" t="n"/>
      <c r="D1419" s="30" t="n"/>
      <c r="E1419" s="33">
        <f>IF(B1419="","",IFERROR(INDEX(Productos!$B$2:$B$501,MATCH(B1419,Productos!$A$2:$A$501,0)),"¿Código?"))</f>
        <v/>
      </c>
      <c r="F1419" s="32">
        <f>IF(C1419&lt;&gt;"Venta","",D1419*IFERROR(INDEX(Productos!$D$2:$D$501,MATCH(B1419,Productos!$A$2:$A$501,0)),0))</f>
        <v/>
      </c>
      <c r="G1419" s="32">
        <f>IF(C1419&lt;&gt;"Venta","",D1419*IFERROR(INDEX(Productos!$E$2:$E$501,MATCH(B1419,Productos!$A$2:$A$501,0)),0))</f>
        <v/>
      </c>
      <c r="H1419" s="33">
        <f>IF(A1419="","",MONTH(A1419))</f>
        <v/>
      </c>
      <c r="I1419" s="33">
        <f>IF(A1419="","",YEAR(A1419))</f>
        <v/>
      </c>
    </row>
    <row r="1420" ht="15" customHeight="1" s="21">
      <c r="A1420" s="34" t="n"/>
      <c r="B1420" s="30" t="n"/>
      <c r="C1420" s="30" t="n"/>
      <c r="D1420" s="30" t="n"/>
      <c r="E1420" s="33">
        <f>IF(B1420="","",IFERROR(INDEX(Productos!$B$2:$B$501,MATCH(B1420,Productos!$A$2:$A$501,0)),"¿Código?"))</f>
        <v/>
      </c>
      <c r="F1420" s="32">
        <f>IF(C1420&lt;&gt;"Venta","",D1420*IFERROR(INDEX(Productos!$D$2:$D$501,MATCH(B1420,Productos!$A$2:$A$501,0)),0))</f>
        <v/>
      </c>
      <c r="G1420" s="32">
        <f>IF(C1420&lt;&gt;"Venta","",D1420*IFERROR(INDEX(Productos!$E$2:$E$501,MATCH(B1420,Productos!$A$2:$A$501,0)),0))</f>
        <v/>
      </c>
      <c r="H1420" s="33">
        <f>IF(A1420="","",MONTH(A1420))</f>
        <v/>
      </c>
      <c r="I1420" s="33">
        <f>IF(A1420="","",YEAR(A1420))</f>
        <v/>
      </c>
    </row>
    <row r="1421" ht="15" customHeight="1" s="21">
      <c r="A1421" s="34" t="n"/>
      <c r="B1421" s="30" t="n"/>
      <c r="C1421" s="30" t="n"/>
      <c r="D1421" s="30" t="n"/>
      <c r="E1421" s="33">
        <f>IF(B1421="","",IFERROR(INDEX(Productos!$B$2:$B$501,MATCH(B1421,Productos!$A$2:$A$501,0)),"¿Código?"))</f>
        <v/>
      </c>
      <c r="F1421" s="32">
        <f>IF(C1421&lt;&gt;"Venta","",D1421*IFERROR(INDEX(Productos!$D$2:$D$501,MATCH(B1421,Productos!$A$2:$A$501,0)),0))</f>
        <v/>
      </c>
      <c r="G1421" s="32">
        <f>IF(C1421&lt;&gt;"Venta","",D1421*IFERROR(INDEX(Productos!$E$2:$E$501,MATCH(B1421,Productos!$A$2:$A$501,0)),0))</f>
        <v/>
      </c>
      <c r="H1421" s="33">
        <f>IF(A1421="","",MONTH(A1421))</f>
        <v/>
      </c>
      <c r="I1421" s="33">
        <f>IF(A1421="","",YEAR(A1421))</f>
        <v/>
      </c>
    </row>
    <row r="1422" ht="15" customHeight="1" s="21">
      <c r="A1422" s="34" t="n"/>
      <c r="B1422" s="30" t="n"/>
      <c r="C1422" s="30" t="n"/>
      <c r="D1422" s="30" t="n"/>
      <c r="E1422" s="33">
        <f>IF(B1422="","",IFERROR(INDEX(Productos!$B$2:$B$501,MATCH(B1422,Productos!$A$2:$A$501,0)),"¿Código?"))</f>
        <v/>
      </c>
      <c r="F1422" s="32">
        <f>IF(C1422&lt;&gt;"Venta","",D1422*IFERROR(INDEX(Productos!$D$2:$D$501,MATCH(B1422,Productos!$A$2:$A$501,0)),0))</f>
        <v/>
      </c>
      <c r="G1422" s="32">
        <f>IF(C1422&lt;&gt;"Venta","",D1422*IFERROR(INDEX(Productos!$E$2:$E$501,MATCH(B1422,Productos!$A$2:$A$501,0)),0))</f>
        <v/>
      </c>
      <c r="H1422" s="33">
        <f>IF(A1422="","",MONTH(A1422))</f>
        <v/>
      </c>
      <c r="I1422" s="33">
        <f>IF(A1422="","",YEAR(A1422))</f>
        <v/>
      </c>
    </row>
    <row r="1423" ht="15" customHeight="1" s="21">
      <c r="A1423" s="34" t="n"/>
      <c r="B1423" s="30" t="n"/>
      <c r="C1423" s="30" t="n"/>
      <c r="D1423" s="30" t="n"/>
      <c r="E1423" s="33">
        <f>IF(B1423="","",IFERROR(INDEX(Productos!$B$2:$B$501,MATCH(B1423,Productos!$A$2:$A$501,0)),"¿Código?"))</f>
        <v/>
      </c>
      <c r="F1423" s="32">
        <f>IF(C1423&lt;&gt;"Venta","",D1423*IFERROR(INDEX(Productos!$D$2:$D$501,MATCH(B1423,Productos!$A$2:$A$501,0)),0))</f>
        <v/>
      </c>
      <c r="G1423" s="32">
        <f>IF(C1423&lt;&gt;"Venta","",D1423*IFERROR(INDEX(Productos!$E$2:$E$501,MATCH(B1423,Productos!$A$2:$A$501,0)),0))</f>
        <v/>
      </c>
      <c r="H1423" s="33">
        <f>IF(A1423="","",MONTH(A1423))</f>
        <v/>
      </c>
      <c r="I1423" s="33">
        <f>IF(A1423="","",YEAR(A1423))</f>
        <v/>
      </c>
    </row>
    <row r="1424" ht="15" customHeight="1" s="21">
      <c r="A1424" s="34" t="n"/>
      <c r="B1424" s="30" t="n"/>
      <c r="C1424" s="30" t="n"/>
      <c r="D1424" s="30" t="n"/>
      <c r="E1424" s="33">
        <f>IF(B1424="","",IFERROR(INDEX(Productos!$B$2:$B$501,MATCH(B1424,Productos!$A$2:$A$501,0)),"¿Código?"))</f>
        <v/>
      </c>
      <c r="F1424" s="32">
        <f>IF(C1424&lt;&gt;"Venta","",D1424*IFERROR(INDEX(Productos!$D$2:$D$501,MATCH(B1424,Productos!$A$2:$A$501,0)),0))</f>
        <v/>
      </c>
      <c r="G1424" s="32">
        <f>IF(C1424&lt;&gt;"Venta","",D1424*IFERROR(INDEX(Productos!$E$2:$E$501,MATCH(B1424,Productos!$A$2:$A$501,0)),0))</f>
        <v/>
      </c>
      <c r="H1424" s="33">
        <f>IF(A1424="","",MONTH(A1424))</f>
        <v/>
      </c>
      <c r="I1424" s="33">
        <f>IF(A1424="","",YEAR(A1424))</f>
        <v/>
      </c>
    </row>
    <row r="1425" ht="15" customHeight="1" s="21">
      <c r="A1425" s="34" t="n"/>
      <c r="B1425" s="30" t="n"/>
      <c r="C1425" s="30" t="n"/>
      <c r="D1425" s="30" t="n"/>
      <c r="E1425" s="33">
        <f>IF(B1425="","",IFERROR(INDEX(Productos!$B$2:$B$501,MATCH(B1425,Productos!$A$2:$A$501,0)),"¿Código?"))</f>
        <v/>
      </c>
      <c r="F1425" s="32">
        <f>IF(C1425&lt;&gt;"Venta","",D1425*IFERROR(INDEX(Productos!$D$2:$D$501,MATCH(B1425,Productos!$A$2:$A$501,0)),0))</f>
        <v/>
      </c>
      <c r="G1425" s="32">
        <f>IF(C1425&lt;&gt;"Venta","",D1425*IFERROR(INDEX(Productos!$E$2:$E$501,MATCH(B1425,Productos!$A$2:$A$501,0)),0))</f>
        <v/>
      </c>
      <c r="H1425" s="33">
        <f>IF(A1425="","",MONTH(A1425))</f>
        <v/>
      </c>
      <c r="I1425" s="33">
        <f>IF(A1425="","",YEAR(A1425))</f>
        <v/>
      </c>
    </row>
    <row r="1426" ht="15" customHeight="1" s="21">
      <c r="A1426" s="34" t="n"/>
      <c r="B1426" s="30" t="n"/>
      <c r="C1426" s="30" t="n"/>
      <c r="D1426" s="30" t="n"/>
      <c r="E1426" s="33">
        <f>IF(B1426="","",IFERROR(INDEX(Productos!$B$2:$B$501,MATCH(B1426,Productos!$A$2:$A$501,0)),"¿Código?"))</f>
        <v/>
      </c>
      <c r="F1426" s="32">
        <f>IF(C1426&lt;&gt;"Venta","",D1426*IFERROR(INDEX(Productos!$D$2:$D$501,MATCH(B1426,Productos!$A$2:$A$501,0)),0))</f>
        <v/>
      </c>
      <c r="G1426" s="32">
        <f>IF(C1426&lt;&gt;"Venta","",D1426*IFERROR(INDEX(Productos!$E$2:$E$501,MATCH(B1426,Productos!$A$2:$A$501,0)),0))</f>
        <v/>
      </c>
      <c r="H1426" s="33">
        <f>IF(A1426="","",MONTH(A1426))</f>
        <v/>
      </c>
      <c r="I1426" s="33">
        <f>IF(A1426="","",YEAR(A1426))</f>
        <v/>
      </c>
    </row>
    <row r="1427" ht="15" customHeight="1" s="21">
      <c r="A1427" s="34" t="n"/>
      <c r="B1427" s="30" t="n"/>
      <c r="C1427" s="30" t="n"/>
      <c r="D1427" s="30" t="n"/>
      <c r="E1427" s="33">
        <f>IF(B1427="","",IFERROR(INDEX(Productos!$B$2:$B$501,MATCH(B1427,Productos!$A$2:$A$501,0)),"¿Código?"))</f>
        <v/>
      </c>
      <c r="F1427" s="32">
        <f>IF(C1427&lt;&gt;"Venta","",D1427*IFERROR(INDEX(Productos!$D$2:$D$501,MATCH(B1427,Productos!$A$2:$A$501,0)),0))</f>
        <v/>
      </c>
      <c r="G1427" s="32">
        <f>IF(C1427&lt;&gt;"Venta","",D1427*IFERROR(INDEX(Productos!$E$2:$E$501,MATCH(B1427,Productos!$A$2:$A$501,0)),0))</f>
        <v/>
      </c>
      <c r="H1427" s="33">
        <f>IF(A1427="","",MONTH(A1427))</f>
        <v/>
      </c>
      <c r="I1427" s="33">
        <f>IF(A1427="","",YEAR(A1427))</f>
        <v/>
      </c>
    </row>
    <row r="1428" ht="15" customHeight="1" s="21">
      <c r="A1428" s="34" t="n"/>
      <c r="B1428" s="30" t="n"/>
      <c r="C1428" s="30" t="n"/>
      <c r="D1428" s="30" t="n"/>
      <c r="E1428" s="33">
        <f>IF(B1428="","",IFERROR(INDEX(Productos!$B$2:$B$501,MATCH(B1428,Productos!$A$2:$A$501,0)),"¿Código?"))</f>
        <v/>
      </c>
      <c r="F1428" s="32">
        <f>IF(C1428&lt;&gt;"Venta","",D1428*IFERROR(INDEX(Productos!$D$2:$D$501,MATCH(B1428,Productos!$A$2:$A$501,0)),0))</f>
        <v/>
      </c>
      <c r="G1428" s="32">
        <f>IF(C1428&lt;&gt;"Venta","",D1428*IFERROR(INDEX(Productos!$E$2:$E$501,MATCH(B1428,Productos!$A$2:$A$501,0)),0))</f>
        <v/>
      </c>
      <c r="H1428" s="33">
        <f>IF(A1428="","",MONTH(A1428))</f>
        <v/>
      </c>
      <c r="I1428" s="33">
        <f>IF(A1428="","",YEAR(A1428))</f>
        <v/>
      </c>
    </row>
    <row r="1429" ht="15" customHeight="1" s="21">
      <c r="A1429" s="34" t="n"/>
      <c r="B1429" s="30" t="n"/>
      <c r="C1429" s="30" t="n"/>
      <c r="D1429" s="30" t="n"/>
      <c r="E1429" s="33">
        <f>IF(B1429="","",IFERROR(INDEX(Productos!$B$2:$B$501,MATCH(B1429,Productos!$A$2:$A$501,0)),"¿Código?"))</f>
        <v/>
      </c>
      <c r="F1429" s="32">
        <f>IF(C1429&lt;&gt;"Venta","",D1429*IFERROR(INDEX(Productos!$D$2:$D$501,MATCH(B1429,Productos!$A$2:$A$501,0)),0))</f>
        <v/>
      </c>
      <c r="G1429" s="32">
        <f>IF(C1429&lt;&gt;"Venta","",D1429*IFERROR(INDEX(Productos!$E$2:$E$501,MATCH(B1429,Productos!$A$2:$A$501,0)),0))</f>
        <v/>
      </c>
      <c r="H1429" s="33">
        <f>IF(A1429="","",MONTH(A1429))</f>
        <v/>
      </c>
      <c r="I1429" s="33">
        <f>IF(A1429="","",YEAR(A1429))</f>
        <v/>
      </c>
    </row>
    <row r="1430" ht="15" customHeight="1" s="21">
      <c r="A1430" s="34" t="n"/>
      <c r="B1430" s="30" t="n"/>
      <c r="C1430" s="30" t="n"/>
      <c r="D1430" s="30" t="n"/>
      <c r="E1430" s="33">
        <f>IF(B1430="","",IFERROR(INDEX(Productos!$B$2:$B$501,MATCH(B1430,Productos!$A$2:$A$501,0)),"¿Código?"))</f>
        <v/>
      </c>
      <c r="F1430" s="32">
        <f>IF(C1430&lt;&gt;"Venta","",D1430*IFERROR(INDEX(Productos!$D$2:$D$501,MATCH(B1430,Productos!$A$2:$A$501,0)),0))</f>
        <v/>
      </c>
      <c r="G1430" s="32">
        <f>IF(C1430&lt;&gt;"Venta","",D1430*IFERROR(INDEX(Productos!$E$2:$E$501,MATCH(B1430,Productos!$A$2:$A$501,0)),0))</f>
        <v/>
      </c>
      <c r="H1430" s="33">
        <f>IF(A1430="","",MONTH(A1430))</f>
        <v/>
      </c>
      <c r="I1430" s="33">
        <f>IF(A1430="","",YEAR(A1430))</f>
        <v/>
      </c>
    </row>
    <row r="1431" ht="15" customHeight="1" s="21">
      <c r="A1431" s="34" t="n"/>
      <c r="B1431" s="30" t="n"/>
      <c r="C1431" s="30" t="n"/>
      <c r="D1431" s="30" t="n"/>
      <c r="E1431" s="33">
        <f>IF(B1431="","",IFERROR(INDEX(Productos!$B$2:$B$501,MATCH(B1431,Productos!$A$2:$A$501,0)),"¿Código?"))</f>
        <v/>
      </c>
      <c r="F1431" s="32">
        <f>IF(C1431&lt;&gt;"Venta","",D1431*IFERROR(INDEX(Productos!$D$2:$D$501,MATCH(B1431,Productos!$A$2:$A$501,0)),0))</f>
        <v/>
      </c>
      <c r="G1431" s="32">
        <f>IF(C1431&lt;&gt;"Venta","",D1431*IFERROR(INDEX(Productos!$E$2:$E$501,MATCH(B1431,Productos!$A$2:$A$501,0)),0))</f>
        <v/>
      </c>
      <c r="H1431" s="33">
        <f>IF(A1431="","",MONTH(A1431))</f>
        <v/>
      </c>
      <c r="I1431" s="33">
        <f>IF(A1431="","",YEAR(A1431))</f>
        <v/>
      </c>
    </row>
    <row r="1432" ht="15" customHeight="1" s="21">
      <c r="A1432" s="34" t="n"/>
      <c r="B1432" s="30" t="n"/>
      <c r="C1432" s="30" t="n"/>
      <c r="D1432" s="30" t="n"/>
      <c r="E1432" s="33">
        <f>IF(B1432="","",IFERROR(INDEX(Productos!$B$2:$B$501,MATCH(B1432,Productos!$A$2:$A$501,0)),"¿Código?"))</f>
        <v/>
      </c>
      <c r="F1432" s="32">
        <f>IF(C1432&lt;&gt;"Venta","",D1432*IFERROR(INDEX(Productos!$D$2:$D$501,MATCH(B1432,Productos!$A$2:$A$501,0)),0))</f>
        <v/>
      </c>
      <c r="G1432" s="32">
        <f>IF(C1432&lt;&gt;"Venta","",D1432*IFERROR(INDEX(Productos!$E$2:$E$501,MATCH(B1432,Productos!$A$2:$A$501,0)),0))</f>
        <v/>
      </c>
      <c r="H1432" s="33">
        <f>IF(A1432="","",MONTH(A1432))</f>
        <v/>
      </c>
      <c r="I1432" s="33">
        <f>IF(A1432="","",YEAR(A1432))</f>
        <v/>
      </c>
    </row>
    <row r="1433" ht="15" customHeight="1" s="21">
      <c r="A1433" s="34" t="n"/>
      <c r="B1433" s="30" t="n"/>
      <c r="C1433" s="30" t="n"/>
      <c r="D1433" s="30" t="n"/>
      <c r="E1433" s="33">
        <f>IF(B1433="","",IFERROR(INDEX(Productos!$B$2:$B$501,MATCH(B1433,Productos!$A$2:$A$501,0)),"¿Código?"))</f>
        <v/>
      </c>
      <c r="F1433" s="32">
        <f>IF(C1433&lt;&gt;"Venta","",D1433*IFERROR(INDEX(Productos!$D$2:$D$501,MATCH(B1433,Productos!$A$2:$A$501,0)),0))</f>
        <v/>
      </c>
      <c r="G1433" s="32">
        <f>IF(C1433&lt;&gt;"Venta","",D1433*IFERROR(INDEX(Productos!$E$2:$E$501,MATCH(B1433,Productos!$A$2:$A$501,0)),0))</f>
        <v/>
      </c>
      <c r="H1433" s="33">
        <f>IF(A1433="","",MONTH(A1433))</f>
        <v/>
      </c>
      <c r="I1433" s="33">
        <f>IF(A1433="","",YEAR(A1433))</f>
        <v/>
      </c>
    </row>
    <row r="1434" ht="15" customHeight="1" s="21">
      <c r="A1434" s="34" t="n"/>
      <c r="B1434" s="30" t="n"/>
      <c r="C1434" s="30" t="n"/>
      <c r="D1434" s="30" t="n"/>
      <c r="E1434" s="33">
        <f>IF(B1434="","",IFERROR(INDEX(Productos!$B$2:$B$501,MATCH(B1434,Productos!$A$2:$A$501,0)),"¿Código?"))</f>
        <v/>
      </c>
      <c r="F1434" s="32">
        <f>IF(C1434&lt;&gt;"Venta","",D1434*IFERROR(INDEX(Productos!$D$2:$D$501,MATCH(B1434,Productos!$A$2:$A$501,0)),0))</f>
        <v/>
      </c>
      <c r="G1434" s="32">
        <f>IF(C1434&lt;&gt;"Venta","",D1434*IFERROR(INDEX(Productos!$E$2:$E$501,MATCH(B1434,Productos!$A$2:$A$501,0)),0))</f>
        <v/>
      </c>
      <c r="H1434" s="33">
        <f>IF(A1434="","",MONTH(A1434))</f>
        <v/>
      </c>
      <c r="I1434" s="33">
        <f>IF(A1434="","",YEAR(A1434))</f>
        <v/>
      </c>
    </row>
    <row r="1435" ht="15" customHeight="1" s="21">
      <c r="A1435" s="34" t="n"/>
      <c r="B1435" s="30" t="n"/>
      <c r="C1435" s="30" t="n"/>
      <c r="D1435" s="30" t="n"/>
      <c r="E1435" s="33">
        <f>IF(B1435="","",IFERROR(INDEX(Productos!$B$2:$B$501,MATCH(B1435,Productos!$A$2:$A$501,0)),"¿Código?"))</f>
        <v/>
      </c>
      <c r="F1435" s="32">
        <f>IF(C1435&lt;&gt;"Venta","",D1435*IFERROR(INDEX(Productos!$D$2:$D$501,MATCH(B1435,Productos!$A$2:$A$501,0)),0))</f>
        <v/>
      </c>
      <c r="G1435" s="32">
        <f>IF(C1435&lt;&gt;"Venta","",D1435*IFERROR(INDEX(Productos!$E$2:$E$501,MATCH(B1435,Productos!$A$2:$A$501,0)),0))</f>
        <v/>
      </c>
      <c r="H1435" s="33">
        <f>IF(A1435="","",MONTH(A1435))</f>
        <v/>
      </c>
      <c r="I1435" s="33">
        <f>IF(A1435="","",YEAR(A1435))</f>
        <v/>
      </c>
    </row>
    <row r="1436" ht="15" customHeight="1" s="21">
      <c r="A1436" s="34" t="n"/>
      <c r="B1436" s="30" t="n"/>
      <c r="C1436" s="30" t="n"/>
      <c r="D1436" s="30" t="n"/>
      <c r="E1436" s="33">
        <f>IF(B1436="","",IFERROR(INDEX(Productos!$B$2:$B$501,MATCH(B1436,Productos!$A$2:$A$501,0)),"¿Código?"))</f>
        <v/>
      </c>
      <c r="F1436" s="32">
        <f>IF(C1436&lt;&gt;"Venta","",D1436*IFERROR(INDEX(Productos!$D$2:$D$501,MATCH(B1436,Productos!$A$2:$A$501,0)),0))</f>
        <v/>
      </c>
      <c r="G1436" s="32">
        <f>IF(C1436&lt;&gt;"Venta","",D1436*IFERROR(INDEX(Productos!$E$2:$E$501,MATCH(B1436,Productos!$A$2:$A$501,0)),0))</f>
        <v/>
      </c>
      <c r="H1436" s="33">
        <f>IF(A1436="","",MONTH(A1436))</f>
        <v/>
      </c>
      <c r="I1436" s="33">
        <f>IF(A1436="","",YEAR(A1436))</f>
        <v/>
      </c>
    </row>
    <row r="1437" ht="15" customHeight="1" s="21">
      <c r="A1437" s="34" t="n"/>
      <c r="B1437" s="30" t="n"/>
      <c r="C1437" s="30" t="n"/>
      <c r="D1437" s="30" t="n"/>
      <c r="E1437" s="33">
        <f>IF(B1437="","",IFERROR(INDEX(Productos!$B$2:$B$501,MATCH(B1437,Productos!$A$2:$A$501,0)),"¿Código?"))</f>
        <v/>
      </c>
      <c r="F1437" s="32">
        <f>IF(C1437&lt;&gt;"Venta","",D1437*IFERROR(INDEX(Productos!$D$2:$D$501,MATCH(B1437,Productos!$A$2:$A$501,0)),0))</f>
        <v/>
      </c>
      <c r="G1437" s="32">
        <f>IF(C1437&lt;&gt;"Venta","",D1437*IFERROR(INDEX(Productos!$E$2:$E$501,MATCH(B1437,Productos!$A$2:$A$501,0)),0))</f>
        <v/>
      </c>
      <c r="H1437" s="33">
        <f>IF(A1437="","",MONTH(A1437))</f>
        <v/>
      </c>
      <c r="I1437" s="33">
        <f>IF(A1437="","",YEAR(A1437))</f>
        <v/>
      </c>
    </row>
    <row r="1438" ht="15" customHeight="1" s="21">
      <c r="A1438" s="34" t="n"/>
      <c r="B1438" s="30" t="n"/>
      <c r="C1438" s="30" t="n"/>
      <c r="D1438" s="30" t="n"/>
      <c r="E1438" s="33">
        <f>IF(B1438="","",IFERROR(INDEX(Productos!$B$2:$B$501,MATCH(B1438,Productos!$A$2:$A$501,0)),"¿Código?"))</f>
        <v/>
      </c>
      <c r="F1438" s="32">
        <f>IF(C1438&lt;&gt;"Venta","",D1438*IFERROR(INDEX(Productos!$D$2:$D$501,MATCH(B1438,Productos!$A$2:$A$501,0)),0))</f>
        <v/>
      </c>
      <c r="G1438" s="32">
        <f>IF(C1438&lt;&gt;"Venta","",D1438*IFERROR(INDEX(Productos!$E$2:$E$501,MATCH(B1438,Productos!$A$2:$A$501,0)),0))</f>
        <v/>
      </c>
      <c r="H1438" s="33">
        <f>IF(A1438="","",MONTH(A1438))</f>
        <v/>
      </c>
      <c r="I1438" s="33">
        <f>IF(A1438="","",YEAR(A1438))</f>
        <v/>
      </c>
    </row>
    <row r="1439" ht="15" customHeight="1" s="21">
      <c r="A1439" s="34" t="n"/>
      <c r="B1439" s="30" t="n"/>
      <c r="C1439" s="30" t="n"/>
      <c r="D1439" s="30" t="n"/>
      <c r="E1439" s="33">
        <f>IF(B1439="","",IFERROR(INDEX(Productos!$B$2:$B$501,MATCH(B1439,Productos!$A$2:$A$501,0)),"¿Código?"))</f>
        <v/>
      </c>
      <c r="F1439" s="32">
        <f>IF(C1439&lt;&gt;"Venta","",D1439*IFERROR(INDEX(Productos!$D$2:$D$501,MATCH(B1439,Productos!$A$2:$A$501,0)),0))</f>
        <v/>
      </c>
      <c r="G1439" s="32">
        <f>IF(C1439&lt;&gt;"Venta","",D1439*IFERROR(INDEX(Productos!$E$2:$E$501,MATCH(B1439,Productos!$A$2:$A$501,0)),0))</f>
        <v/>
      </c>
      <c r="H1439" s="33">
        <f>IF(A1439="","",MONTH(A1439))</f>
        <v/>
      </c>
      <c r="I1439" s="33">
        <f>IF(A1439="","",YEAR(A1439))</f>
        <v/>
      </c>
    </row>
    <row r="1440" ht="15" customHeight="1" s="21">
      <c r="A1440" s="34" t="n"/>
      <c r="B1440" s="30" t="n"/>
      <c r="C1440" s="30" t="n"/>
      <c r="D1440" s="30" t="n"/>
      <c r="E1440" s="33">
        <f>IF(B1440="","",IFERROR(INDEX(Productos!$B$2:$B$501,MATCH(B1440,Productos!$A$2:$A$501,0)),"¿Código?"))</f>
        <v/>
      </c>
      <c r="F1440" s="32">
        <f>IF(C1440&lt;&gt;"Venta","",D1440*IFERROR(INDEX(Productos!$D$2:$D$501,MATCH(B1440,Productos!$A$2:$A$501,0)),0))</f>
        <v/>
      </c>
      <c r="G1440" s="32">
        <f>IF(C1440&lt;&gt;"Venta","",D1440*IFERROR(INDEX(Productos!$E$2:$E$501,MATCH(B1440,Productos!$A$2:$A$501,0)),0))</f>
        <v/>
      </c>
      <c r="H1440" s="33">
        <f>IF(A1440="","",MONTH(A1440))</f>
        <v/>
      </c>
      <c r="I1440" s="33">
        <f>IF(A1440="","",YEAR(A1440))</f>
        <v/>
      </c>
    </row>
    <row r="1441" ht="15" customHeight="1" s="21">
      <c r="A1441" s="34" t="n"/>
      <c r="B1441" s="30" t="n"/>
      <c r="C1441" s="30" t="n"/>
      <c r="D1441" s="30" t="n"/>
      <c r="E1441" s="33">
        <f>IF(B1441="","",IFERROR(INDEX(Productos!$B$2:$B$501,MATCH(B1441,Productos!$A$2:$A$501,0)),"¿Código?"))</f>
        <v/>
      </c>
      <c r="F1441" s="32">
        <f>IF(C1441&lt;&gt;"Venta","",D1441*IFERROR(INDEX(Productos!$D$2:$D$501,MATCH(B1441,Productos!$A$2:$A$501,0)),0))</f>
        <v/>
      </c>
      <c r="G1441" s="32">
        <f>IF(C1441&lt;&gt;"Venta","",D1441*IFERROR(INDEX(Productos!$E$2:$E$501,MATCH(B1441,Productos!$A$2:$A$501,0)),0))</f>
        <v/>
      </c>
      <c r="H1441" s="33">
        <f>IF(A1441="","",MONTH(A1441))</f>
        <v/>
      </c>
      <c r="I1441" s="33">
        <f>IF(A1441="","",YEAR(A1441))</f>
        <v/>
      </c>
    </row>
    <row r="1442" ht="15" customHeight="1" s="21">
      <c r="A1442" s="34" t="n"/>
      <c r="B1442" s="30" t="n"/>
      <c r="C1442" s="30" t="n"/>
      <c r="D1442" s="30" t="n"/>
      <c r="E1442" s="33">
        <f>IF(B1442="","",IFERROR(INDEX(Productos!$B$2:$B$501,MATCH(B1442,Productos!$A$2:$A$501,0)),"¿Código?"))</f>
        <v/>
      </c>
      <c r="F1442" s="32">
        <f>IF(C1442&lt;&gt;"Venta","",D1442*IFERROR(INDEX(Productos!$D$2:$D$501,MATCH(B1442,Productos!$A$2:$A$501,0)),0))</f>
        <v/>
      </c>
      <c r="G1442" s="32">
        <f>IF(C1442&lt;&gt;"Venta","",D1442*IFERROR(INDEX(Productos!$E$2:$E$501,MATCH(B1442,Productos!$A$2:$A$501,0)),0))</f>
        <v/>
      </c>
      <c r="H1442" s="33">
        <f>IF(A1442="","",MONTH(A1442))</f>
        <v/>
      </c>
      <c r="I1442" s="33">
        <f>IF(A1442="","",YEAR(A1442))</f>
        <v/>
      </c>
    </row>
    <row r="1443" ht="15" customHeight="1" s="21">
      <c r="A1443" s="34" t="n"/>
      <c r="B1443" s="30" t="n"/>
      <c r="C1443" s="30" t="n"/>
      <c r="D1443" s="30" t="n"/>
      <c r="E1443" s="33">
        <f>IF(B1443="","",IFERROR(INDEX(Productos!$B$2:$B$501,MATCH(B1443,Productos!$A$2:$A$501,0)),"¿Código?"))</f>
        <v/>
      </c>
      <c r="F1443" s="32">
        <f>IF(C1443&lt;&gt;"Venta","",D1443*IFERROR(INDEX(Productos!$D$2:$D$501,MATCH(B1443,Productos!$A$2:$A$501,0)),0))</f>
        <v/>
      </c>
      <c r="G1443" s="32">
        <f>IF(C1443&lt;&gt;"Venta","",D1443*IFERROR(INDEX(Productos!$E$2:$E$501,MATCH(B1443,Productos!$A$2:$A$501,0)),0))</f>
        <v/>
      </c>
      <c r="H1443" s="33">
        <f>IF(A1443="","",MONTH(A1443))</f>
        <v/>
      </c>
      <c r="I1443" s="33">
        <f>IF(A1443="","",YEAR(A1443))</f>
        <v/>
      </c>
    </row>
    <row r="1444" ht="15" customHeight="1" s="21">
      <c r="A1444" s="34" t="n"/>
      <c r="B1444" s="30" t="n"/>
      <c r="C1444" s="30" t="n"/>
      <c r="D1444" s="30" t="n"/>
      <c r="E1444" s="33">
        <f>IF(B1444="","",IFERROR(INDEX(Productos!$B$2:$B$501,MATCH(B1444,Productos!$A$2:$A$501,0)),"¿Código?"))</f>
        <v/>
      </c>
      <c r="F1444" s="32">
        <f>IF(C1444&lt;&gt;"Venta","",D1444*IFERROR(INDEX(Productos!$D$2:$D$501,MATCH(B1444,Productos!$A$2:$A$501,0)),0))</f>
        <v/>
      </c>
      <c r="G1444" s="32">
        <f>IF(C1444&lt;&gt;"Venta","",D1444*IFERROR(INDEX(Productos!$E$2:$E$501,MATCH(B1444,Productos!$A$2:$A$501,0)),0))</f>
        <v/>
      </c>
      <c r="H1444" s="33">
        <f>IF(A1444="","",MONTH(A1444))</f>
        <v/>
      </c>
      <c r="I1444" s="33">
        <f>IF(A1444="","",YEAR(A1444))</f>
        <v/>
      </c>
    </row>
    <row r="1445" ht="15" customHeight="1" s="21">
      <c r="A1445" s="34" t="n"/>
      <c r="B1445" s="30" t="n"/>
      <c r="C1445" s="30" t="n"/>
      <c r="D1445" s="30" t="n"/>
      <c r="E1445" s="33">
        <f>IF(B1445="","",IFERROR(INDEX(Productos!$B$2:$B$501,MATCH(B1445,Productos!$A$2:$A$501,0)),"¿Código?"))</f>
        <v/>
      </c>
      <c r="F1445" s="32">
        <f>IF(C1445&lt;&gt;"Venta","",D1445*IFERROR(INDEX(Productos!$D$2:$D$501,MATCH(B1445,Productos!$A$2:$A$501,0)),0))</f>
        <v/>
      </c>
      <c r="G1445" s="32">
        <f>IF(C1445&lt;&gt;"Venta","",D1445*IFERROR(INDEX(Productos!$E$2:$E$501,MATCH(B1445,Productos!$A$2:$A$501,0)),0))</f>
        <v/>
      </c>
      <c r="H1445" s="33">
        <f>IF(A1445="","",MONTH(A1445))</f>
        <v/>
      </c>
      <c r="I1445" s="33">
        <f>IF(A1445="","",YEAR(A1445))</f>
        <v/>
      </c>
    </row>
    <row r="1446" ht="15" customHeight="1" s="21">
      <c r="A1446" s="34" t="n"/>
      <c r="B1446" s="30" t="n"/>
      <c r="C1446" s="30" t="n"/>
      <c r="D1446" s="30" t="n"/>
      <c r="E1446" s="33">
        <f>IF(B1446="","",IFERROR(INDEX(Productos!$B$2:$B$501,MATCH(B1446,Productos!$A$2:$A$501,0)),"¿Código?"))</f>
        <v/>
      </c>
      <c r="F1446" s="32">
        <f>IF(C1446&lt;&gt;"Venta","",D1446*IFERROR(INDEX(Productos!$D$2:$D$501,MATCH(B1446,Productos!$A$2:$A$501,0)),0))</f>
        <v/>
      </c>
      <c r="G1446" s="32">
        <f>IF(C1446&lt;&gt;"Venta","",D1446*IFERROR(INDEX(Productos!$E$2:$E$501,MATCH(B1446,Productos!$A$2:$A$501,0)),0))</f>
        <v/>
      </c>
      <c r="H1446" s="33">
        <f>IF(A1446="","",MONTH(A1446))</f>
        <v/>
      </c>
      <c r="I1446" s="33">
        <f>IF(A1446="","",YEAR(A1446))</f>
        <v/>
      </c>
    </row>
    <row r="1447" ht="15" customHeight="1" s="21">
      <c r="A1447" s="34" t="n"/>
      <c r="B1447" s="30" t="n"/>
      <c r="C1447" s="30" t="n"/>
      <c r="D1447" s="30" t="n"/>
      <c r="E1447" s="33">
        <f>IF(B1447="","",IFERROR(INDEX(Productos!$B$2:$B$501,MATCH(B1447,Productos!$A$2:$A$501,0)),"¿Código?"))</f>
        <v/>
      </c>
      <c r="F1447" s="32">
        <f>IF(C1447&lt;&gt;"Venta","",D1447*IFERROR(INDEX(Productos!$D$2:$D$501,MATCH(B1447,Productos!$A$2:$A$501,0)),0))</f>
        <v/>
      </c>
      <c r="G1447" s="32">
        <f>IF(C1447&lt;&gt;"Venta","",D1447*IFERROR(INDEX(Productos!$E$2:$E$501,MATCH(B1447,Productos!$A$2:$A$501,0)),0))</f>
        <v/>
      </c>
      <c r="H1447" s="33">
        <f>IF(A1447="","",MONTH(A1447))</f>
        <v/>
      </c>
      <c r="I1447" s="33">
        <f>IF(A1447="","",YEAR(A1447))</f>
        <v/>
      </c>
    </row>
    <row r="1448" ht="15" customHeight="1" s="21">
      <c r="A1448" s="34" t="n"/>
      <c r="B1448" s="30" t="n"/>
      <c r="C1448" s="30" t="n"/>
      <c r="D1448" s="30" t="n"/>
      <c r="E1448" s="33">
        <f>IF(B1448="","",IFERROR(INDEX(Productos!$B$2:$B$501,MATCH(B1448,Productos!$A$2:$A$501,0)),"¿Código?"))</f>
        <v/>
      </c>
      <c r="F1448" s="32">
        <f>IF(C1448&lt;&gt;"Venta","",D1448*IFERROR(INDEX(Productos!$D$2:$D$501,MATCH(B1448,Productos!$A$2:$A$501,0)),0))</f>
        <v/>
      </c>
      <c r="G1448" s="32">
        <f>IF(C1448&lt;&gt;"Venta","",D1448*IFERROR(INDEX(Productos!$E$2:$E$501,MATCH(B1448,Productos!$A$2:$A$501,0)),0))</f>
        <v/>
      </c>
      <c r="H1448" s="33">
        <f>IF(A1448="","",MONTH(A1448))</f>
        <v/>
      </c>
      <c r="I1448" s="33">
        <f>IF(A1448="","",YEAR(A1448))</f>
        <v/>
      </c>
    </row>
    <row r="1449" ht="15" customHeight="1" s="21">
      <c r="A1449" s="34" t="n"/>
      <c r="B1449" s="30" t="n"/>
      <c r="C1449" s="30" t="n"/>
      <c r="D1449" s="30" t="n"/>
      <c r="E1449" s="33">
        <f>IF(B1449="","",IFERROR(INDEX(Productos!$B$2:$B$501,MATCH(B1449,Productos!$A$2:$A$501,0)),"¿Código?"))</f>
        <v/>
      </c>
      <c r="F1449" s="32">
        <f>IF(C1449&lt;&gt;"Venta","",D1449*IFERROR(INDEX(Productos!$D$2:$D$501,MATCH(B1449,Productos!$A$2:$A$501,0)),0))</f>
        <v/>
      </c>
      <c r="G1449" s="32">
        <f>IF(C1449&lt;&gt;"Venta","",D1449*IFERROR(INDEX(Productos!$E$2:$E$501,MATCH(B1449,Productos!$A$2:$A$501,0)),0))</f>
        <v/>
      </c>
      <c r="H1449" s="33">
        <f>IF(A1449="","",MONTH(A1449))</f>
        <v/>
      </c>
      <c r="I1449" s="33">
        <f>IF(A1449="","",YEAR(A1449))</f>
        <v/>
      </c>
    </row>
    <row r="1450" ht="15" customHeight="1" s="21">
      <c r="A1450" s="34" t="n"/>
      <c r="B1450" s="30" t="n"/>
      <c r="C1450" s="30" t="n"/>
      <c r="D1450" s="30" t="n"/>
      <c r="E1450" s="33">
        <f>IF(B1450="","",IFERROR(INDEX(Productos!$B$2:$B$501,MATCH(B1450,Productos!$A$2:$A$501,0)),"¿Código?"))</f>
        <v/>
      </c>
      <c r="F1450" s="32">
        <f>IF(C1450&lt;&gt;"Venta","",D1450*IFERROR(INDEX(Productos!$D$2:$D$501,MATCH(B1450,Productos!$A$2:$A$501,0)),0))</f>
        <v/>
      </c>
      <c r="G1450" s="32">
        <f>IF(C1450&lt;&gt;"Venta","",D1450*IFERROR(INDEX(Productos!$E$2:$E$501,MATCH(B1450,Productos!$A$2:$A$501,0)),0))</f>
        <v/>
      </c>
      <c r="H1450" s="33">
        <f>IF(A1450="","",MONTH(A1450))</f>
        <v/>
      </c>
      <c r="I1450" s="33">
        <f>IF(A1450="","",YEAR(A1450))</f>
        <v/>
      </c>
    </row>
    <row r="1451" ht="15" customHeight="1" s="21">
      <c r="A1451" s="34" t="n"/>
      <c r="B1451" s="30" t="n"/>
      <c r="C1451" s="30" t="n"/>
      <c r="D1451" s="30" t="n"/>
      <c r="E1451" s="33">
        <f>IF(B1451="","",IFERROR(INDEX(Productos!$B$2:$B$501,MATCH(B1451,Productos!$A$2:$A$501,0)),"¿Código?"))</f>
        <v/>
      </c>
      <c r="F1451" s="32">
        <f>IF(C1451&lt;&gt;"Venta","",D1451*IFERROR(INDEX(Productos!$D$2:$D$501,MATCH(B1451,Productos!$A$2:$A$501,0)),0))</f>
        <v/>
      </c>
      <c r="G1451" s="32">
        <f>IF(C1451&lt;&gt;"Venta","",D1451*IFERROR(INDEX(Productos!$E$2:$E$501,MATCH(B1451,Productos!$A$2:$A$501,0)),0))</f>
        <v/>
      </c>
      <c r="H1451" s="33">
        <f>IF(A1451="","",MONTH(A1451))</f>
        <v/>
      </c>
      <c r="I1451" s="33">
        <f>IF(A1451="","",YEAR(A1451))</f>
        <v/>
      </c>
    </row>
    <row r="1452" ht="15" customHeight="1" s="21">
      <c r="A1452" s="34" t="n"/>
      <c r="B1452" s="30" t="n"/>
      <c r="C1452" s="30" t="n"/>
      <c r="D1452" s="30" t="n"/>
      <c r="E1452" s="33">
        <f>IF(B1452="","",IFERROR(INDEX(Productos!$B$2:$B$501,MATCH(B1452,Productos!$A$2:$A$501,0)),"¿Código?"))</f>
        <v/>
      </c>
      <c r="F1452" s="32">
        <f>IF(C1452&lt;&gt;"Venta","",D1452*IFERROR(INDEX(Productos!$D$2:$D$501,MATCH(B1452,Productos!$A$2:$A$501,0)),0))</f>
        <v/>
      </c>
      <c r="G1452" s="32">
        <f>IF(C1452&lt;&gt;"Venta","",D1452*IFERROR(INDEX(Productos!$E$2:$E$501,MATCH(B1452,Productos!$A$2:$A$501,0)),0))</f>
        <v/>
      </c>
      <c r="H1452" s="33">
        <f>IF(A1452="","",MONTH(A1452))</f>
        <v/>
      </c>
      <c r="I1452" s="33">
        <f>IF(A1452="","",YEAR(A1452))</f>
        <v/>
      </c>
    </row>
    <row r="1453" ht="15" customHeight="1" s="21">
      <c r="A1453" s="34" t="n"/>
      <c r="B1453" s="30" t="n"/>
      <c r="C1453" s="30" t="n"/>
      <c r="D1453" s="30" t="n"/>
      <c r="E1453" s="33">
        <f>IF(B1453="","",IFERROR(INDEX(Productos!$B$2:$B$501,MATCH(B1453,Productos!$A$2:$A$501,0)),"¿Código?"))</f>
        <v/>
      </c>
      <c r="F1453" s="32">
        <f>IF(C1453&lt;&gt;"Venta","",D1453*IFERROR(INDEX(Productos!$D$2:$D$501,MATCH(B1453,Productos!$A$2:$A$501,0)),0))</f>
        <v/>
      </c>
      <c r="G1453" s="32">
        <f>IF(C1453&lt;&gt;"Venta","",D1453*IFERROR(INDEX(Productos!$E$2:$E$501,MATCH(B1453,Productos!$A$2:$A$501,0)),0))</f>
        <v/>
      </c>
      <c r="H1453" s="33">
        <f>IF(A1453="","",MONTH(A1453))</f>
        <v/>
      </c>
      <c r="I1453" s="33">
        <f>IF(A1453="","",YEAR(A1453))</f>
        <v/>
      </c>
    </row>
    <row r="1454" ht="15" customHeight="1" s="21">
      <c r="A1454" s="34" t="n"/>
      <c r="B1454" s="30" t="n"/>
      <c r="C1454" s="30" t="n"/>
      <c r="D1454" s="30" t="n"/>
      <c r="E1454" s="33">
        <f>IF(B1454="","",IFERROR(INDEX(Productos!$B$2:$B$501,MATCH(B1454,Productos!$A$2:$A$501,0)),"¿Código?"))</f>
        <v/>
      </c>
      <c r="F1454" s="32">
        <f>IF(C1454&lt;&gt;"Venta","",D1454*IFERROR(INDEX(Productos!$D$2:$D$501,MATCH(B1454,Productos!$A$2:$A$501,0)),0))</f>
        <v/>
      </c>
      <c r="G1454" s="32">
        <f>IF(C1454&lt;&gt;"Venta","",D1454*IFERROR(INDEX(Productos!$E$2:$E$501,MATCH(B1454,Productos!$A$2:$A$501,0)),0))</f>
        <v/>
      </c>
      <c r="H1454" s="33">
        <f>IF(A1454="","",MONTH(A1454))</f>
        <v/>
      </c>
      <c r="I1454" s="33">
        <f>IF(A1454="","",YEAR(A1454))</f>
        <v/>
      </c>
    </row>
    <row r="1455" ht="15" customHeight="1" s="21">
      <c r="A1455" s="34" t="n"/>
      <c r="B1455" s="30" t="n"/>
      <c r="C1455" s="30" t="n"/>
      <c r="D1455" s="30" t="n"/>
      <c r="E1455" s="33">
        <f>IF(B1455="","",IFERROR(INDEX(Productos!$B$2:$B$501,MATCH(B1455,Productos!$A$2:$A$501,0)),"¿Código?"))</f>
        <v/>
      </c>
      <c r="F1455" s="32">
        <f>IF(C1455&lt;&gt;"Venta","",D1455*IFERROR(INDEX(Productos!$D$2:$D$501,MATCH(B1455,Productos!$A$2:$A$501,0)),0))</f>
        <v/>
      </c>
      <c r="G1455" s="32">
        <f>IF(C1455&lt;&gt;"Venta","",D1455*IFERROR(INDEX(Productos!$E$2:$E$501,MATCH(B1455,Productos!$A$2:$A$501,0)),0))</f>
        <v/>
      </c>
      <c r="H1455" s="33">
        <f>IF(A1455="","",MONTH(A1455))</f>
        <v/>
      </c>
      <c r="I1455" s="33">
        <f>IF(A1455="","",YEAR(A1455))</f>
        <v/>
      </c>
    </row>
    <row r="1456" ht="15" customHeight="1" s="21">
      <c r="A1456" s="34" t="n"/>
      <c r="B1456" s="30" t="n"/>
      <c r="C1456" s="30" t="n"/>
      <c r="D1456" s="30" t="n"/>
      <c r="E1456" s="33">
        <f>IF(B1456="","",IFERROR(INDEX(Productos!$B$2:$B$501,MATCH(B1456,Productos!$A$2:$A$501,0)),"¿Código?"))</f>
        <v/>
      </c>
      <c r="F1456" s="32">
        <f>IF(C1456&lt;&gt;"Venta","",D1456*IFERROR(INDEX(Productos!$D$2:$D$501,MATCH(B1456,Productos!$A$2:$A$501,0)),0))</f>
        <v/>
      </c>
      <c r="G1456" s="32">
        <f>IF(C1456&lt;&gt;"Venta","",D1456*IFERROR(INDEX(Productos!$E$2:$E$501,MATCH(B1456,Productos!$A$2:$A$501,0)),0))</f>
        <v/>
      </c>
      <c r="H1456" s="33">
        <f>IF(A1456="","",MONTH(A1456))</f>
        <v/>
      </c>
      <c r="I1456" s="33">
        <f>IF(A1456="","",YEAR(A1456))</f>
        <v/>
      </c>
    </row>
    <row r="1457" ht="15" customHeight="1" s="21">
      <c r="A1457" s="34" t="n"/>
      <c r="B1457" s="30" t="n"/>
      <c r="C1457" s="30" t="n"/>
      <c r="D1457" s="30" t="n"/>
      <c r="E1457" s="33">
        <f>IF(B1457="","",IFERROR(INDEX(Productos!$B$2:$B$501,MATCH(B1457,Productos!$A$2:$A$501,0)),"¿Código?"))</f>
        <v/>
      </c>
      <c r="F1457" s="32">
        <f>IF(C1457&lt;&gt;"Venta","",D1457*IFERROR(INDEX(Productos!$D$2:$D$501,MATCH(B1457,Productos!$A$2:$A$501,0)),0))</f>
        <v/>
      </c>
      <c r="G1457" s="32">
        <f>IF(C1457&lt;&gt;"Venta","",D1457*IFERROR(INDEX(Productos!$E$2:$E$501,MATCH(B1457,Productos!$A$2:$A$501,0)),0))</f>
        <v/>
      </c>
      <c r="H1457" s="33">
        <f>IF(A1457="","",MONTH(A1457))</f>
        <v/>
      </c>
      <c r="I1457" s="33">
        <f>IF(A1457="","",YEAR(A1457))</f>
        <v/>
      </c>
    </row>
    <row r="1458" ht="15" customHeight="1" s="21">
      <c r="A1458" s="34" t="n"/>
      <c r="B1458" s="30" t="n"/>
      <c r="C1458" s="30" t="n"/>
      <c r="D1458" s="30" t="n"/>
      <c r="E1458" s="33">
        <f>IF(B1458="","",IFERROR(INDEX(Productos!$B$2:$B$501,MATCH(B1458,Productos!$A$2:$A$501,0)),"¿Código?"))</f>
        <v/>
      </c>
      <c r="F1458" s="32">
        <f>IF(C1458&lt;&gt;"Venta","",D1458*IFERROR(INDEX(Productos!$D$2:$D$501,MATCH(B1458,Productos!$A$2:$A$501,0)),0))</f>
        <v/>
      </c>
      <c r="G1458" s="32">
        <f>IF(C1458&lt;&gt;"Venta","",D1458*IFERROR(INDEX(Productos!$E$2:$E$501,MATCH(B1458,Productos!$A$2:$A$501,0)),0))</f>
        <v/>
      </c>
      <c r="H1458" s="33">
        <f>IF(A1458="","",MONTH(A1458))</f>
        <v/>
      </c>
      <c r="I1458" s="33">
        <f>IF(A1458="","",YEAR(A1458))</f>
        <v/>
      </c>
    </row>
    <row r="1459" ht="15" customHeight="1" s="21">
      <c r="A1459" s="34" t="n"/>
      <c r="B1459" s="30" t="n"/>
      <c r="C1459" s="30" t="n"/>
      <c r="D1459" s="30" t="n"/>
      <c r="E1459" s="33">
        <f>IF(B1459="","",IFERROR(INDEX(Productos!$B$2:$B$501,MATCH(B1459,Productos!$A$2:$A$501,0)),"¿Código?"))</f>
        <v/>
      </c>
      <c r="F1459" s="32">
        <f>IF(C1459&lt;&gt;"Venta","",D1459*IFERROR(INDEX(Productos!$D$2:$D$501,MATCH(B1459,Productos!$A$2:$A$501,0)),0))</f>
        <v/>
      </c>
      <c r="G1459" s="32">
        <f>IF(C1459&lt;&gt;"Venta","",D1459*IFERROR(INDEX(Productos!$E$2:$E$501,MATCH(B1459,Productos!$A$2:$A$501,0)),0))</f>
        <v/>
      </c>
      <c r="H1459" s="33">
        <f>IF(A1459="","",MONTH(A1459))</f>
        <v/>
      </c>
      <c r="I1459" s="33">
        <f>IF(A1459="","",YEAR(A1459))</f>
        <v/>
      </c>
    </row>
    <row r="1460" ht="15" customHeight="1" s="21">
      <c r="A1460" s="34" t="n"/>
      <c r="B1460" s="30" t="n"/>
      <c r="C1460" s="30" t="n"/>
      <c r="D1460" s="30" t="n"/>
      <c r="E1460" s="33">
        <f>IF(B1460="","",IFERROR(INDEX(Productos!$B$2:$B$501,MATCH(B1460,Productos!$A$2:$A$501,0)),"¿Código?"))</f>
        <v/>
      </c>
      <c r="F1460" s="32">
        <f>IF(C1460&lt;&gt;"Venta","",D1460*IFERROR(INDEX(Productos!$D$2:$D$501,MATCH(B1460,Productos!$A$2:$A$501,0)),0))</f>
        <v/>
      </c>
      <c r="G1460" s="32">
        <f>IF(C1460&lt;&gt;"Venta","",D1460*IFERROR(INDEX(Productos!$E$2:$E$501,MATCH(B1460,Productos!$A$2:$A$501,0)),0))</f>
        <v/>
      </c>
      <c r="H1460" s="33">
        <f>IF(A1460="","",MONTH(A1460))</f>
        <v/>
      </c>
      <c r="I1460" s="33">
        <f>IF(A1460="","",YEAR(A1460))</f>
        <v/>
      </c>
    </row>
    <row r="1461" ht="15" customHeight="1" s="21">
      <c r="A1461" s="34" t="n"/>
      <c r="B1461" s="30" t="n"/>
      <c r="C1461" s="30" t="n"/>
      <c r="D1461" s="30" t="n"/>
      <c r="E1461" s="33">
        <f>IF(B1461="","",IFERROR(INDEX(Productos!$B$2:$B$501,MATCH(B1461,Productos!$A$2:$A$501,0)),"¿Código?"))</f>
        <v/>
      </c>
      <c r="F1461" s="32">
        <f>IF(C1461&lt;&gt;"Venta","",D1461*IFERROR(INDEX(Productos!$D$2:$D$501,MATCH(B1461,Productos!$A$2:$A$501,0)),0))</f>
        <v/>
      </c>
      <c r="G1461" s="32">
        <f>IF(C1461&lt;&gt;"Venta","",D1461*IFERROR(INDEX(Productos!$E$2:$E$501,MATCH(B1461,Productos!$A$2:$A$501,0)),0))</f>
        <v/>
      </c>
      <c r="H1461" s="33">
        <f>IF(A1461="","",MONTH(A1461))</f>
        <v/>
      </c>
      <c r="I1461" s="33">
        <f>IF(A1461="","",YEAR(A1461))</f>
        <v/>
      </c>
    </row>
    <row r="1462" ht="15" customHeight="1" s="21">
      <c r="A1462" s="34" t="n"/>
      <c r="B1462" s="30" t="n"/>
      <c r="C1462" s="30" t="n"/>
      <c r="D1462" s="30" t="n"/>
      <c r="E1462" s="33">
        <f>IF(B1462="","",IFERROR(INDEX(Productos!$B$2:$B$501,MATCH(B1462,Productos!$A$2:$A$501,0)),"¿Código?"))</f>
        <v/>
      </c>
      <c r="F1462" s="32">
        <f>IF(C1462&lt;&gt;"Venta","",D1462*IFERROR(INDEX(Productos!$D$2:$D$501,MATCH(B1462,Productos!$A$2:$A$501,0)),0))</f>
        <v/>
      </c>
      <c r="G1462" s="32">
        <f>IF(C1462&lt;&gt;"Venta","",D1462*IFERROR(INDEX(Productos!$E$2:$E$501,MATCH(B1462,Productos!$A$2:$A$501,0)),0))</f>
        <v/>
      </c>
      <c r="H1462" s="33">
        <f>IF(A1462="","",MONTH(A1462))</f>
        <v/>
      </c>
      <c r="I1462" s="33">
        <f>IF(A1462="","",YEAR(A1462))</f>
        <v/>
      </c>
    </row>
    <row r="1463" ht="15" customHeight="1" s="21">
      <c r="A1463" s="34" t="n"/>
      <c r="B1463" s="30" t="n"/>
      <c r="C1463" s="30" t="n"/>
      <c r="D1463" s="30" t="n"/>
      <c r="E1463" s="33">
        <f>IF(B1463="","",IFERROR(INDEX(Productos!$B$2:$B$501,MATCH(B1463,Productos!$A$2:$A$501,0)),"¿Código?"))</f>
        <v/>
      </c>
      <c r="F1463" s="32">
        <f>IF(C1463&lt;&gt;"Venta","",D1463*IFERROR(INDEX(Productos!$D$2:$D$501,MATCH(B1463,Productos!$A$2:$A$501,0)),0))</f>
        <v/>
      </c>
      <c r="G1463" s="32">
        <f>IF(C1463&lt;&gt;"Venta","",D1463*IFERROR(INDEX(Productos!$E$2:$E$501,MATCH(B1463,Productos!$A$2:$A$501,0)),0))</f>
        <v/>
      </c>
      <c r="H1463" s="33">
        <f>IF(A1463="","",MONTH(A1463))</f>
        <v/>
      </c>
      <c r="I1463" s="33">
        <f>IF(A1463="","",YEAR(A1463))</f>
        <v/>
      </c>
    </row>
    <row r="1464" ht="15" customHeight="1" s="21">
      <c r="A1464" s="34" t="n"/>
      <c r="B1464" s="30" t="n"/>
      <c r="C1464" s="30" t="n"/>
      <c r="D1464" s="30" t="n"/>
      <c r="E1464" s="33">
        <f>IF(B1464="","",IFERROR(INDEX(Productos!$B$2:$B$501,MATCH(B1464,Productos!$A$2:$A$501,0)),"¿Código?"))</f>
        <v/>
      </c>
      <c r="F1464" s="32">
        <f>IF(C1464&lt;&gt;"Venta","",D1464*IFERROR(INDEX(Productos!$D$2:$D$501,MATCH(B1464,Productos!$A$2:$A$501,0)),0))</f>
        <v/>
      </c>
      <c r="G1464" s="32">
        <f>IF(C1464&lt;&gt;"Venta","",D1464*IFERROR(INDEX(Productos!$E$2:$E$501,MATCH(B1464,Productos!$A$2:$A$501,0)),0))</f>
        <v/>
      </c>
      <c r="H1464" s="33">
        <f>IF(A1464="","",MONTH(A1464))</f>
        <v/>
      </c>
      <c r="I1464" s="33">
        <f>IF(A1464="","",YEAR(A1464))</f>
        <v/>
      </c>
    </row>
    <row r="1465" ht="15" customHeight="1" s="21">
      <c r="A1465" s="34" t="n"/>
      <c r="B1465" s="30" t="n"/>
      <c r="C1465" s="30" t="n"/>
      <c r="D1465" s="30" t="n"/>
      <c r="E1465" s="33">
        <f>IF(B1465="","",IFERROR(INDEX(Productos!$B$2:$B$501,MATCH(B1465,Productos!$A$2:$A$501,0)),"¿Código?"))</f>
        <v/>
      </c>
      <c r="F1465" s="32">
        <f>IF(C1465&lt;&gt;"Venta","",D1465*IFERROR(INDEX(Productos!$D$2:$D$501,MATCH(B1465,Productos!$A$2:$A$501,0)),0))</f>
        <v/>
      </c>
      <c r="G1465" s="32">
        <f>IF(C1465&lt;&gt;"Venta","",D1465*IFERROR(INDEX(Productos!$E$2:$E$501,MATCH(B1465,Productos!$A$2:$A$501,0)),0))</f>
        <v/>
      </c>
      <c r="H1465" s="33">
        <f>IF(A1465="","",MONTH(A1465))</f>
        <v/>
      </c>
      <c r="I1465" s="33">
        <f>IF(A1465="","",YEAR(A1465))</f>
        <v/>
      </c>
    </row>
    <row r="1466" ht="15" customHeight="1" s="21">
      <c r="A1466" s="34" t="n"/>
      <c r="B1466" s="30" t="n"/>
      <c r="C1466" s="30" t="n"/>
      <c r="D1466" s="30" t="n"/>
      <c r="E1466" s="33">
        <f>IF(B1466="","",IFERROR(INDEX(Productos!$B$2:$B$501,MATCH(B1466,Productos!$A$2:$A$501,0)),"¿Código?"))</f>
        <v/>
      </c>
      <c r="F1466" s="32">
        <f>IF(C1466&lt;&gt;"Venta","",D1466*IFERROR(INDEX(Productos!$D$2:$D$501,MATCH(B1466,Productos!$A$2:$A$501,0)),0))</f>
        <v/>
      </c>
      <c r="G1466" s="32">
        <f>IF(C1466&lt;&gt;"Venta","",D1466*IFERROR(INDEX(Productos!$E$2:$E$501,MATCH(B1466,Productos!$A$2:$A$501,0)),0))</f>
        <v/>
      </c>
      <c r="H1466" s="33">
        <f>IF(A1466="","",MONTH(A1466))</f>
        <v/>
      </c>
      <c r="I1466" s="33">
        <f>IF(A1466="","",YEAR(A1466))</f>
        <v/>
      </c>
    </row>
    <row r="1467" ht="15" customHeight="1" s="21">
      <c r="A1467" s="34" t="n"/>
      <c r="B1467" s="30" t="n"/>
      <c r="C1467" s="30" t="n"/>
      <c r="D1467" s="30" t="n"/>
      <c r="E1467" s="33">
        <f>IF(B1467="","",IFERROR(INDEX(Productos!$B$2:$B$501,MATCH(B1467,Productos!$A$2:$A$501,0)),"¿Código?"))</f>
        <v/>
      </c>
      <c r="F1467" s="32">
        <f>IF(C1467&lt;&gt;"Venta","",D1467*IFERROR(INDEX(Productos!$D$2:$D$501,MATCH(B1467,Productos!$A$2:$A$501,0)),0))</f>
        <v/>
      </c>
      <c r="G1467" s="32">
        <f>IF(C1467&lt;&gt;"Venta","",D1467*IFERROR(INDEX(Productos!$E$2:$E$501,MATCH(B1467,Productos!$A$2:$A$501,0)),0))</f>
        <v/>
      </c>
      <c r="H1467" s="33">
        <f>IF(A1467="","",MONTH(A1467))</f>
        <v/>
      </c>
      <c r="I1467" s="33">
        <f>IF(A1467="","",YEAR(A1467))</f>
        <v/>
      </c>
    </row>
    <row r="1468" ht="15" customHeight="1" s="21">
      <c r="A1468" s="34" t="n"/>
      <c r="B1468" s="30" t="n"/>
      <c r="C1468" s="30" t="n"/>
      <c r="D1468" s="30" t="n"/>
      <c r="E1468" s="33">
        <f>IF(B1468="","",IFERROR(INDEX(Productos!$B$2:$B$501,MATCH(B1468,Productos!$A$2:$A$501,0)),"¿Código?"))</f>
        <v/>
      </c>
      <c r="F1468" s="32">
        <f>IF(C1468&lt;&gt;"Venta","",D1468*IFERROR(INDEX(Productos!$D$2:$D$501,MATCH(B1468,Productos!$A$2:$A$501,0)),0))</f>
        <v/>
      </c>
      <c r="G1468" s="32">
        <f>IF(C1468&lt;&gt;"Venta","",D1468*IFERROR(INDEX(Productos!$E$2:$E$501,MATCH(B1468,Productos!$A$2:$A$501,0)),0))</f>
        <v/>
      </c>
      <c r="H1468" s="33">
        <f>IF(A1468="","",MONTH(A1468))</f>
        <v/>
      </c>
      <c r="I1468" s="33">
        <f>IF(A1468="","",YEAR(A1468))</f>
        <v/>
      </c>
    </row>
    <row r="1469" ht="15" customHeight="1" s="21">
      <c r="A1469" s="34" t="n"/>
      <c r="B1469" s="30" t="n"/>
      <c r="C1469" s="30" t="n"/>
      <c r="D1469" s="30" t="n"/>
      <c r="E1469" s="33">
        <f>IF(B1469="","",IFERROR(INDEX(Productos!$B$2:$B$501,MATCH(B1469,Productos!$A$2:$A$501,0)),"¿Código?"))</f>
        <v/>
      </c>
      <c r="F1469" s="32">
        <f>IF(C1469&lt;&gt;"Venta","",D1469*IFERROR(INDEX(Productos!$D$2:$D$501,MATCH(B1469,Productos!$A$2:$A$501,0)),0))</f>
        <v/>
      </c>
      <c r="G1469" s="32">
        <f>IF(C1469&lt;&gt;"Venta","",D1469*IFERROR(INDEX(Productos!$E$2:$E$501,MATCH(B1469,Productos!$A$2:$A$501,0)),0))</f>
        <v/>
      </c>
      <c r="H1469" s="33">
        <f>IF(A1469="","",MONTH(A1469))</f>
        <v/>
      </c>
      <c r="I1469" s="33">
        <f>IF(A1469="","",YEAR(A1469))</f>
        <v/>
      </c>
    </row>
    <row r="1470" ht="15" customHeight="1" s="21">
      <c r="A1470" s="34" t="n"/>
      <c r="B1470" s="30" t="n"/>
      <c r="C1470" s="30" t="n"/>
      <c r="D1470" s="30" t="n"/>
      <c r="E1470" s="33">
        <f>IF(B1470="","",IFERROR(INDEX(Productos!$B$2:$B$501,MATCH(B1470,Productos!$A$2:$A$501,0)),"¿Código?"))</f>
        <v/>
      </c>
      <c r="F1470" s="32">
        <f>IF(C1470&lt;&gt;"Venta","",D1470*IFERROR(INDEX(Productos!$D$2:$D$501,MATCH(B1470,Productos!$A$2:$A$501,0)),0))</f>
        <v/>
      </c>
      <c r="G1470" s="32">
        <f>IF(C1470&lt;&gt;"Venta","",D1470*IFERROR(INDEX(Productos!$E$2:$E$501,MATCH(B1470,Productos!$A$2:$A$501,0)),0))</f>
        <v/>
      </c>
      <c r="H1470" s="33">
        <f>IF(A1470="","",MONTH(A1470))</f>
        <v/>
      </c>
      <c r="I1470" s="33">
        <f>IF(A1470="","",YEAR(A1470))</f>
        <v/>
      </c>
    </row>
    <row r="1471" ht="15" customHeight="1" s="21">
      <c r="A1471" s="34" t="n"/>
      <c r="B1471" s="30" t="n"/>
      <c r="C1471" s="30" t="n"/>
      <c r="D1471" s="30" t="n"/>
      <c r="E1471" s="33">
        <f>IF(B1471="","",IFERROR(INDEX(Productos!$B$2:$B$501,MATCH(B1471,Productos!$A$2:$A$501,0)),"¿Código?"))</f>
        <v/>
      </c>
      <c r="F1471" s="32">
        <f>IF(C1471&lt;&gt;"Venta","",D1471*IFERROR(INDEX(Productos!$D$2:$D$501,MATCH(B1471,Productos!$A$2:$A$501,0)),0))</f>
        <v/>
      </c>
      <c r="G1471" s="32">
        <f>IF(C1471&lt;&gt;"Venta","",D1471*IFERROR(INDEX(Productos!$E$2:$E$501,MATCH(B1471,Productos!$A$2:$A$501,0)),0))</f>
        <v/>
      </c>
      <c r="H1471" s="33">
        <f>IF(A1471="","",MONTH(A1471))</f>
        <v/>
      </c>
      <c r="I1471" s="33">
        <f>IF(A1471="","",YEAR(A1471))</f>
        <v/>
      </c>
    </row>
    <row r="1472" ht="15" customHeight="1" s="21">
      <c r="A1472" s="34" t="n"/>
      <c r="B1472" s="30" t="n"/>
      <c r="C1472" s="30" t="n"/>
      <c r="D1472" s="30" t="n"/>
      <c r="E1472" s="33">
        <f>IF(B1472="","",IFERROR(INDEX(Productos!$B$2:$B$501,MATCH(B1472,Productos!$A$2:$A$501,0)),"¿Código?"))</f>
        <v/>
      </c>
      <c r="F1472" s="32">
        <f>IF(C1472&lt;&gt;"Venta","",D1472*IFERROR(INDEX(Productos!$D$2:$D$501,MATCH(B1472,Productos!$A$2:$A$501,0)),0))</f>
        <v/>
      </c>
      <c r="G1472" s="32">
        <f>IF(C1472&lt;&gt;"Venta","",D1472*IFERROR(INDEX(Productos!$E$2:$E$501,MATCH(B1472,Productos!$A$2:$A$501,0)),0))</f>
        <v/>
      </c>
      <c r="H1472" s="33">
        <f>IF(A1472="","",MONTH(A1472))</f>
        <v/>
      </c>
      <c r="I1472" s="33">
        <f>IF(A1472="","",YEAR(A1472))</f>
        <v/>
      </c>
    </row>
    <row r="1473" ht="15" customHeight="1" s="21">
      <c r="A1473" s="34" t="n"/>
      <c r="B1473" s="30" t="n"/>
      <c r="C1473" s="30" t="n"/>
      <c r="D1473" s="30" t="n"/>
      <c r="E1473" s="33">
        <f>IF(B1473="","",IFERROR(INDEX(Productos!$B$2:$B$501,MATCH(B1473,Productos!$A$2:$A$501,0)),"¿Código?"))</f>
        <v/>
      </c>
      <c r="F1473" s="32">
        <f>IF(C1473&lt;&gt;"Venta","",D1473*IFERROR(INDEX(Productos!$D$2:$D$501,MATCH(B1473,Productos!$A$2:$A$501,0)),0))</f>
        <v/>
      </c>
      <c r="G1473" s="32">
        <f>IF(C1473&lt;&gt;"Venta","",D1473*IFERROR(INDEX(Productos!$E$2:$E$501,MATCH(B1473,Productos!$A$2:$A$501,0)),0))</f>
        <v/>
      </c>
      <c r="H1473" s="33">
        <f>IF(A1473="","",MONTH(A1473))</f>
        <v/>
      </c>
      <c r="I1473" s="33">
        <f>IF(A1473="","",YEAR(A1473))</f>
        <v/>
      </c>
    </row>
    <row r="1474" ht="15" customHeight="1" s="21">
      <c r="A1474" s="34" t="n"/>
      <c r="B1474" s="30" t="n"/>
      <c r="C1474" s="30" t="n"/>
      <c r="D1474" s="30" t="n"/>
      <c r="E1474" s="33">
        <f>IF(B1474="","",IFERROR(INDEX(Productos!$B$2:$B$501,MATCH(B1474,Productos!$A$2:$A$501,0)),"¿Código?"))</f>
        <v/>
      </c>
      <c r="F1474" s="32">
        <f>IF(C1474&lt;&gt;"Venta","",D1474*IFERROR(INDEX(Productos!$D$2:$D$501,MATCH(B1474,Productos!$A$2:$A$501,0)),0))</f>
        <v/>
      </c>
      <c r="G1474" s="32">
        <f>IF(C1474&lt;&gt;"Venta","",D1474*IFERROR(INDEX(Productos!$E$2:$E$501,MATCH(B1474,Productos!$A$2:$A$501,0)),0))</f>
        <v/>
      </c>
      <c r="H1474" s="33">
        <f>IF(A1474="","",MONTH(A1474))</f>
        <v/>
      </c>
      <c r="I1474" s="33">
        <f>IF(A1474="","",YEAR(A1474))</f>
        <v/>
      </c>
    </row>
    <row r="1475" ht="15" customHeight="1" s="21">
      <c r="A1475" s="34" t="n"/>
      <c r="B1475" s="30" t="n"/>
      <c r="C1475" s="30" t="n"/>
      <c r="D1475" s="30" t="n"/>
      <c r="E1475" s="33">
        <f>IF(B1475="","",IFERROR(INDEX(Productos!$B$2:$B$501,MATCH(B1475,Productos!$A$2:$A$501,0)),"¿Código?"))</f>
        <v/>
      </c>
      <c r="F1475" s="32">
        <f>IF(C1475&lt;&gt;"Venta","",D1475*IFERROR(INDEX(Productos!$D$2:$D$501,MATCH(B1475,Productos!$A$2:$A$501,0)),0))</f>
        <v/>
      </c>
      <c r="G1475" s="32">
        <f>IF(C1475&lt;&gt;"Venta","",D1475*IFERROR(INDEX(Productos!$E$2:$E$501,MATCH(B1475,Productos!$A$2:$A$501,0)),0))</f>
        <v/>
      </c>
      <c r="H1475" s="33">
        <f>IF(A1475="","",MONTH(A1475))</f>
        <v/>
      </c>
      <c r="I1475" s="33">
        <f>IF(A1475="","",YEAR(A1475))</f>
        <v/>
      </c>
    </row>
    <row r="1476" ht="15" customHeight="1" s="21">
      <c r="A1476" s="34" t="n"/>
      <c r="B1476" s="30" t="n"/>
      <c r="C1476" s="30" t="n"/>
      <c r="D1476" s="30" t="n"/>
      <c r="E1476" s="33">
        <f>IF(B1476="","",IFERROR(INDEX(Productos!$B$2:$B$501,MATCH(B1476,Productos!$A$2:$A$501,0)),"¿Código?"))</f>
        <v/>
      </c>
      <c r="F1476" s="32">
        <f>IF(C1476&lt;&gt;"Venta","",D1476*IFERROR(INDEX(Productos!$D$2:$D$501,MATCH(B1476,Productos!$A$2:$A$501,0)),0))</f>
        <v/>
      </c>
      <c r="G1476" s="32">
        <f>IF(C1476&lt;&gt;"Venta","",D1476*IFERROR(INDEX(Productos!$E$2:$E$501,MATCH(B1476,Productos!$A$2:$A$501,0)),0))</f>
        <v/>
      </c>
      <c r="H1476" s="33">
        <f>IF(A1476="","",MONTH(A1476))</f>
        <v/>
      </c>
      <c r="I1476" s="33">
        <f>IF(A1476="","",YEAR(A1476))</f>
        <v/>
      </c>
    </row>
    <row r="1477" ht="15" customHeight="1" s="21">
      <c r="A1477" s="34" t="n"/>
      <c r="B1477" s="30" t="n"/>
      <c r="C1477" s="30" t="n"/>
      <c r="D1477" s="30" t="n"/>
      <c r="E1477" s="33">
        <f>IF(B1477="","",IFERROR(INDEX(Productos!$B$2:$B$501,MATCH(B1477,Productos!$A$2:$A$501,0)),"¿Código?"))</f>
        <v/>
      </c>
      <c r="F1477" s="32">
        <f>IF(C1477&lt;&gt;"Venta","",D1477*IFERROR(INDEX(Productos!$D$2:$D$501,MATCH(B1477,Productos!$A$2:$A$501,0)),0))</f>
        <v/>
      </c>
      <c r="G1477" s="32">
        <f>IF(C1477&lt;&gt;"Venta","",D1477*IFERROR(INDEX(Productos!$E$2:$E$501,MATCH(B1477,Productos!$A$2:$A$501,0)),0))</f>
        <v/>
      </c>
      <c r="H1477" s="33">
        <f>IF(A1477="","",MONTH(A1477))</f>
        <v/>
      </c>
      <c r="I1477" s="33">
        <f>IF(A1477="","",YEAR(A1477))</f>
        <v/>
      </c>
    </row>
    <row r="1478" ht="15" customHeight="1" s="21">
      <c r="A1478" s="34" t="n"/>
      <c r="B1478" s="30" t="n"/>
      <c r="C1478" s="30" t="n"/>
      <c r="D1478" s="30" t="n"/>
      <c r="E1478" s="33">
        <f>IF(B1478="","",IFERROR(INDEX(Productos!$B$2:$B$501,MATCH(B1478,Productos!$A$2:$A$501,0)),"¿Código?"))</f>
        <v/>
      </c>
      <c r="F1478" s="32">
        <f>IF(C1478&lt;&gt;"Venta","",D1478*IFERROR(INDEX(Productos!$D$2:$D$501,MATCH(B1478,Productos!$A$2:$A$501,0)),0))</f>
        <v/>
      </c>
      <c r="G1478" s="32">
        <f>IF(C1478&lt;&gt;"Venta","",D1478*IFERROR(INDEX(Productos!$E$2:$E$501,MATCH(B1478,Productos!$A$2:$A$501,0)),0))</f>
        <v/>
      </c>
      <c r="H1478" s="33">
        <f>IF(A1478="","",MONTH(A1478))</f>
        <v/>
      </c>
      <c r="I1478" s="33">
        <f>IF(A1478="","",YEAR(A1478))</f>
        <v/>
      </c>
    </row>
    <row r="1479" ht="15" customHeight="1" s="21">
      <c r="A1479" s="34" t="n"/>
      <c r="B1479" s="30" t="n"/>
      <c r="C1479" s="30" t="n"/>
      <c r="D1479" s="30" t="n"/>
      <c r="E1479" s="33">
        <f>IF(B1479="","",IFERROR(INDEX(Productos!$B$2:$B$501,MATCH(B1479,Productos!$A$2:$A$501,0)),"¿Código?"))</f>
        <v/>
      </c>
      <c r="F1479" s="32">
        <f>IF(C1479&lt;&gt;"Venta","",D1479*IFERROR(INDEX(Productos!$D$2:$D$501,MATCH(B1479,Productos!$A$2:$A$501,0)),0))</f>
        <v/>
      </c>
      <c r="G1479" s="32">
        <f>IF(C1479&lt;&gt;"Venta","",D1479*IFERROR(INDEX(Productos!$E$2:$E$501,MATCH(B1479,Productos!$A$2:$A$501,0)),0))</f>
        <v/>
      </c>
      <c r="H1479" s="33">
        <f>IF(A1479="","",MONTH(A1479))</f>
        <v/>
      </c>
      <c r="I1479" s="33">
        <f>IF(A1479="","",YEAR(A1479))</f>
        <v/>
      </c>
    </row>
    <row r="1480" ht="15" customHeight="1" s="21">
      <c r="A1480" s="34" t="n"/>
      <c r="B1480" s="30" t="n"/>
      <c r="C1480" s="30" t="n"/>
      <c r="D1480" s="30" t="n"/>
      <c r="E1480" s="33">
        <f>IF(B1480="","",IFERROR(INDEX(Productos!$B$2:$B$501,MATCH(B1480,Productos!$A$2:$A$501,0)),"¿Código?"))</f>
        <v/>
      </c>
      <c r="F1480" s="32">
        <f>IF(C1480&lt;&gt;"Venta","",D1480*IFERROR(INDEX(Productos!$D$2:$D$501,MATCH(B1480,Productos!$A$2:$A$501,0)),0))</f>
        <v/>
      </c>
      <c r="G1480" s="32">
        <f>IF(C1480&lt;&gt;"Venta","",D1480*IFERROR(INDEX(Productos!$E$2:$E$501,MATCH(B1480,Productos!$A$2:$A$501,0)),0))</f>
        <v/>
      </c>
      <c r="H1480" s="33">
        <f>IF(A1480="","",MONTH(A1480))</f>
        <v/>
      </c>
      <c r="I1480" s="33">
        <f>IF(A1480="","",YEAR(A1480))</f>
        <v/>
      </c>
    </row>
    <row r="1481" ht="15" customHeight="1" s="21">
      <c r="A1481" s="34" t="n"/>
      <c r="B1481" s="30" t="n"/>
      <c r="C1481" s="30" t="n"/>
      <c r="D1481" s="30" t="n"/>
      <c r="E1481" s="33">
        <f>IF(B1481="","",IFERROR(INDEX(Productos!$B$2:$B$501,MATCH(B1481,Productos!$A$2:$A$501,0)),"¿Código?"))</f>
        <v/>
      </c>
      <c r="F1481" s="32">
        <f>IF(C1481&lt;&gt;"Venta","",D1481*IFERROR(INDEX(Productos!$D$2:$D$501,MATCH(B1481,Productos!$A$2:$A$501,0)),0))</f>
        <v/>
      </c>
      <c r="G1481" s="32">
        <f>IF(C1481&lt;&gt;"Venta","",D1481*IFERROR(INDEX(Productos!$E$2:$E$501,MATCH(B1481,Productos!$A$2:$A$501,0)),0))</f>
        <v/>
      </c>
      <c r="H1481" s="33">
        <f>IF(A1481="","",MONTH(A1481))</f>
        <v/>
      </c>
      <c r="I1481" s="33">
        <f>IF(A1481="","",YEAR(A1481))</f>
        <v/>
      </c>
    </row>
    <row r="1482" ht="15" customHeight="1" s="21">
      <c r="A1482" s="34" t="n"/>
      <c r="B1482" s="30" t="n"/>
      <c r="C1482" s="30" t="n"/>
      <c r="D1482" s="30" t="n"/>
      <c r="E1482" s="33">
        <f>IF(B1482="","",IFERROR(INDEX(Productos!$B$2:$B$501,MATCH(B1482,Productos!$A$2:$A$501,0)),"¿Código?"))</f>
        <v/>
      </c>
      <c r="F1482" s="32">
        <f>IF(C1482&lt;&gt;"Venta","",D1482*IFERROR(INDEX(Productos!$D$2:$D$501,MATCH(B1482,Productos!$A$2:$A$501,0)),0))</f>
        <v/>
      </c>
      <c r="G1482" s="32">
        <f>IF(C1482&lt;&gt;"Venta","",D1482*IFERROR(INDEX(Productos!$E$2:$E$501,MATCH(B1482,Productos!$A$2:$A$501,0)),0))</f>
        <v/>
      </c>
      <c r="H1482" s="33">
        <f>IF(A1482="","",MONTH(A1482))</f>
        <v/>
      </c>
      <c r="I1482" s="33">
        <f>IF(A1482="","",YEAR(A1482))</f>
        <v/>
      </c>
    </row>
    <row r="1483" ht="15" customHeight="1" s="21">
      <c r="A1483" s="34" t="n"/>
      <c r="B1483" s="30" t="n"/>
      <c r="C1483" s="30" t="n"/>
      <c r="D1483" s="30" t="n"/>
      <c r="E1483" s="33">
        <f>IF(B1483="","",IFERROR(INDEX(Productos!$B$2:$B$501,MATCH(B1483,Productos!$A$2:$A$501,0)),"¿Código?"))</f>
        <v/>
      </c>
      <c r="F1483" s="32">
        <f>IF(C1483&lt;&gt;"Venta","",D1483*IFERROR(INDEX(Productos!$D$2:$D$501,MATCH(B1483,Productos!$A$2:$A$501,0)),0))</f>
        <v/>
      </c>
      <c r="G1483" s="32">
        <f>IF(C1483&lt;&gt;"Venta","",D1483*IFERROR(INDEX(Productos!$E$2:$E$501,MATCH(B1483,Productos!$A$2:$A$501,0)),0))</f>
        <v/>
      </c>
      <c r="H1483" s="33">
        <f>IF(A1483="","",MONTH(A1483))</f>
        <v/>
      </c>
      <c r="I1483" s="33">
        <f>IF(A1483="","",YEAR(A1483))</f>
        <v/>
      </c>
    </row>
    <row r="1484" ht="15" customHeight="1" s="21">
      <c r="A1484" s="34" t="n"/>
      <c r="B1484" s="30" t="n"/>
      <c r="C1484" s="30" t="n"/>
      <c r="D1484" s="30" t="n"/>
      <c r="E1484" s="33">
        <f>IF(B1484="","",IFERROR(INDEX(Productos!$B$2:$B$501,MATCH(B1484,Productos!$A$2:$A$501,0)),"¿Código?"))</f>
        <v/>
      </c>
      <c r="F1484" s="32">
        <f>IF(C1484&lt;&gt;"Venta","",D1484*IFERROR(INDEX(Productos!$D$2:$D$501,MATCH(B1484,Productos!$A$2:$A$501,0)),0))</f>
        <v/>
      </c>
      <c r="G1484" s="32">
        <f>IF(C1484&lt;&gt;"Venta","",D1484*IFERROR(INDEX(Productos!$E$2:$E$501,MATCH(B1484,Productos!$A$2:$A$501,0)),0))</f>
        <v/>
      </c>
      <c r="H1484" s="33">
        <f>IF(A1484="","",MONTH(A1484))</f>
        <v/>
      </c>
      <c r="I1484" s="33">
        <f>IF(A1484="","",YEAR(A1484))</f>
        <v/>
      </c>
    </row>
    <row r="1485" ht="15" customHeight="1" s="21">
      <c r="A1485" s="34" t="n"/>
      <c r="B1485" s="30" t="n"/>
      <c r="C1485" s="30" t="n"/>
      <c r="D1485" s="30" t="n"/>
      <c r="E1485" s="33">
        <f>IF(B1485="","",IFERROR(INDEX(Productos!$B$2:$B$501,MATCH(B1485,Productos!$A$2:$A$501,0)),"¿Código?"))</f>
        <v/>
      </c>
      <c r="F1485" s="32">
        <f>IF(C1485&lt;&gt;"Venta","",D1485*IFERROR(INDEX(Productos!$D$2:$D$501,MATCH(B1485,Productos!$A$2:$A$501,0)),0))</f>
        <v/>
      </c>
      <c r="G1485" s="32">
        <f>IF(C1485&lt;&gt;"Venta","",D1485*IFERROR(INDEX(Productos!$E$2:$E$501,MATCH(B1485,Productos!$A$2:$A$501,0)),0))</f>
        <v/>
      </c>
      <c r="H1485" s="33">
        <f>IF(A1485="","",MONTH(A1485))</f>
        <v/>
      </c>
      <c r="I1485" s="33">
        <f>IF(A1485="","",YEAR(A1485))</f>
        <v/>
      </c>
    </row>
    <row r="1486" ht="15" customHeight="1" s="21">
      <c r="A1486" s="34" t="n"/>
      <c r="B1486" s="30" t="n"/>
      <c r="C1486" s="30" t="n"/>
      <c r="D1486" s="30" t="n"/>
      <c r="E1486" s="33">
        <f>IF(B1486="","",IFERROR(INDEX(Productos!$B$2:$B$501,MATCH(B1486,Productos!$A$2:$A$501,0)),"¿Código?"))</f>
        <v/>
      </c>
      <c r="F1486" s="32">
        <f>IF(C1486&lt;&gt;"Venta","",D1486*IFERROR(INDEX(Productos!$D$2:$D$501,MATCH(B1486,Productos!$A$2:$A$501,0)),0))</f>
        <v/>
      </c>
      <c r="G1486" s="32">
        <f>IF(C1486&lt;&gt;"Venta","",D1486*IFERROR(INDEX(Productos!$E$2:$E$501,MATCH(B1486,Productos!$A$2:$A$501,0)),0))</f>
        <v/>
      </c>
      <c r="H1486" s="33">
        <f>IF(A1486="","",MONTH(A1486))</f>
        <v/>
      </c>
      <c r="I1486" s="33">
        <f>IF(A1486="","",YEAR(A1486))</f>
        <v/>
      </c>
    </row>
    <row r="1487" ht="15" customHeight="1" s="21">
      <c r="A1487" s="34" t="n"/>
      <c r="B1487" s="30" t="n"/>
      <c r="C1487" s="30" t="n"/>
      <c r="D1487" s="30" t="n"/>
      <c r="E1487" s="33">
        <f>IF(B1487="","",IFERROR(INDEX(Productos!$B$2:$B$501,MATCH(B1487,Productos!$A$2:$A$501,0)),"¿Código?"))</f>
        <v/>
      </c>
      <c r="F1487" s="32">
        <f>IF(C1487&lt;&gt;"Venta","",D1487*IFERROR(INDEX(Productos!$D$2:$D$501,MATCH(B1487,Productos!$A$2:$A$501,0)),0))</f>
        <v/>
      </c>
      <c r="G1487" s="32">
        <f>IF(C1487&lt;&gt;"Venta","",D1487*IFERROR(INDEX(Productos!$E$2:$E$501,MATCH(B1487,Productos!$A$2:$A$501,0)),0))</f>
        <v/>
      </c>
      <c r="H1487" s="33">
        <f>IF(A1487="","",MONTH(A1487))</f>
        <v/>
      </c>
      <c r="I1487" s="33">
        <f>IF(A1487="","",YEAR(A1487))</f>
        <v/>
      </c>
    </row>
    <row r="1488" ht="15" customHeight="1" s="21">
      <c r="A1488" s="34" t="n"/>
      <c r="B1488" s="30" t="n"/>
      <c r="C1488" s="30" t="n"/>
      <c r="D1488" s="30" t="n"/>
      <c r="E1488" s="33">
        <f>IF(B1488="","",IFERROR(INDEX(Productos!$B$2:$B$501,MATCH(B1488,Productos!$A$2:$A$501,0)),"¿Código?"))</f>
        <v/>
      </c>
      <c r="F1488" s="32">
        <f>IF(C1488&lt;&gt;"Venta","",D1488*IFERROR(INDEX(Productos!$D$2:$D$501,MATCH(B1488,Productos!$A$2:$A$501,0)),0))</f>
        <v/>
      </c>
      <c r="G1488" s="32">
        <f>IF(C1488&lt;&gt;"Venta","",D1488*IFERROR(INDEX(Productos!$E$2:$E$501,MATCH(B1488,Productos!$A$2:$A$501,0)),0))</f>
        <v/>
      </c>
      <c r="H1488" s="33">
        <f>IF(A1488="","",MONTH(A1488))</f>
        <v/>
      </c>
      <c r="I1488" s="33">
        <f>IF(A1488="","",YEAR(A1488))</f>
        <v/>
      </c>
    </row>
    <row r="1489" ht="15" customHeight="1" s="21">
      <c r="A1489" s="34" t="n"/>
      <c r="B1489" s="30" t="n"/>
      <c r="C1489" s="30" t="n"/>
      <c r="D1489" s="30" t="n"/>
      <c r="E1489" s="33">
        <f>IF(B1489="","",IFERROR(INDEX(Productos!$B$2:$B$501,MATCH(B1489,Productos!$A$2:$A$501,0)),"¿Código?"))</f>
        <v/>
      </c>
      <c r="F1489" s="32">
        <f>IF(C1489&lt;&gt;"Venta","",D1489*IFERROR(INDEX(Productos!$D$2:$D$501,MATCH(B1489,Productos!$A$2:$A$501,0)),0))</f>
        <v/>
      </c>
      <c r="G1489" s="32">
        <f>IF(C1489&lt;&gt;"Venta","",D1489*IFERROR(INDEX(Productos!$E$2:$E$501,MATCH(B1489,Productos!$A$2:$A$501,0)),0))</f>
        <v/>
      </c>
      <c r="H1489" s="33">
        <f>IF(A1489="","",MONTH(A1489))</f>
        <v/>
      </c>
      <c r="I1489" s="33">
        <f>IF(A1489="","",YEAR(A1489))</f>
        <v/>
      </c>
    </row>
    <row r="1490" ht="15" customHeight="1" s="21">
      <c r="A1490" s="34" t="n"/>
      <c r="B1490" s="30" t="n"/>
      <c r="C1490" s="30" t="n"/>
      <c r="D1490" s="30" t="n"/>
      <c r="E1490" s="33">
        <f>IF(B1490="","",IFERROR(INDEX(Productos!$B$2:$B$501,MATCH(B1490,Productos!$A$2:$A$501,0)),"¿Código?"))</f>
        <v/>
      </c>
      <c r="F1490" s="32">
        <f>IF(C1490&lt;&gt;"Venta","",D1490*IFERROR(INDEX(Productos!$D$2:$D$501,MATCH(B1490,Productos!$A$2:$A$501,0)),0))</f>
        <v/>
      </c>
      <c r="G1490" s="32">
        <f>IF(C1490&lt;&gt;"Venta","",D1490*IFERROR(INDEX(Productos!$E$2:$E$501,MATCH(B1490,Productos!$A$2:$A$501,0)),0))</f>
        <v/>
      </c>
      <c r="H1490" s="33">
        <f>IF(A1490="","",MONTH(A1490))</f>
        <v/>
      </c>
      <c r="I1490" s="33">
        <f>IF(A1490="","",YEAR(A1490))</f>
        <v/>
      </c>
    </row>
    <row r="1491" ht="15" customHeight="1" s="21">
      <c r="A1491" s="34" t="n"/>
      <c r="B1491" s="30" t="n"/>
      <c r="C1491" s="30" t="n"/>
      <c r="D1491" s="30" t="n"/>
      <c r="E1491" s="33">
        <f>IF(B1491="","",IFERROR(INDEX(Productos!$B$2:$B$501,MATCH(B1491,Productos!$A$2:$A$501,0)),"¿Código?"))</f>
        <v/>
      </c>
      <c r="F1491" s="32">
        <f>IF(C1491&lt;&gt;"Venta","",D1491*IFERROR(INDEX(Productos!$D$2:$D$501,MATCH(B1491,Productos!$A$2:$A$501,0)),0))</f>
        <v/>
      </c>
      <c r="G1491" s="32">
        <f>IF(C1491&lt;&gt;"Venta","",D1491*IFERROR(INDEX(Productos!$E$2:$E$501,MATCH(B1491,Productos!$A$2:$A$501,0)),0))</f>
        <v/>
      </c>
      <c r="H1491" s="33">
        <f>IF(A1491="","",MONTH(A1491))</f>
        <v/>
      </c>
      <c r="I1491" s="33">
        <f>IF(A1491="","",YEAR(A1491))</f>
        <v/>
      </c>
    </row>
    <row r="1492" ht="15" customHeight="1" s="21">
      <c r="A1492" s="34" t="n"/>
      <c r="B1492" s="30" t="n"/>
      <c r="C1492" s="30" t="n"/>
      <c r="D1492" s="30" t="n"/>
      <c r="E1492" s="33">
        <f>IF(B1492="","",IFERROR(INDEX(Productos!$B$2:$B$501,MATCH(B1492,Productos!$A$2:$A$501,0)),"¿Código?"))</f>
        <v/>
      </c>
      <c r="F1492" s="32">
        <f>IF(C1492&lt;&gt;"Venta","",D1492*IFERROR(INDEX(Productos!$D$2:$D$501,MATCH(B1492,Productos!$A$2:$A$501,0)),0))</f>
        <v/>
      </c>
      <c r="G1492" s="32">
        <f>IF(C1492&lt;&gt;"Venta","",D1492*IFERROR(INDEX(Productos!$E$2:$E$501,MATCH(B1492,Productos!$A$2:$A$501,0)),0))</f>
        <v/>
      </c>
      <c r="H1492" s="33">
        <f>IF(A1492="","",MONTH(A1492))</f>
        <v/>
      </c>
      <c r="I1492" s="33">
        <f>IF(A1492="","",YEAR(A1492))</f>
        <v/>
      </c>
    </row>
    <row r="1493" ht="15" customHeight="1" s="21">
      <c r="A1493" s="34" t="n"/>
      <c r="B1493" s="30" t="n"/>
      <c r="C1493" s="30" t="n"/>
      <c r="D1493" s="30" t="n"/>
      <c r="E1493" s="33">
        <f>IF(B1493="","",IFERROR(INDEX(Productos!$B$2:$B$501,MATCH(B1493,Productos!$A$2:$A$501,0)),"¿Código?"))</f>
        <v/>
      </c>
      <c r="F1493" s="32">
        <f>IF(C1493&lt;&gt;"Venta","",D1493*IFERROR(INDEX(Productos!$D$2:$D$501,MATCH(B1493,Productos!$A$2:$A$501,0)),0))</f>
        <v/>
      </c>
      <c r="G1493" s="32">
        <f>IF(C1493&lt;&gt;"Venta","",D1493*IFERROR(INDEX(Productos!$E$2:$E$501,MATCH(B1493,Productos!$A$2:$A$501,0)),0))</f>
        <v/>
      </c>
      <c r="H1493" s="33">
        <f>IF(A1493="","",MONTH(A1493))</f>
        <v/>
      </c>
      <c r="I1493" s="33">
        <f>IF(A1493="","",YEAR(A1493))</f>
        <v/>
      </c>
    </row>
    <row r="1494" ht="15" customHeight="1" s="21">
      <c r="A1494" s="34" t="n"/>
      <c r="B1494" s="30" t="n"/>
      <c r="C1494" s="30" t="n"/>
      <c r="D1494" s="30" t="n"/>
      <c r="E1494" s="33">
        <f>IF(B1494="","",IFERROR(INDEX(Productos!$B$2:$B$501,MATCH(B1494,Productos!$A$2:$A$501,0)),"¿Código?"))</f>
        <v/>
      </c>
      <c r="F1494" s="32">
        <f>IF(C1494&lt;&gt;"Venta","",D1494*IFERROR(INDEX(Productos!$D$2:$D$501,MATCH(B1494,Productos!$A$2:$A$501,0)),0))</f>
        <v/>
      </c>
      <c r="G1494" s="32">
        <f>IF(C1494&lt;&gt;"Venta","",D1494*IFERROR(INDEX(Productos!$E$2:$E$501,MATCH(B1494,Productos!$A$2:$A$501,0)),0))</f>
        <v/>
      </c>
      <c r="H1494" s="33">
        <f>IF(A1494="","",MONTH(A1494))</f>
        <v/>
      </c>
      <c r="I1494" s="33">
        <f>IF(A1494="","",YEAR(A1494))</f>
        <v/>
      </c>
    </row>
    <row r="1495" ht="15" customHeight="1" s="21">
      <c r="A1495" s="34" t="n"/>
      <c r="B1495" s="30" t="n"/>
      <c r="C1495" s="30" t="n"/>
      <c r="D1495" s="30" t="n"/>
      <c r="E1495" s="33">
        <f>IF(B1495="","",IFERROR(INDEX(Productos!$B$2:$B$501,MATCH(B1495,Productos!$A$2:$A$501,0)),"¿Código?"))</f>
        <v/>
      </c>
      <c r="F1495" s="32">
        <f>IF(C1495&lt;&gt;"Venta","",D1495*IFERROR(INDEX(Productos!$D$2:$D$501,MATCH(B1495,Productos!$A$2:$A$501,0)),0))</f>
        <v/>
      </c>
      <c r="G1495" s="32">
        <f>IF(C1495&lt;&gt;"Venta","",D1495*IFERROR(INDEX(Productos!$E$2:$E$501,MATCH(B1495,Productos!$A$2:$A$501,0)),0))</f>
        <v/>
      </c>
      <c r="H1495" s="33">
        <f>IF(A1495="","",MONTH(A1495))</f>
        <v/>
      </c>
      <c r="I1495" s="33">
        <f>IF(A1495="","",YEAR(A1495))</f>
        <v/>
      </c>
    </row>
    <row r="1496" ht="15" customHeight="1" s="21">
      <c r="A1496" s="34" t="n"/>
      <c r="B1496" s="30" t="n"/>
      <c r="C1496" s="30" t="n"/>
      <c r="D1496" s="30" t="n"/>
      <c r="E1496" s="33">
        <f>IF(B1496="","",IFERROR(INDEX(Productos!$B$2:$B$501,MATCH(B1496,Productos!$A$2:$A$501,0)),"¿Código?"))</f>
        <v/>
      </c>
      <c r="F1496" s="32">
        <f>IF(C1496&lt;&gt;"Venta","",D1496*IFERROR(INDEX(Productos!$D$2:$D$501,MATCH(B1496,Productos!$A$2:$A$501,0)),0))</f>
        <v/>
      </c>
      <c r="G1496" s="32">
        <f>IF(C1496&lt;&gt;"Venta","",D1496*IFERROR(INDEX(Productos!$E$2:$E$501,MATCH(B1496,Productos!$A$2:$A$501,0)),0))</f>
        <v/>
      </c>
      <c r="H1496" s="33">
        <f>IF(A1496="","",MONTH(A1496))</f>
        <v/>
      </c>
      <c r="I1496" s="33">
        <f>IF(A1496="","",YEAR(A1496))</f>
        <v/>
      </c>
    </row>
    <row r="1497" ht="15" customHeight="1" s="21">
      <c r="A1497" s="34" t="n"/>
      <c r="B1497" s="30" t="n"/>
      <c r="C1497" s="30" t="n"/>
      <c r="D1497" s="30" t="n"/>
      <c r="E1497" s="33">
        <f>IF(B1497="","",IFERROR(INDEX(Productos!$B$2:$B$501,MATCH(B1497,Productos!$A$2:$A$501,0)),"¿Código?"))</f>
        <v/>
      </c>
      <c r="F1497" s="32">
        <f>IF(C1497&lt;&gt;"Venta","",D1497*IFERROR(INDEX(Productos!$D$2:$D$501,MATCH(B1497,Productos!$A$2:$A$501,0)),0))</f>
        <v/>
      </c>
      <c r="G1497" s="32">
        <f>IF(C1497&lt;&gt;"Venta","",D1497*IFERROR(INDEX(Productos!$E$2:$E$501,MATCH(B1497,Productos!$A$2:$A$501,0)),0))</f>
        <v/>
      </c>
      <c r="H1497" s="33">
        <f>IF(A1497="","",MONTH(A1497))</f>
        <v/>
      </c>
      <c r="I1497" s="33">
        <f>IF(A1497="","",YEAR(A1497))</f>
        <v/>
      </c>
    </row>
    <row r="1498" ht="15" customHeight="1" s="21">
      <c r="A1498" s="34" t="n"/>
      <c r="B1498" s="30" t="n"/>
      <c r="C1498" s="30" t="n"/>
      <c r="D1498" s="30" t="n"/>
      <c r="E1498" s="33">
        <f>IF(B1498="","",IFERROR(INDEX(Productos!$B$2:$B$501,MATCH(B1498,Productos!$A$2:$A$501,0)),"¿Código?"))</f>
        <v/>
      </c>
      <c r="F1498" s="32">
        <f>IF(C1498&lt;&gt;"Venta","",D1498*IFERROR(INDEX(Productos!$D$2:$D$501,MATCH(B1498,Productos!$A$2:$A$501,0)),0))</f>
        <v/>
      </c>
      <c r="G1498" s="32">
        <f>IF(C1498&lt;&gt;"Venta","",D1498*IFERROR(INDEX(Productos!$E$2:$E$501,MATCH(B1498,Productos!$A$2:$A$501,0)),0))</f>
        <v/>
      </c>
      <c r="H1498" s="33">
        <f>IF(A1498="","",MONTH(A1498))</f>
        <v/>
      </c>
      <c r="I1498" s="33">
        <f>IF(A1498="","",YEAR(A1498))</f>
        <v/>
      </c>
    </row>
    <row r="1499" ht="15" customHeight="1" s="21">
      <c r="A1499" s="34" t="n"/>
      <c r="B1499" s="30" t="n"/>
      <c r="C1499" s="30" t="n"/>
      <c r="D1499" s="30" t="n"/>
      <c r="E1499" s="33">
        <f>IF(B1499="","",IFERROR(INDEX(Productos!$B$2:$B$501,MATCH(B1499,Productos!$A$2:$A$501,0)),"¿Código?"))</f>
        <v/>
      </c>
      <c r="F1499" s="32">
        <f>IF(C1499&lt;&gt;"Venta","",D1499*IFERROR(INDEX(Productos!$D$2:$D$501,MATCH(B1499,Productos!$A$2:$A$501,0)),0))</f>
        <v/>
      </c>
      <c r="G1499" s="32">
        <f>IF(C1499&lt;&gt;"Venta","",D1499*IFERROR(INDEX(Productos!$E$2:$E$501,MATCH(B1499,Productos!$A$2:$A$501,0)),0))</f>
        <v/>
      </c>
      <c r="H1499" s="33">
        <f>IF(A1499="","",MONTH(A1499))</f>
        <v/>
      </c>
      <c r="I1499" s="33">
        <f>IF(A1499="","",YEAR(A1499))</f>
        <v/>
      </c>
    </row>
    <row r="1500" ht="15" customHeight="1" s="21">
      <c r="A1500" s="34" t="n"/>
      <c r="B1500" s="30" t="n"/>
      <c r="C1500" s="30" t="n"/>
      <c r="D1500" s="30" t="n"/>
      <c r="E1500" s="33">
        <f>IF(B1500="","",IFERROR(INDEX(Productos!$B$2:$B$501,MATCH(B1500,Productos!$A$2:$A$501,0)),"¿Código?"))</f>
        <v/>
      </c>
      <c r="F1500" s="32">
        <f>IF(C1500&lt;&gt;"Venta","",D1500*IFERROR(INDEX(Productos!$D$2:$D$501,MATCH(B1500,Productos!$A$2:$A$501,0)),0))</f>
        <v/>
      </c>
      <c r="G1500" s="32">
        <f>IF(C1500&lt;&gt;"Venta","",D1500*IFERROR(INDEX(Productos!$E$2:$E$501,MATCH(B1500,Productos!$A$2:$A$501,0)),0))</f>
        <v/>
      </c>
      <c r="H1500" s="33">
        <f>IF(A1500="","",MONTH(A1500))</f>
        <v/>
      </c>
      <c r="I1500" s="33">
        <f>IF(A1500="","",YEAR(A1500))</f>
        <v/>
      </c>
    </row>
    <row r="1501" ht="15" customHeight="1" s="21">
      <c r="A1501" s="34" t="n"/>
      <c r="B1501" s="30" t="n"/>
      <c r="C1501" s="30" t="n"/>
      <c r="D1501" s="30" t="n"/>
      <c r="E1501" s="33">
        <f>IF(B1501="","",IFERROR(INDEX(Productos!$B$2:$B$501,MATCH(B1501,Productos!$A$2:$A$501,0)),"¿Código?"))</f>
        <v/>
      </c>
      <c r="F1501" s="32">
        <f>IF(C1501&lt;&gt;"Venta","",D1501*IFERROR(INDEX(Productos!$D$2:$D$501,MATCH(B1501,Productos!$A$2:$A$501,0)),0))</f>
        <v/>
      </c>
      <c r="G1501" s="32">
        <f>IF(C1501&lt;&gt;"Venta","",D1501*IFERROR(INDEX(Productos!$E$2:$E$501,MATCH(B1501,Productos!$A$2:$A$501,0)),0))</f>
        <v/>
      </c>
      <c r="H1501" s="33">
        <f>IF(A1501="","",MONTH(A1501))</f>
        <v/>
      </c>
      <c r="I1501" s="33">
        <f>IF(A1501="","",YEAR(A1501))</f>
        <v/>
      </c>
    </row>
    <row r="1502" ht="15" customHeight="1" s="21">
      <c r="A1502" s="34" t="n"/>
      <c r="B1502" s="30" t="n"/>
      <c r="C1502" s="30" t="n"/>
      <c r="D1502" s="30" t="n"/>
      <c r="E1502" s="33">
        <f>IF(B1502="","",IFERROR(INDEX(Productos!$B$2:$B$501,MATCH(B1502,Productos!$A$2:$A$501,0)),"¿Código?"))</f>
        <v/>
      </c>
      <c r="F1502" s="32">
        <f>IF(C1502&lt;&gt;"Venta","",D1502*IFERROR(INDEX(Productos!$D$2:$D$501,MATCH(B1502,Productos!$A$2:$A$501,0)),0))</f>
        <v/>
      </c>
      <c r="G1502" s="32">
        <f>IF(C1502&lt;&gt;"Venta","",D1502*IFERROR(INDEX(Productos!$E$2:$E$501,MATCH(B1502,Productos!$A$2:$A$501,0)),0))</f>
        <v/>
      </c>
      <c r="H1502" s="33">
        <f>IF(A1502="","",MONTH(A1502))</f>
        <v/>
      </c>
      <c r="I1502" s="33">
        <f>IF(A1502="","",YEAR(A1502))</f>
        <v/>
      </c>
    </row>
    <row r="1503" ht="15" customHeight="1" s="21">
      <c r="A1503" s="34" t="n"/>
      <c r="B1503" s="30" t="n"/>
      <c r="C1503" s="30" t="n"/>
      <c r="D1503" s="30" t="n"/>
      <c r="E1503" s="33">
        <f>IF(B1503="","",IFERROR(INDEX(Productos!$B$2:$B$501,MATCH(B1503,Productos!$A$2:$A$501,0)),"¿Código?"))</f>
        <v/>
      </c>
      <c r="F1503" s="32">
        <f>IF(C1503&lt;&gt;"Venta","",D1503*IFERROR(INDEX(Productos!$D$2:$D$501,MATCH(B1503,Productos!$A$2:$A$501,0)),0))</f>
        <v/>
      </c>
      <c r="G1503" s="32">
        <f>IF(C1503&lt;&gt;"Venta","",D1503*IFERROR(INDEX(Productos!$E$2:$E$501,MATCH(B1503,Productos!$A$2:$A$501,0)),0))</f>
        <v/>
      </c>
      <c r="H1503" s="33">
        <f>IF(A1503="","",MONTH(A1503))</f>
        <v/>
      </c>
      <c r="I1503" s="33">
        <f>IF(A1503="","",YEAR(A1503))</f>
        <v/>
      </c>
    </row>
    <row r="1504" ht="15" customHeight="1" s="21">
      <c r="A1504" s="34" t="n"/>
      <c r="B1504" s="30" t="n"/>
      <c r="C1504" s="30" t="n"/>
      <c r="D1504" s="30" t="n"/>
      <c r="E1504" s="33">
        <f>IF(B1504="","",IFERROR(INDEX(Productos!$B$2:$B$501,MATCH(B1504,Productos!$A$2:$A$501,0)),"¿Código?"))</f>
        <v/>
      </c>
      <c r="F1504" s="32">
        <f>IF(C1504&lt;&gt;"Venta","",D1504*IFERROR(INDEX(Productos!$D$2:$D$501,MATCH(B1504,Productos!$A$2:$A$501,0)),0))</f>
        <v/>
      </c>
      <c r="G1504" s="32">
        <f>IF(C1504&lt;&gt;"Venta","",D1504*IFERROR(INDEX(Productos!$E$2:$E$501,MATCH(B1504,Productos!$A$2:$A$501,0)),0))</f>
        <v/>
      </c>
      <c r="H1504" s="33">
        <f>IF(A1504="","",MONTH(A1504))</f>
        <v/>
      </c>
      <c r="I1504" s="33">
        <f>IF(A1504="","",YEAR(A1504))</f>
        <v/>
      </c>
    </row>
    <row r="1505" ht="15" customHeight="1" s="21">
      <c r="A1505" s="34" t="n"/>
      <c r="B1505" s="30" t="n"/>
      <c r="C1505" s="30" t="n"/>
      <c r="D1505" s="30" t="n"/>
      <c r="E1505" s="33">
        <f>IF(B1505="","",IFERROR(INDEX(Productos!$B$2:$B$501,MATCH(B1505,Productos!$A$2:$A$501,0)),"¿Código?"))</f>
        <v/>
      </c>
      <c r="F1505" s="32">
        <f>IF(C1505&lt;&gt;"Venta","",D1505*IFERROR(INDEX(Productos!$D$2:$D$501,MATCH(B1505,Productos!$A$2:$A$501,0)),0))</f>
        <v/>
      </c>
      <c r="G1505" s="32">
        <f>IF(C1505&lt;&gt;"Venta","",D1505*IFERROR(INDEX(Productos!$E$2:$E$501,MATCH(B1505,Productos!$A$2:$A$501,0)),0))</f>
        <v/>
      </c>
      <c r="H1505" s="33">
        <f>IF(A1505="","",MONTH(A1505))</f>
        <v/>
      </c>
      <c r="I1505" s="33">
        <f>IF(A1505="","",YEAR(A1505))</f>
        <v/>
      </c>
    </row>
    <row r="1506" ht="15" customHeight="1" s="21">
      <c r="A1506" s="34" t="n"/>
      <c r="B1506" s="30" t="n"/>
      <c r="C1506" s="30" t="n"/>
      <c r="D1506" s="30" t="n"/>
      <c r="E1506" s="33">
        <f>IF(B1506="","",IFERROR(INDEX(Productos!$B$2:$B$501,MATCH(B1506,Productos!$A$2:$A$501,0)),"¿Código?"))</f>
        <v/>
      </c>
      <c r="F1506" s="32">
        <f>IF(C1506&lt;&gt;"Venta","",D1506*IFERROR(INDEX(Productos!$D$2:$D$501,MATCH(B1506,Productos!$A$2:$A$501,0)),0))</f>
        <v/>
      </c>
      <c r="G1506" s="32">
        <f>IF(C1506&lt;&gt;"Venta","",D1506*IFERROR(INDEX(Productos!$E$2:$E$501,MATCH(B1506,Productos!$A$2:$A$501,0)),0))</f>
        <v/>
      </c>
      <c r="H1506" s="33">
        <f>IF(A1506="","",MONTH(A1506))</f>
        <v/>
      </c>
      <c r="I1506" s="33">
        <f>IF(A1506="","",YEAR(A1506))</f>
        <v/>
      </c>
    </row>
    <row r="1507" ht="15" customHeight="1" s="21">
      <c r="A1507" s="34" t="n"/>
      <c r="B1507" s="30" t="n"/>
      <c r="C1507" s="30" t="n"/>
      <c r="D1507" s="30" t="n"/>
      <c r="E1507" s="33">
        <f>IF(B1507="","",IFERROR(INDEX(Productos!$B$2:$B$501,MATCH(B1507,Productos!$A$2:$A$501,0)),"¿Código?"))</f>
        <v/>
      </c>
      <c r="F1507" s="32">
        <f>IF(C1507&lt;&gt;"Venta","",D1507*IFERROR(INDEX(Productos!$D$2:$D$501,MATCH(B1507,Productos!$A$2:$A$501,0)),0))</f>
        <v/>
      </c>
      <c r="G1507" s="32">
        <f>IF(C1507&lt;&gt;"Venta","",D1507*IFERROR(INDEX(Productos!$E$2:$E$501,MATCH(B1507,Productos!$A$2:$A$501,0)),0))</f>
        <v/>
      </c>
      <c r="H1507" s="33">
        <f>IF(A1507="","",MONTH(A1507))</f>
        <v/>
      </c>
      <c r="I1507" s="33">
        <f>IF(A1507="","",YEAR(A1507))</f>
        <v/>
      </c>
    </row>
    <row r="1508" ht="15" customHeight="1" s="21">
      <c r="A1508" s="34" t="n"/>
      <c r="B1508" s="30" t="n"/>
      <c r="C1508" s="30" t="n"/>
      <c r="D1508" s="30" t="n"/>
      <c r="E1508" s="33">
        <f>IF(B1508="","",IFERROR(INDEX(Productos!$B$2:$B$501,MATCH(B1508,Productos!$A$2:$A$501,0)),"¿Código?"))</f>
        <v/>
      </c>
      <c r="F1508" s="32">
        <f>IF(C1508&lt;&gt;"Venta","",D1508*IFERROR(INDEX(Productos!$D$2:$D$501,MATCH(B1508,Productos!$A$2:$A$501,0)),0))</f>
        <v/>
      </c>
      <c r="G1508" s="32">
        <f>IF(C1508&lt;&gt;"Venta","",D1508*IFERROR(INDEX(Productos!$E$2:$E$501,MATCH(B1508,Productos!$A$2:$A$501,0)),0))</f>
        <v/>
      </c>
      <c r="H1508" s="33">
        <f>IF(A1508="","",MONTH(A1508))</f>
        <v/>
      </c>
      <c r="I1508" s="33">
        <f>IF(A1508="","",YEAR(A1508))</f>
        <v/>
      </c>
    </row>
    <row r="1509" ht="15" customHeight="1" s="21">
      <c r="A1509" s="34" t="n"/>
      <c r="B1509" s="30" t="n"/>
      <c r="C1509" s="30" t="n"/>
      <c r="D1509" s="30" t="n"/>
      <c r="E1509" s="33">
        <f>IF(B1509="","",IFERROR(INDEX(Productos!$B$2:$B$501,MATCH(B1509,Productos!$A$2:$A$501,0)),"¿Código?"))</f>
        <v/>
      </c>
      <c r="F1509" s="32">
        <f>IF(C1509&lt;&gt;"Venta","",D1509*IFERROR(INDEX(Productos!$D$2:$D$501,MATCH(B1509,Productos!$A$2:$A$501,0)),0))</f>
        <v/>
      </c>
      <c r="G1509" s="32">
        <f>IF(C1509&lt;&gt;"Venta","",D1509*IFERROR(INDEX(Productos!$E$2:$E$501,MATCH(B1509,Productos!$A$2:$A$501,0)),0))</f>
        <v/>
      </c>
      <c r="H1509" s="33">
        <f>IF(A1509="","",MONTH(A1509))</f>
        <v/>
      </c>
      <c r="I1509" s="33">
        <f>IF(A1509="","",YEAR(A1509))</f>
        <v/>
      </c>
    </row>
    <row r="1510" ht="15" customHeight="1" s="21">
      <c r="A1510" s="34" t="n"/>
      <c r="B1510" s="30" t="n"/>
      <c r="C1510" s="30" t="n"/>
      <c r="D1510" s="30" t="n"/>
      <c r="E1510" s="33">
        <f>IF(B1510="","",IFERROR(INDEX(Productos!$B$2:$B$501,MATCH(B1510,Productos!$A$2:$A$501,0)),"¿Código?"))</f>
        <v/>
      </c>
      <c r="F1510" s="32">
        <f>IF(C1510&lt;&gt;"Venta","",D1510*IFERROR(INDEX(Productos!$D$2:$D$501,MATCH(B1510,Productos!$A$2:$A$501,0)),0))</f>
        <v/>
      </c>
      <c r="G1510" s="32">
        <f>IF(C1510&lt;&gt;"Venta","",D1510*IFERROR(INDEX(Productos!$E$2:$E$501,MATCH(B1510,Productos!$A$2:$A$501,0)),0))</f>
        <v/>
      </c>
      <c r="H1510" s="33">
        <f>IF(A1510="","",MONTH(A1510))</f>
        <v/>
      </c>
      <c r="I1510" s="33">
        <f>IF(A1510="","",YEAR(A1510))</f>
        <v/>
      </c>
    </row>
    <row r="1511" ht="15" customHeight="1" s="21">
      <c r="A1511" s="34" t="n"/>
      <c r="B1511" s="30" t="n"/>
      <c r="C1511" s="30" t="n"/>
      <c r="D1511" s="30" t="n"/>
      <c r="E1511" s="33">
        <f>IF(B1511="","",IFERROR(INDEX(Productos!$B$2:$B$501,MATCH(B1511,Productos!$A$2:$A$501,0)),"¿Código?"))</f>
        <v/>
      </c>
      <c r="F1511" s="32">
        <f>IF(C1511&lt;&gt;"Venta","",D1511*IFERROR(INDEX(Productos!$D$2:$D$501,MATCH(B1511,Productos!$A$2:$A$501,0)),0))</f>
        <v/>
      </c>
      <c r="G1511" s="32">
        <f>IF(C1511&lt;&gt;"Venta","",D1511*IFERROR(INDEX(Productos!$E$2:$E$501,MATCH(B1511,Productos!$A$2:$A$501,0)),0))</f>
        <v/>
      </c>
      <c r="H1511" s="33">
        <f>IF(A1511="","",MONTH(A1511))</f>
        <v/>
      </c>
      <c r="I1511" s="33">
        <f>IF(A1511="","",YEAR(A1511))</f>
        <v/>
      </c>
    </row>
    <row r="1512" ht="15" customHeight="1" s="21">
      <c r="A1512" s="34" t="n"/>
      <c r="B1512" s="30" t="n"/>
      <c r="C1512" s="30" t="n"/>
      <c r="D1512" s="30" t="n"/>
      <c r="E1512" s="33">
        <f>IF(B1512="","",IFERROR(INDEX(Productos!$B$2:$B$501,MATCH(B1512,Productos!$A$2:$A$501,0)),"¿Código?"))</f>
        <v/>
      </c>
      <c r="F1512" s="32">
        <f>IF(C1512&lt;&gt;"Venta","",D1512*IFERROR(INDEX(Productos!$D$2:$D$501,MATCH(B1512,Productos!$A$2:$A$501,0)),0))</f>
        <v/>
      </c>
      <c r="G1512" s="32">
        <f>IF(C1512&lt;&gt;"Venta","",D1512*IFERROR(INDEX(Productos!$E$2:$E$501,MATCH(B1512,Productos!$A$2:$A$501,0)),0))</f>
        <v/>
      </c>
      <c r="H1512" s="33">
        <f>IF(A1512="","",MONTH(A1512))</f>
        <v/>
      </c>
      <c r="I1512" s="33">
        <f>IF(A1512="","",YEAR(A1512))</f>
        <v/>
      </c>
    </row>
    <row r="1513" ht="15" customHeight="1" s="21">
      <c r="A1513" s="34" t="n"/>
      <c r="B1513" s="30" t="n"/>
      <c r="C1513" s="30" t="n"/>
      <c r="D1513" s="30" t="n"/>
      <c r="E1513" s="33">
        <f>IF(B1513="","",IFERROR(INDEX(Productos!$B$2:$B$501,MATCH(B1513,Productos!$A$2:$A$501,0)),"¿Código?"))</f>
        <v/>
      </c>
      <c r="F1513" s="32">
        <f>IF(C1513&lt;&gt;"Venta","",D1513*IFERROR(INDEX(Productos!$D$2:$D$501,MATCH(B1513,Productos!$A$2:$A$501,0)),0))</f>
        <v/>
      </c>
      <c r="G1513" s="32">
        <f>IF(C1513&lt;&gt;"Venta","",D1513*IFERROR(INDEX(Productos!$E$2:$E$501,MATCH(B1513,Productos!$A$2:$A$501,0)),0))</f>
        <v/>
      </c>
      <c r="H1513" s="33">
        <f>IF(A1513="","",MONTH(A1513))</f>
        <v/>
      </c>
      <c r="I1513" s="33">
        <f>IF(A1513="","",YEAR(A1513))</f>
        <v/>
      </c>
    </row>
    <row r="1514" ht="15" customHeight="1" s="21">
      <c r="A1514" s="34" t="n"/>
      <c r="B1514" s="30" t="n"/>
      <c r="C1514" s="30" t="n"/>
      <c r="D1514" s="30" t="n"/>
      <c r="E1514" s="33">
        <f>IF(B1514="","",IFERROR(INDEX(Productos!$B$2:$B$501,MATCH(B1514,Productos!$A$2:$A$501,0)),"¿Código?"))</f>
        <v/>
      </c>
      <c r="F1514" s="32">
        <f>IF(C1514&lt;&gt;"Venta","",D1514*IFERROR(INDEX(Productos!$D$2:$D$501,MATCH(B1514,Productos!$A$2:$A$501,0)),0))</f>
        <v/>
      </c>
      <c r="G1514" s="32">
        <f>IF(C1514&lt;&gt;"Venta","",D1514*IFERROR(INDEX(Productos!$E$2:$E$501,MATCH(B1514,Productos!$A$2:$A$501,0)),0))</f>
        <v/>
      </c>
      <c r="H1514" s="33">
        <f>IF(A1514="","",MONTH(A1514))</f>
        <v/>
      </c>
      <c r="I1514" s="33">
        <f>IF(A1514="","",YEAR(A1514))</f>
        <v/>
      </c>
    </row>
    <row r="1515" ht="15" customHeight="1" s="21">
      <c r="A1515" s="34" t="n"/>
      <c r="B1515" s="30" t="n"/>
      <c r="C1515" s="30" t="n"/>
      <c r="D1515" s="30" t="n"/>
      <c r="E1515" s="33">
        <f>IF(B1515="","",IFERROR(INDEX(Productos!$B$2:$B$501,MATCH(B1515,Productos!$A$2:$A$501,0)),"¿Código?"))</f>
        <v/>
      </c>
      <c r="F1515" s="32">
        <f>IF(C1515&lt;&gt;"Venta","",D1515*IFERROR(INDEX(Productos!$D$2:$D$501,MATCH(B1515,Productos!$A$2:$A$501,0)),0))</f>
        <v/>
      </c>
      <c r="G1515" s="32">
        <f>IF(C1515&lt;&gt;"Venta","",D1515*IFERROR(INDEX(Productos!$E$2:$E$501,MATCH(B1515,Productos!$A$2:$A$501,0)),0))</f>
        <v/>
      </c>
      <c r="H1515" s="33">
        <f>IF(A1515="","",MONTH(A1515))</f>
        <v/>
      </c>
      <c r="I1515" s="33">
        <f>IF(A1515="","",YEAR(A1515))</f>
        <v/>
      </c>
    </row>
    <row r="1516" ht="15" customHeight="1" s="21">
      <c r="A1516" s="34" t="n"/>
      <c r="B1516" s="30" t="n"/>
      <c r="C1516" s="30" t="n"/>
      <c r="D1516" s="30" t="n"/>
      <c r="E1516" s="33">
        <f>IF(B1516="","",IFERROR(INDEX(Productos!$B$2:$B$501,MATCH(B1516,Productos!$A$2:$A$501,0)),"¿Código?"))</f>
        <v/>
      </c>
      <c r="F1516" s="32">
        <f>IF(C1516&lt;&gt;"Venta","",D1516*IFERROR(INDEX(Productos!$D$2:$D$501,MATCH(B1516,Productos!$A$2:$A$501,0)),0))</f>
        <v/>
      </c>
      <c r="G1516" s="32">
        <f>IF(C1516&lt;&gt;"Venta","",D1516*IFERROR(INDEX(Productos!$E$2:$E$501,MATCH(B1516,Productos!$A$2:$A$501,0)),0))</f>
        <v/>
      </c>
      <c r="H1516" s="33">
        <f>IF(A1516="","",MONTH(A1516))</f>
        <v/>
      </c>
      <c r="I1516" s="33">
        <f>IF(A1516="","",YEAR(A1516))</f>
        <v/>
      </c>
    </row>
    <row r="1517" ht="15" customHeight="1" s="21">
      <c r="A1517" s="34" t="n"/>
      <c r="B1517" s="30" t="n"/>
      <c r="C1517" s="30" t="n"/>
      <c r="D1517" s="30" t="n"/>
      <c r="E1517" s="33">
        <f>IF(B1517="","",IFERROR(INDEX(Productos!$B$2:$B$501,MATCH(B1517,Productos!$A$2:$A$501,0)),"¿Código?"))</f>
        <v/>
      </c>
      <c r="F1517" s="32">
        <f>IF(C1517&lt;&gt;"Venta","",D1517*IFERROR(INDEX(Productos!$D$2:$D$501,MATCH(B1517,Productos!$A$2:$A$501,0)),0))</f>
        <v/>
      </c>
      <c r="G1517" s="32">
        <f>IF(C1517&lt;&gt;"Venta","",D1517*IFERROR(INDEX(Productos!$E$2:$E$501,MATCH(B1517,Productos!$A$2:$A$501,0)),0))</f>
        <v/>
      </c>
      <c r="H1517" s="33">
        <f>IF(A1517="","",MONTH(A1517))</f>
        <v/>
      </c>
      <c r="I1517" s="33">
        <f>IF(A1517="","",YEAR(A1517))</f>
        <v/>
      </c>
    </row>
    <row r="1518" ht="15" customHeight="1" s="21">
      <c r="A1518" s="34" t="n"/>
      <c r="B1518" s="30" t="n"/>
      <c r="C1518" s="30" t="n"/>
      <c r="D1518" s="30" t="n"/>
      <c r="E1518" s="33">
        <f>IF(B1518="","",IFERROR(INDEX(Productos!$B$2:$B$501,MATCH(B1518,Productos!$A$2:$A$501,0)),"¿Código?"))</f>
        <v/>
      </c>
      <c r="F1518" s="32">
        <f>IF(C1518&lt;&gt;"Venta","",D1518*IFERROR(INDEX(Productos!$D$2:$D$501,MATCH(B1518,Productos!$A$2:$A$501,0)),0))</f>
        <v/>
      </c>
      <c r="G1518" s="32">
        <f>IF(C1518&lt;&gt;"Venta","",D1518*IFERROR(INDEX(Productos!$E$2:$E$501,MATCH(B1518,Productos!$A$2:$A$501,0)),0))</f>
        <v/>
      </c>
      <c r="H1518" s="33">
        <f>IF(A1518="","",MONTH(A1518))</f>
        <v/>
      </c>
      <c r="I1518" s="33">
        <f>IF(A1518="","",YEAR(A1518))</f>
        <v/>
      </c>
    </row>
    <row r="1519" ht="15" customHeight="1" s="21">
      <c r="A1519" s="34" t="n"/>
      <c r="B1519" s="30" t="n"/>
      <c r="C1519" s="30" t="n"/>
      <c r="D1519" s="30" t="n"/>
      <c r="E1519" s="33">
        <f>IF(B1519="","",IFERROR(INDEX(Productos!$B$2:$B$501,MATCH(B1519,Productos!$A$2:$A$501,0)),"¿Código?"))</f>
        <v/>
      </c>
      <c r="F1519" s="32">
        <f>IF(C1519&lt;&gt;"Venta","",D1519*IFERROR(INDEX(Productos!$D$2:$D$501,MATCH(B1519,Productos!$A$2:$A$501,0)),0))</f>
        <v/>
      </c>
      <c r="G1519" s="32">
        <f>IF(C1519&lt;&gt;"Venta","",D1519*IFERROR(INDEX(Productos!$E$2:$E$501,MATCH(B1519,Productos!$A$2:$A$501,0)),0))</f>
        <v/>
      </c>
      <c r="H1519" s="33">
        <f>IF(A1519="","",MONTH(A1519))</f>
        <v/>
      </c>
      <c r="I1519" s="33">
        <f>IF(A1519="","",YEAR(A1519))</f>
        <v/>
      </c>
    </row>
    <row r="1520" ht="15" customHeight="1" s="21">
      <c r="A1520" s="34" t="n"/>
      <c r="B1520" s="30" t="n"/>
      <c r="C1520" s="30" t="n"/>
      <c r="D1520" s="30" t="n"/>
      <c r="E1520" s="33">
        <f>IF(B1520="","",IFERROR(INDEX(Productos!$B$2:$B$501,MATCH(B1520,Productos!$A$2:$A$501,0)),"¿Código?"))</f>
        <v/>
      </c>
      <c r="F1520" s="32">
        <f>IF(C1520&lt;&gt;"Venta","",D1520*IFERROR(INDEX(Productos!$D$2:$D$501,MATCH(B1520,Productos!$A$2:$A$501,0)),0))</f>
        <v/>
      </c>
      <c r="G1520" s="32">
        <f>IF(C1520&lt;&gt;"Venta","",D1520*IFERROR(INDEX(Productos!$E$2:$E$501,MATCH(B1520,Productos!$A$2:$A$501,0)),0))</f>
        <v/>
      </c>
      <c r="H1520" s="33">
        <f>IF(A1520="","",MONTH(A1520))</f>
        <v/>
      </c>
      <c r="I1520" s="33">
        <f>IF(A1520="","",YEAR(A1520))</f>
        <v/>
      </c>
    </row>
    <row r="1521" ht="15" customHeight="1" s="21">
      <c r="A1521" s="34" t="n"/>
      <c r="B1521" s="30" t="n"/>
      <c r="C1521" s="30" t="n"/>
      <c r="D1521" s="30" t="n"/>
      <c r="E1521" s="33">
        <f>IF(B1521="","",IFERROR(INDEX(Productos!$B$2:$B$501,MATCH(B1521,Productos!$A$2:$A$501,0)),"¿Código?"))</f>
        <v/>
      </c>
      <c r="F1521" s="32">
        <f>IF(C1521&lt;&gt;"Venta","",D1521*IFERROR(INDEX(Productos!$D$2:$D$501,MATCH(B1521,Productos!$A$2:$A$501,0)),0))</f>
        <v/>
      </c>
      <c r="G1521" s="32">
        <f>IF(C1521&lt;&gt;"Venta","",D1521*IFERROR(INDEX(Productos!$E$2:$E$501,MATCH(B1521,Productos!$A$2:$A$501,0)),0))</f>
        <v/>
      </c>
      <c r="H1521" s="33">
        <f>IF(A1521="","",MONTH(A1521))</f>
        <v/>
      </c>
      <c r="I1521" s="33">
        <f>IF(A1521="","",YEAR(A1521))</f>
        <v/>
      </c>
    </row>
    <row r="1522" ht="15" customHeight="1" s="21">
      <c r="A1522" s="34" t="n"/>
      <c r="B1522" s="30" t="n"/>
      <c r="C1522" s="30" t="n"/>
      <c r="D1522" s="30" t="n"/>
      <c r="E1522" s="33">
        <f>IF(B1522="","",IFERROR(INDEX(Productos!$B$2:$B$501,MATCH(B1522,Productos!$A$2:$A$501,0)),"¿Código?"))</f>
        <v/>
      </c>
      <c r="F1522" s="32">
        <f>IF(C1522&lt;&gt;"Venta","",D1522*IFERROR(INDEX(Productos!$D$2:$D$501,MATCH(B1522,Productos!$A$2:$A$501,0)),0))</f>
        <v/>
      </c>
      <c r="G1522" s="32">
        <f>IF(C1522&lt;&gt;"Venta","",D1522*IFERROR(INDEX(Productos!$E$2:$E$501,MATCH(B1522,Productos!$A$2:$A$501,0)),0))</f>
        <v/>
      </c>
      <c r="H1522" s="33">
        <f>IF(A1522="","",MONTH(A1522))</f>
        <v/>
      </c>
      <c r="I1522" s="33">
        <f>IF(A1522="","",YEAR(A1522))</f>
        <v/>
      </c>
    </row>
    <row r="1523" ht="15" customHeight="1" s="21">
      <c r="A1523" s="34" t="n"/>
      <c r="B1523" s="30" t="n"/>
      <c r="C1523" s="30" t="n"/>
      <c r="D1523" s="30" t="n"/>
      <c r="E1523" s="33">
        <f>IF(B1523="","",IFERROR(INDEX(Productos!$B$2:$B$501,MATCH(B1523,Productos!$A$2:$A$501,0)),"¿Código?"))</f>
        <v/>
      </c>
      <c r="F1523" s="32">
        <f>IF(C1523&lt;&gt;"Venta","",D1523*IFERROR(INDEX(Productos!$D$2:$D$501,MATCH(B1523,Productos!$A$2:$A$501,0)),0))</f>
        <v/>
      </c>
      <c r="G1523" s="32">
        <f>IF(C1523&lt;&gt;"Venta","",D1523*IFERROR(INDEX(Productos!$E$2:$E$501,MATCH(B1523,Productos!$A$2:$A$501,0)),0))</f>
        <v/>
      </c>
      <c r="H1523" s="33">
        <f>IF(A1523="","",MONTH(A1523))</f>
        <v/>
      </c>
      <c r="I1523" s="33">
        <f>IF(A1523="","",YEAR(A1523))</f>
        <v/>
      </c>
    </row>
    <row r="1524" ht="15" customHeight="1" s="21">
      <c r="A1524" s="34" t="n"/>
      <c r="B1524" s="30" t="n"/>
      <c r="C1524" s="30" t="n"/>
      <c r="D1524" s="30" t="n"/>
      <c r="E1524" s="33">
        <f>IF(B1524="","",IFERROR(INDEX(Productos!$B$2:$B$501,MATCH(B1524,Productos!$A$2:$A$501,0)),"¿Código?"))</f>
        <v/>
      </c>
      <c r="F1524" s="32">
        <f>IF(C1524&lt;&gt;"Venta","",D1524*IFERROR(INDEX(Productos!$D$2:$D$501,MATCH(B1524,Productos!$A$2:$A$501,0)),0))</f>
        <v/>
      </c>
      <c r="G1524" s="32">
        <f>IF(C1524&lt;&gt;"Venta","",D1524*IFERROR(INDEX(Productos!$E$2:$E$501,MATCH(B1524,Productos!$A$2:$A$501,0)),0))</f>
        <v/>
      </c>
      <c r="H1524" s="33">
        <f>IF(A1524="","",MONTH(A1524))</f>
        <v/>
      </c>
      <c r="I1524" s="33">
        <f>IF(A1524="","",YEAR(A1524))</f>
        <v/>
      </c>
    </row>
    <row r="1525" ht="15" customHeight="1" s="21">
      <c r="A1525" s="34" t="n"/>
      <c r="B1525" s="30" t="n"/>
      <c r="C1525" s="30" t="n"/>
      <c r="D1525" s="30" t="n"/>
      <c r="E1525" s="33">
        <f>IF(B1525="","",IFERROR(INDEX(Productos!$B$2:$B$501,MATCH(B1525,Productos!$A$2:$A$501,0)),"¿Código?"))</f>
        <v/>
      </c>
      <c r="F1525" s="32">
        <f>IF(C1525&lt;&gt;"Venta","",D1525*IFERROR(INDEX(Productos!$D$2:$D$501,MATCH(B1525,Productos!$A$2:$A$501,0)),0))</f>
        <v/>
      </c>
      <c r="G1525" s="32">
        <f>IF(C1525&lt;&gt;"Venta","",D1525*IFERROR(INDEX(Productos!$E$2:$E$501,MATCH(B1525,Productos!$A$2:$A$501,0)),0))</f>
        <v/>
      </c>
      <c r="H1525" s="33">
        <f>IF(A1525="","",MONTH(A1525))</f>
        <v/>
      </c>
      <c r="I1525" s="33">
        <f>IF(A1525="","",YEAR(A1525))</f>
        <v/>
      </c>
    </row>
    <row r="1526" ht="15" customHeight="1" s="21">
      <c r="A1526" s="34" t="n"/>
      <c r="B1526" s="30" t="n"/>
      <c r="C1526" s="30" t="n"/>
      <c r="D1526" s="30" t="n"/>
      <c r="E1526" s="33">
        <f>IF(B1526="","",IFERROR(INDEX(Productos!$B$2:$B$501,MATCH(B1526,Productos!$A$2:$A$501,0)),"¿Código?"))</f>
        <v/>
      </c>
      <c r="F1526" s="32">
        <f>IF(C1526&lt;&gt;"Venta","",D1526*IFERROR(INDEX(Productos!$D$2:$D$501,MATCH(B1526,Productos!$A$2:$A$501,0)),0))</f>
        <v/>
      </c>
      <c r="G1526" s="32">
        <f>IF(C1526&lt;&gt;"Venta","",D1526*IFERROR(INDEX(Productos!$E$2:$E$501,MATCH(B1526,Productos!$A$2:$A$501,0)),0))</f>
        <v/>
      </c>
      <c r="H1526" s="33">
        <f>IF(A1526="","",MONTH(A1526))</f>
        <v/>
      </c>
      <c r="I1526" s="33">
        <f>IF(A1526="","",YEAR(A1526))</f>
        <v/>
      </c>
    </row>
    <row r="1527" ht="15" customHeight="1" s="21">
      <c r="A1527" s="34" t="n"/>
      <c r="B1527" s="30" t="n"/>
      <c r="C1527" s="30" t="n"/>
      <c r="D1527" s="30" t="n"/>
      <c r="E1527" s="33">
        <f>IF(B1527="","",IFERROR(INDEX(Productos!$B$2:$B$501,MATCH(B1527,Productos!$A$2:$A$501,0)),"¿Código?"))</f>
        <v/>
      </c>
      <c r="F1527" s="32">
        <f>IF(C1527&lt;&gt;"Venta","",D1527*IFERROR(INDEX(Productos!$D$2:$D$501,MATCH(B1527,Productos!$A$2:$A$501,0)),0))</f>
        <v/>
      </c>
      <c r="G1527" s="32">
        <f>IF(C1527&lt;&gt;"Venta","",D1527*IFERROR(INDEX(Productos!$E$2:$E$501,MATCH(B1527,Productos!$A$2:$A$501,0)),0))</f>
        <v/>
      </c>
      <c r="H1527" s="33">
        <f>IF(A1527="","",MONTH(A1527))</f>
        <v/>
      </c>
      <c r="I1527" s="33">
        <f>IF(A1527="","",YEAR(A1527))</f>
        <v/>
      </c>
    </row>
    <row r="1528" ht="15" customHeight="1" s="21">
      <c r="A1528" s="34" t="n"/>
      <c r="B1528" s="30" t="n"/>
      <c r="C1528" s="30" t="n"/>
      <c r="D1528" s="30" t="n"/>
      <c r="E1528" s="33">
        <f>IF(B1528="","",IFERROR(INDEX(Productos!$B$2:$B$501,MATCH(B1528,Productos!$A$2:$A$501,0)),"¿Código?"))</f>
        <v/>
      </c>
      <c r="F1528" s="32">
        <f>IF(C1528&lt;&gt;"Venta","",D1528*IFERROR(INDEX(Productos!$D$2:$D$501,MATCH(B1528,Productos!$A$2:$A$501,0)),0))</f>
        <v/>
      </c>
      <c r="G1528" s="32">
        <f>IF(C1528&lt;&gt;"Venta","",D1528*IFERROR(INDEX(Productos!$E$2:$E$501,MATCH(B1528,Productos!$A$2:$A$501,0)),0))</f>
        <v/>
      </c>
      <c r="H1528" s="33">
        <f>IF(A1528="","",MONTH(A1528))</f>
        <v/>
      </c>
      <c r="I1528" s="33">
        <f>IF(A1528="","",YEAR(A1528))</f>
        <v/>
      </c>
    </row>
    <row r="1529" ht="15" customHeight="1" s="21">
      <c r="A1529" s="34" t="n"/>
      <c r="B1529" s="30" t="n"/>
      <c r="C1529" s="30" t="n"/>
      <c r="D1529" s="30" t="n"/>
      <c r="E1529" s="33">
        <f>IF(B1529="","",IFERROR(INDEX(Productos!$B$2:$B$501,MATCH(B1529,Productos!$A$2:$A$501,0)),"¿Código?"))</f>
        <v/>
      </c>
      <c r="F1529" s="32">
        <f>IF(C1529&lt;&gt;"Venta","",D1529*IFERROR(INDEX(Productos!$D$2:$D$501,MATCH(B1529,Productos!$A$2:$A$501,0)),0))</f>
        <v/>
      </c>
      <c r="G1529" s="32">
        <f>IF(C1529&lt;&gt;"Venta","",D1529*IFERROR(INDEX(Productos!$E$2:$E$501,MATCH(B1529,Productos!$A$2:$A$501,0)),0))</f>
        <v/>
      </c>
      <c r="H1529" s="33">
        <f>IF(A1529="","",MONTH(A1529))</f>
        <v/>
      </c>
      <c r="I1529" s="33">
        <f>IF(A1529="","",YEAR(A1529))</f>
        <v/>
      </c>
    </row>
    <row r="1530" ht="15" customHeight="1" s="21">
      <c r="A1530" s="34" t="n"/>
      <c r="B1530" s="30" t="n"/>
      <c r="C1530" s="30" t="n"/>
      <c r="D1530" s="30" t="n"/>
      <c r="E1530" s="33">
        <f>IF(B1530="","",IFERROR(INDEX(Productos!$B$2:$B$501,MATCH(B1530,Productos!$A$2:$A$501,0)),"¿Código?"))</f>
        <v/>
      </c>
      <c r="F1530" s="32">
        <f>IF(C1530&lt;&gt;"Venta","",D1530*IFERROR(INDEX(Productos!$D$2:$D$501,MATCH(B1530,Productos!$A$2:$A$501,0)),0))</f>
        <v/>
      </c>
      <c r="G1530" s="32">
        <f>IF(C1530&lt;&gt;"Venta","",D1530*IFERROR(INDEX(Productos!$E$2:$E$501,MATCH(B1530,Productos!$A$2:$A$501,0)),0))</f>
        <v/>
      </c>
      <c r="H1530" s="33">
        <f>IF(A1530="","",MONTH(A1530))</f>
        <v/>
      </c>
      <c r="I1530" s="33">
        <f>IF(A1530="","",YEAR(A1530))</f>
        <v/>
      </c>
    </row>
    <row r="1531" ht="15" customHeight="1" s="21">
      <c r="A1531" s="34" t="n"/>
      <c r="B1531" s="30" t="n"/>
      <c r="C1531" s="30" t="n"/>
      <c r="D1531" s="30" t="n"/>
      <c r="E1531" s="33">
        <f>IF(B1531="","",IFERROR(INDEX(Productos!$B$2:$B$501,MATCH(B1531,Productos!$A$2:$A$501,0)),"¿Código?"))</f>
        <v/>
      </c>
      <c r="F1531" s="32">
        <f>IF(C1531&lt;&gt;"Venta","",D1531*IFERROR(INDEX(Productos!$D$2:$D$501,MATCH(B1531,Productos!$A$2:$A$501,0)),0))</f>
        <v/>
      </c>
      <c r="G1531" s="32">
        <f>IF(C1531&lt;&gt;"Venta","",D1531*IFERROR(INDEX(Productos!$E$2:$E$501,MATCH(B1531,Productos!$A$2:$A$501,0)),0))</f>
        <v/>
      </c>
      <c r="H1531" s="33">
        <f>IF(A1531="","",MONTH(A1531))</f>
        <v/>
      </c>
      <c r="I1531" s="33">
        <f>IF(A1531="","",YEAR(A1531))</f>
        <v/>
      </c>
    </row>
    <row r="1532" ht="15" customHeight="1" s="21">
      <c r="A1532" s="34" t="n"/>
      <c r="B1532" s="30" t="n"/>
      <c r="C1532" s="30" t="n"/>
      <c r="D1532" s="30" t="n"/>
      <c r="E1532" s="33">
        <f>IF(B1532="","",IFERROR(INDEX(Productos!$B$2:$B$501,MATCH(B1532,Productos!$A$2:$A$501,0)),"¿Código?"))</f>
        <v/>
      </c>
      <c r="F1532" s="32">
        <f>IF(C1532&lt;&gt;"Venta","",D1532*IFERROR(INDEX(Productos!$D$2:$D$501,MATCH(B1532,Productos!$A$2:$A$501,0)),0))</f>
        <v/>
      </c>
      <c r="G1532" s="32">
        <f>IF(C1532&lt;&gt;"Venta","",D1532*IFERROR(INDEX(Productos!$E$2:$E$501,MATCH(B1532,Productos!$A$2:$A$501,0)),0))</f>
        <v/>
      </c>
      <c r="H1532" s="33">
        <f>IF(A1532="","",MONTH(A1532))</f>
        <v/>
      </c>
      <c r="I1532" s="33">
        <f>IF(A1532="","",YEAR(A1532))</f>
        <v/>
      </c>
    </row>
    <row r="1533" ht="15" customHeight="1" s="21">
      <c r="A1533" s="34" t="n"/>
      <c r="B1533" s="30" t="n"/>
      <c r="C1533" s="30" t="n"/>
      <c r="D1533" s="30" t="n"/>
      <c r="E1533" s="33">
        <f>IF(B1533="","",IFERROR(INDEX(Productos!$B$2:$B$501,MATCH(B1533,Productos!$A$2:$A$501,0)),"¿Código?"))</f>
        <v/>
      </c>
      <c r="F1533" s="32">
        <f>IF(C1533&lt;&gt;"Venta","",D1533*IFERROR(INDEX(Productos!$D$2:$D$501,MATCH(B1533,Productos!$A$2:$A$501,0)),0))</f>
        <v/>
      </c>
      <c r="G1533" s="32">
        <f>IF(C1533&lt;&gt;"Venta","",D1533*IFERROR(INDEX(Productos!$E$2:$E$501,MATCH(B1533,Productos!$A$2:$A$501,0)),0))</f>
        <v/>
      </c>
      <c r="H1533" s="33">
        <f>IF(A1533="","",MONTH(A1533))</f>
        <v/>
      </c>
      <c r="I1533" s="33">
        <f>IF(A1533="","",YEAR(A1533))</f>
        <v/>
      </c>
    </row>
    <row r="1534" ht="15" customHeight="1" s="21">
      <c r="A1534" s="34" t="n"/>
      <c r="B1534" s="30" t="n"/>
      <c r="C1534" s="30" t="n"/>
      <c r="D1534" s="30" t="n"/>
      <c r="E1534" s="33">
        <f>IF(B1534="","",IFERROR(INDEX(Productos!$B$2:$B$501,MATCH(B1534,Productos!$A$2:$A$501,0)),"¿Código?"))</f>
        <v/>
      </c>
      <c r="F1534" s="32">
        <f>IF(C1534&lt;&gt;"Venta","",D1534*IFERROR(INDEX(Productos!$D$2:$D$501,MATCH(B1534,Productos!$A$2:$A$501,0)),0))</f>
        <v/>
      </c>
      <c r="G1534" s="32">
        <f>IF(C1534&lt;&gt;"Venta","",D1534*IFERROR(INDEX(Productos!$E$2:$E$501,MATCH(B1534,Productos!$A$2:$A$501,0)),0))</f>
        <v/>
      </c>
      <c r="H1534" s="33">
        <f>IF(A1534="","",MONTH(A1534))</f>
        <v/>
      </c>
      <c r="I1534" s="33">
        <f>IF(A1534="","",YEAR(A1534))</f>
        <v/>
      </c>
    </row>
    <row r="1535" ht="15" customHeight="1" s="21">
      <c r="A1535" s="34" t="n"/>
      <c r="B1535" s="30" t="n"/>
      <c r="C1535" s="30" t="n"/>
      <c r="D1535" s="30" t="n"/>
      <c r="E1535" s="33">
        <f>IF(B1535="","",IFERROR(INDEX(Productos!$B$2:$B$501,MATCH(B1535,Productos!$A$2:$A$501,0)),"¿Código?"))</f>
        <v/>
      </c>
      <c r="F1535" s="32">
        <f>IF(C1535&lt;&gt;"Venta","",D1535*IFERROR(INDEX(Productos!$D$2:$D$501,MATCH(B1535,Productos!$A$2:$A$501,0)),0))</f>
        <v/>
      </c>
      <c r="G1535" s="32">
        <f>IF(C1535&lt;&gt;"Venta","",D1535*IFERROR(INDEX(Productos!$E$2:$E$501,MATCH(B1535,Productos!$A$2:$A$501,0)),0))</f>
        <v/>
      </c>
      <c r="H1535" s="33">
        <f>IF(A1535="","",MONTH(A1535))</f>
        <v/>
      </c>
      <c r="I1535" s="33">
        <f>IF(A1535="","",YEAR(A1535))</f>
        <v/>
      </c>
    </row>
    <row r="1536" ht="15" customHeight="1" s="21">
      <c r="A1536" s="34" t="n"/>
      <c r="B1536" s="30" t="n"/>
      <c r="C1536" s="30" t="n"/>
      <c r="D1536" s="30" t="n"/>
      <c r="E1536" s="33">
        <f>IF(B1536="","",IFERROR(INDEX(Productos!$B$2:$B$501,MATCH(B1536,Productos!$A$2:$A$501,0)),"¿Código?"))</f>
        <v/>
      </c>
      <c r="F1536" s="32">
        <f>IF(C1536&lt;&gt;"Venta","",D1536*IFERROR(INDEX(Productos!$D$2:$D$501,MATCH(B1536,Productos!$A$2:$A$501,0)),0))</f>
        <v/>
      </c>
      <c r="G1536" s="32">
        <f>IF(C1536&lt;&gt;"Venta","",D1536*IFERROR(INDEX(Productos!$E$2:$E$501,MATCH(B1536,Productos!$A$2:$A$501,0)),0))</f>
        <v/>
      </c>
      <c r="H1536" s="33">
        <f>IF(A1536="","",MONTH(A1536))</f>
        <v/>
      </c>
      <c r="I1536" s="33">
        <f>IF(A1536="","",YEAR(A1536))</f>
        <v/>
      </c>
    </row>
    <row r="1537" ht="15" customHeight="1" s="21">
      <c r="A1537" s="34" t="n"/>
      <c r="B1537" s="30" t="n"/>
      <c r="C1537" s="30" t="n"/>
      <c r="D1537" s="30" t="n"/>
      <c r="E1537" s="33">
        <f>IF(B1537="","",IFERROR(INDEX(Productos!$B$2:$B$501,MATCH(B1537,Productos!$A$2:$A$501,0)),"¿Código?"))</f>
        <v/>
      </c>
      <c r="F1537" s="32">
        <f>IF(C1537&lt;&gt;"Venta","",D1537*IFERROR(INDEX(Productos!$D$2:$D$501,MATCH(B1537,Productos!$A$2:$A$501,0)),0))</f>
        <v/>
      </c>
      <c r="G1537" s="32">
        <f>IF(C1537&lt;&gt;"Venta","",D1537*IFERROR(INDEX(Productos!$E$2:$E$501,MATCH(B1537,Productos!$A$2:$A$501,0)),0))</f>
        <v/>
      </c>
      <c r="H1537" s="33">
        <f>IF(A1537="","",MONTH(A1537))</f>
        <v/>
      </c>
      <c r="I1537" s="33">
        <f>IF(A1537="","",YEAR(A1537))</f>
        <v/>
      </c>
    </row>
    <row r="1538" ht="15" customHeight="1" s="21">
      <c r="A1538" s="34" t="n"/>
      <c r="B1538" s="30" t="n"/>
      <c r="C1538" s="30" t="n"/>
      <c r="D1538" s="30" t="n"/>
      <c r="E1538" s="33">
        <f>IF(B1538="","",IFERROR(INDEX(Productos!$B$2:$B$501,MATCH(B1538,Productos!$A$2:$A$501,0)),"¿Código?"))</f>
        <v/>
      </c>
      <c r="F1538" s="32">
        <f>IF(C1538&lt;&gt;"Venta","",D1538*IFERROR(INDEX(Productos!$D$2:$D$501,MATCH(B1538,Productos!$A$2:$A$501,0)),0))</f>
        <v/>
      </c>
      <c r="G1538" s="32">
        <f>IF(C1538&lt;&gt;"Venta","",D1538*IFERROR(INDEX(Productos!$E$2:$E$501,MATCH(B1538,Productos!$A$2:$A$501,0)),0))</f>
        <v/>
      </c>
      <c r="H1538" s="33">
        <f>IF(A1538="","",MONTH(A1538))</f>
        <v/>
      </c>
      <c r="I1538" s="33">
        <f>IF(A1538="","",YEAR(A1538))</f>
        <v/>
      </c>
    </row>
    <row r="1539" ht="15" customHeight="1" s="21">
      <c r="A1539" s="34" t="n"/>
      <c r="B1539" s="30" t="n"/>
      <c r="C1539" s="30" t="n"/>
      <c r="D1539" s="30" t="n"/>
      <c r="E1539" s="33">
        <f>IF(B1539="","",IFERROR(INDEX(Productos!$B$2:$B$501,MATCH(B1539,Productos!$A$2:$A$501,0)),"¿Código?"))</f>
        <v/>
      </c>
      <c r="F1539" s="32">
        <f>IF(C1539&lt;&gt;"Venta","",D1539*IFERROR(INDEX(Productos!$D$2:$D$501,MATCH(B1539,Productos!$A$2:$A$501,0)),0))</f>
        <v/>
      </c>
      <c r="G1539" s="32">
        <f>IF(C1539&lt;&gt;"Venta","",D1539*IFERROR(INDEX(Productos!$E$2:$E$501,MATCH(B1539,Productos!$A$2:$A$501,0)),0))</f>
        <v/>
      </c>
      <c r="H1539" s="33">
        <f>IF(A1539="","",MONTH(A1539))</f>
        <v/>
      </c>
      <c r="I1539" s="33">
        <f>IF(A1539="","",YEAR(A1539))</f>
        <v/>
      </c>
    </row>
    <row r="1540" ht="15" customHeight="1" s="21">
      <c r="A1540" s="34" t="n"/>
      <c r="B1540" s="30" t="n"/>
      <c r="C1540" s="30" t="n"/>
      <c r="D1540" s="30" t="n"/>
      <c r="E1540" s="33">
        <f>IF(B1540="","",IFERROR(INDEX(Productos!$B$2:$B$501,MATCH(B1540,Productos!$A$2:$A$501,0)),"¿Código?"))</f>
        <v/>
      </c>
      <c r="F1540" s="32">
        <f>IF(C1540&lt;&gt;"Venta","",D1540*IFERROR(INDEX(Productos!$D$2:$D$501,MATCH(B1540,Productos!$A$2:$A$501,0)),0))</f>
        <v/>
      </c>
      <c r="G1540" s="32">
        <f>IF(C1540&lt;&gt;"Venta","",D1540*IFERROR(INDEX(Productos!$E$2:$E$501,MATCH(B1540,Productos!$A$2:$A$501,0)),0))</f>
        <v/>
      </c>
      <c r="H1540" s="33">
        <f>IF(A1540="","",MONTH(A1540))</f>
        <v/>
      </c>
      <c r="I1540" s="33">
        <f>IF(A1540="","",YEAR(A1540))</f>
        <v/>
      </c>
    </row>
    <row r="1541" ht="15" customHeight="1" s="21">
      <c r="A1541" s="34" t="n"/>
      <c r="B1541" s="30" t="n"/>
      <c r="C1541" s="30" t="n"/>
      <c r="D1541" s="30" t="n"/>
      <c r="E1541" s="33">
        <f>IF(B1541="","",IFERROR(INDEX(Productos!$B$2:$B$501,MATCH(B1541,Productos!$A$2:$A$501,0)),"¿Código?"))</f>
        <v/>
      </c>
      <c r="F1541" s="32">
        <f>IF(C1541&lt;&gt;"Venta","",D1541*IFERROR(INDEX(Productos!$D$2:$D$501,MATCH(B1541,Productos!$A$2:$A$501,0)),0))</f>
        <v/>
      </c>
      <c r="G1541" s="32">
        <f>IF(C1541&lt;&gt;"Venta","",D1541*IFERROR(INDEX(Productos!$E$2:$E$501,MATCH(B1541,Productos!$A$2:$A$501,0)),0))</f>
        <v/>
      </c>
      <c r="H1541" s="33">
        <f>IF(A1541="","",MONTH(A1541))</f>
        <v/>
      </c>
      <c r="I1541" s="33">
        <f>IF(A1541="","",YEAR(A1541))</f>
        <v/>
      </c>
    </row>
    <row r="1542" ht="15" customHeight="1" s="21">
      <c r="A1542" s="34" t="n"/>
      <c r="B1542" s="30" t="n"/>
      <c r="C1542" s="30" t="n"/>
      <c r="D1542" s="30" t="n"/>
      <c r="E1542" s="33">
        <f>IF(B1542="","",IFERROR(INDEX(Productos!$B$2:$B$501,MATCH(B1542,Productos!$A$2:$A$501,0)),"¿Código?"))</f>
        <v/>
      </c>
      <c r="F1542" s="32">
        <f>IF(C1542&lt;&gt;"Venta","",D1542*IFERROR(INDEX(Productos!$D$2:$D$501,MATCH(B1542,Productos!$A$2:$A$501,0)),0))</f>
        <v/>
      </c>
      <c r="G1542" s="32">
        <f>IF(C1542&lt;&gt;"Venta","",D1542*IFERROR(INDEX(Productos!$E$2:$E$501,MATCH(B1542,Productos!$A$2:$A$501,0)),0))</f>
        <v/>
      </c>
      <c r="H1542" s="33">
        <f>IF(A1542="","",MONTH(A1542))</f>
        <v/>
      </c>
      <c r="I1542" s="33">
        <f>IF(A1542="","",YEAR(A1542))</f>
        <v/>
      </c>
    </row>
    <row r="1543" ht="15" customHeight="1" s="21">
      <c r="A1543" s="34" t="n"/>
      <c r="B1543" s="30" t="n"/>
      <c r="C1543" s="30" t="n"/>
      <c r="D1543" s="30" t="n"/>
      <c r="E1543" s="33">
        <f>IF(B1543="","",IFERROR(INDEX(Productos!$B$2:$B$501,MATCH(B1543,Productos!$A$2:$A$501,0)),"¿Código?"))</f>
        <v/>
      </c>
      <c r="F1543" s="32">
        <f>IF(C1543&lt;&gt;"Venta","",D1543*IFERROR(INDEX(Productos!$D$2:$D$501,MATCH(B1543,Productos!$A$2:$A$501,0)),0))</f>
        <v/>
      </c>
      <c r="G1543" s="32">
        <f>IF(C1543&lt;&gt;"Venta","",D1543*IFERROR(INDEX(Productos!$E$2:$E$501,MATCH(B1543,Productos!$A$2:$A$501,0)),0))</f>
        <v/>
      </c>
      <c r="H1543" s="33">
        <f>IF(A1543="","",MONTH(A1543))</f>
        <v/>
      </c>
      <c r="I1543" s="33">
        <f>IF(A1543="","",YEAR(A1543))</f>
        <v/>
      </c>
    </row>
    <row r="1544" ht="15" customHeight="1" s="21">
      <c r="A1544" s="34" t="n"/>
      <c r="B1544" s="30" t="n"/>
      <c r="C1544" s="30" t="n"/>
      <c r="D1544" s="30" t="n"/>
      <c r="E1544" s="33">
        <f>IF(B1544="","",IFERROR(INDEX(Productos!$B$2:$B$501,MATCH(B1544,Productos!$A$2:$A$501,0)),"¿Código?"))</f>
        <v/>
      </c>
      <c r="F1544" s="32">
        <f>IF(C1544&lt;&gt;"Venta","",D1544*IFERROR(INDEX(Productos!$D$2:$D$501,MATCH(B1544,Productos!$A$2:$A$501,0)),0))</f>
        <v/>
      </c>
      <c r="G1544" s="32">
        <f>IF(C1544&lt;&gt;"Venta","",D1544*IFERROR(INDEX(Productos!$E$2:$E$501,MATCH(B1544,Productos!$A$2:$A$501,0)),0))</f>
        <v/>
      </c>
      <c r="H1544" s="33">
        <f>IF(A1544="","",MONTH(A1544))</f>
        <v/>
      </c>
      <c r="I1544" s="33">
        <f>IF(A1544="","",YEAR(A1544))</f>
        <v/>
      </c>
    </row>
    <row r="1545" ht="15" customHeight="1" s="21">
      <c r="A1545" s="34" t="n"/>
      <c r="B1545" s="30" t="n"/>
      <c r="C1545" s="30" t="n"/>
      <c r="D1545" s="30" t="n"/>
      <c r="E1545" s="33">
        <f>IF(B1545="","",IFERROR(INDEX(Productos!$B$2:$B$501,MATCH(B1545,Productos!$A$2:$A$501,0)),"¿Código?"))</f>
        <v/>
      </c>
      <c r="F1545" s="32">
        <f>IF(C1545&lt;&gt;"Venta","",D1545*IFERROR(INDEX(Productos!$D$2:$D$501,MATCH(B1545,Productos!$A$2:$A$501,0)),0))</f>
        <v/>
      </c>
      <c r="G1545" s="32">
        <f>IF(C1545&lt;&gt;"Venta","",D1545*IFERROR(INDEX(Productos!$E$2:$E$501,MATCH(B1545,Productos!$A$2:$A$501,0)),0))</f>
        <v/>
      </c>
      <c r="H1545" s="33">
        <f>IF(A1545="","",MONTH(A1545))</f>
        <v/>
      </c>
      <c r="I1545" s="33">
        <f>IF(A1545="","",YEAR(A1545))</f>
        <v/>
      </c>
    </row>
    <row r="1546" ht="15" customHeight="1" s="21">
      <c r="A1546" s="34" t="n"/>
      <c r="B1546" s="30" t="n"/>
      <c r="C1546" s="30" t="n"/>
      <c r="D1546" s="30" t="n"/>
      <c r="E1546" s="33">
        <f>IF(B1546="","",IFERROR(INDEX(Productos!$B$2:$B$501,MATCH(B1546,Productos!$A$2:$A$501,0)),"¿Código?"))</f>
        <v/>
      </c>
      <c r="F1546" s="32">
        <f>IF(C1546&lt;&gt;"Venta","",D1546*IFERROR(INDEX(Productos!$D$2:$D$501,MATCH(B1546,Productos!$A$2:$A$501,0)),0))</f>
        <v/>
      </c>
      <c r="G1546" s="32">
        <f>IF(C1546&lt;&gt;"Venta","",D1546*IFERROR(INDEX(Productos!$E$2:$E$501,MATCH(B1546,Productos!$A$2:$A$501,0)),0))</f>
        <v/>
      </c>
      <c r="H1546" s="33">
        <f>IF(A1546="","",MONTH(A1546))</f>
        <v/>
      </c>
      <c r="I1546" s="33">
        <f>IF(A1546="","",YEAR(A1546))</f>
        <v/>
      </c>
    </row>
    <row r="1547" ht="15" customHeight="1" s="21">
      <c r="A1547" s="34" t="n"/>
      <c r="B1547" s="30" t="n"/>
      <c r="C1547" s="30" t="n"/>
      <c r="D1547" s="30" t="n"/>
      <c r="E1547" s="33">
        <f>IF(B1547="","",IFERROR(INDEX(Productos!$B$2:$B$501,MATCH(B1547,Productos!$A$2:$A$501,0)),"¿Código?"))</f>
        <v/>
      </c>
      <c r="F1547" s="32">
        <f>IF(C1547&lt;&gt;"Venta","",D1547*IFERROR(INDEX(Productos!$D$2:$D$501,MATCH(B1547,Productos!$A$2:$A$501,0)),0))</f>
        <v/>
      </c>
      <c r="G1547" s="32">
        <f>IF(C1547&lt;&gt;"Venta","",D1547*IFERROR(INDEX(Productos!$E$2:$E$501,MATCH(B1547,Productos!$A$2:$A$501,0)),0))</f>
        <v/>
      </c>
      <c r="H1547" s="33">
        <f>IF(A1547="","",MONTH(A1547))</f>
        <v/>
      </c>
      <c r="I1547" s="33">
        <f>IF(A1547="","",YEAR(A1547))</f>
        <v/>
      </c>
    </row>
    <row r="1548" ht="15" customHeight="1" s="21">
      <c r="A1548" s="34" t="n"/>
      <c r="B1548" s="30" t="n"/>
      <c r="C1548" s="30" t="n"/>
      <c r="D1548" s="30" t="n"/>
      <c r="E1548" s="33">
        <f>IF(B1548="","",IFERROR(INDEX(Productos!$B$2:$B$501,MATCH(B1548,Productos!$A$2:$A$501,0)),"¿Código?"))</f>
        <v/>
      </c>
      <c r="F1548" s="32">
        <f>IF(C1548&lt;&gt;"Venta","",D1548*IFERROR(INDEX(Productos!$D$2:$D$501,MATCH(B1548,Productos!$A$2:$A$501,0)),0))</f>
        <v/>
      </c>
      <c r="G1548" s="32">
        <f>IF(C1548&lt;&gt;"Venta","",D1548*IFERROR(INDEX(Productos!$E$2:$E$501,MATCH(B1548,Productos!$A$2:$A$501,0)),0))</f>
        <v/>
      </c>
      <c r="H1548" s="33">
        <f>IF(A1548="","",MONTH(A1548))</f>
        <v/>
      </c>
      <c r="I1548" s="33">
        <f>IF(A1548="","",YEAR(A1548))</f>
        <v/>
      </c>
    </row>
    <row r="1549" ht="15" customHeight="1" s="21">
      <c r="A1549" s="34" t="n"/>
      <c r="B1549" s="30" t="n"/>
      <c r="C1549" s="30" t="n"/>
      <c r="D1549" s="30" t="n"/>
      <c r="E1549" s="33">
        <f>IF(B1549="","",IFERROR(INDEX(Productos!$B$2:$B$501,MATCH(B1549,Productos!$A$2:$A$501,0)),"¿Código?"))</f>
        <v/>
      </c>
      <c r="F1549" s="32">
        <f>IF(C1549&lt;&gt;"Venta","",D1549*IFERROR(INDEX(Productos!$D$2:$D$501,MATCH(B1549,Productos!$A$2:$A$501,0)),0))</f>
        <v/>
      </c>
      <c r="G1549" s="32">
        <f>IF(C1549&lt;&gt;"Venta","",D1549*IFERROR(INDEX(Productos!$E$2:$E$501,MATCH(B1549,Productos!$A$2:$A$501,0)),0))</f>
        <v/>
      </c>
      <c r="H1549" s="33">
        <f>IF(A1549="","",MONTH(A1549))</f>
        <v/>
      </c>
      <c r="I1549" s="33">
        <f>IF(A1549="","",YEAR(A1549))</f>
        <v/>
      </c>
    </row>
    <row r="1550" ht="15" customHeight="1" s="21">
      <c r="A1550" s="34" t="n"/>
      <c r="B1550" s="30" t="n"/>
      <c r="C1550" s="30" t="n"/>
      <c r="D1550" s="30" t="n"/>
      <c r="E1550" s="33">
        <f>IF(B1550="","",IFERROR(INDEX(Productos!$B$2:$B$501,MATCH(B1550,Productos!$A$2:$A$501,0)),"¿Código?"))</f>
        <v/>
      </c>
      <c r="F1550" s="32">
        <f>IF(C1550&lt;&gt;"Venta","",D1550*IFERROR(INDEX(Productos!$D$2:$D$501,MATCH(B1550,Productos!$A$2:$A$501,0)),0))</f>
        <v/>
      </c>
      <c r="G1550" s="32">
        <f>IF(C1550&lt;&gt;"Venta","",D1550*IFERROR(INDEX(Productos!$E$2:$E$501,MATCH(B1550,Productos!$A$2:$A$501,0)),0))</f>
        <v/>
      </c>
      <c r="H1550" s="33">
        <f>IF(A1550="","",MONTH(A1550))</f>
        <v/>
      </c>
      <c r="I1550" s="33">
        <f>IF(A1550="","",YEAR(A1550))</f>
        <v/>
      </c>
    </row>
    <row r="1551" ht="15" customHeight="1" s="21">
      <c r="A1551" s="34" t="n"/>
      <c r="B1551" s="30" t="n"/>
      <c r="C1551" s="30" t="n"/>
      <c r="D1551" s="30" t="n"/>
      <c r="E1551" s="33">
        <f>IF(B1551="","",IFERROR(INDEX(Productos!$B$2:$B$501,MATCH(B1551,Productos!$A$2:$A$501,0)),"¿Código?"))</f>
        <v/>
      </c>
      <c r="F1551" s="32">
        <f>IF(C1551&lt;&gt;"Venta","",D1551*IFERROR(INDEX(Productos!$D$2:$D$501,MATCH(B1551,Productos!$A$2:$A$501,0)),0))</f>
        <v/>
      </c>
      <c r="G1551" s="32">
        <f>IF(C1551&lt;&gt;"Venta","",D1551*IFERROR(INDEX(Productos!$E$2:$E$501,MATCH(B1551,Productos!$A$2:$A$501,0)),0))</f>
        <v/>
      </c>
      <c r="H1551" s="33">
        <f>IF(A1551="","",MONTH(A1551))</f>
        <v/>
      </c>
      <c r="I1551" s="33">
        <f>IF(A1551="","",YEAR(A1551))</f>
        <v/>
      </c>
    </row>
    <row r="1552" ht="15" customHeight="1" s="21">
      <c r="A1552" s="34" t="n"/>
      <c r="B1552" s="30" t="n"/>
      <c r="C1552" s="30" t="n"/>
      <c r="D1552" s="30" t="n"/>
      <c r="E1552" s="33">
        <f>IF(B1552="","",IFERROR(INDEX(Productos!$B$2:$B$501,MATCH(B1552,Productos!$A$2:$A$501,0)),"¿Código?"))</f>
        <v/>
      </c>
      <c r="F1552" s="32">
        <f>IF(C1552&lt;&gt;"Venta","",D1552*IFERROR(INDEX(Productos!$D$2:$D$501,MATCH(B1552,Productos!$A$2:$A$501,0)),0))</f>
        <v/>
      </c>
      <c r="G1552" s="32">
        <f>IF(C1552&lt;&gt;"Venta","",D1552*IFERROR(INDEX(Productos!$E$2:$E$501,MATCH(B1552,Productos!$A$2:$A$501,0)),0))</f>
        <v/>
      </c>
      <c r="H1552" s="33">
        <f>IF(A1552="","",MONTH(A1552))</f>
        <v/>
      </c>
      <c r="I1552" s="33">
        <f>IF(A1552="","",YEAR(A1552))</f>
        <v/>
      </c>
    </row>
    <row r="1553" ht="15" customHeight="1" s="21">
      <c r="A1553" s="34" t="n"/>
      <c r="B1553" s="30" t="n"/>
      <c r="C1553" s="30" t="n"/>
      <c r="D1553" s="30" t="n"/>
      <c r="E1553" s="33">
        <f>IF(B1553="","",IFERROR(INDEX(Productos!$B$2:$B$501,MATCH(B1553,Productos!$A$2:$A$501,0)),"¿Código?"))</f>
        <v/>
      </c>
      <c r="F1553" s="32">
        <f>IF(C1553&lt;&gt;"Venta","",D1553*IFERROR(INDEX(Productos!$D$2:$D$501,MATCH(B1553,Productos!$A$2:$A$501,0)),0))</f>
        <v/>
      </c>
      <c r="G1553" s="32">
        <f>IF(C1553&lt;&gt;"Venta","",D1553*IFERROR(INDEX(Productos!$E$2:$E$501,MATCH(B1553,Productos!$A$2:$A$501,0)),0))</f>
        <v/>
      </c>
      <c r="H1553" s="33">
        <f>IF(A1553="","",MONTH(A1553))</f>
        <v/>
      </c>
      <c r="I1553" s="33">
        <f>IF(A1553="","",YEAR(A1553))</f>
        <v/>
      </c>
    </row>
    <row r="1554" ht="15" customHeight="1" s="21">
      <c r="A1554" s="34" t="n"/>
      <c r="B1554" s="30" t="n"/>
      <c r="C1554" s="30" t="n"/>
      <c r="D1554" s="30" t="n"/>
      <c r="E1554" s="33">
        <f>IF(B1554="","",IFERROR(INDEX(Productos!$B$2:$B$501,MATCH(B1554,Productos!$A$2:$A$501,0)),"¿Código?"))</f>
        <v/>
      </c>
      <c r="F1554" s="32">
        <f>IF(C1554&lt;&gt;"Venta","",D1554*IFERROR(INDEX(Productos!$D$2:$D$501,MATCH(B1554,Productos!$A$2:$A$501,0)),0))</f>
        <v/>
      </c>
      <c r="G1554" s="32">
        <f>IF(C1554&lt;&gt;"Venta","",D1554*IFERROR(INDEX(Productos!$E$2:$E$501,MATCH(B1554,Productos!$A$2:$A$501,0)),0))</f>
        <v/>
      </c>
      <c r="H1554" s="33">
        <f>IF(A1554="","",MONTH(A1554))</f>
        <v/>
      </c>
      <c r="I1554" s="33">
        <f>IF(A1554="","",YEAR(A1554))</f>
        <v/>
      </c>
    </row>
    <row r="1555" ht="15" customHeight="1" s="21">
      <c r="A1555" s="34" t="n"/>
      <c r="B1555" s="30" t="n"/>
      <c r="C1555" s="30" t="n"/>
      <c r="D1555" s="30" t="n"/>
      <c r="E1555" s="33">
        <f>IF(B1555="","",IFERROR(INDEX(Productos!$B$2:$B$501,MATCH(B1555,Productos!$A$2:$A$501,0)),"¿Código?"))</f>
        <v/>
      </c>
      <c r="F1555" s="32">
        <f>IF(C1555&lt;&gt;"Venta","",D1555*IFERROR(INDEX(Productos!$D$2:$D$501,MATCH(B1555,Productos!$A$2:$A$501,0)),0))</f>
        <v/>
      </c>
      <c r="G1555" s="32">
        <f>IF(C1555&lt;&gt;"Venta","",D1555*IFERROR(INDEX(Productos!$E$2:$E$501,MATCH(B1555,Productos!$A$2:$A$501,0)),0))</f>
        <v/>
      </c>
      <c r="H1555" s="33">
        <f>IF(A1555="","",MONTH(A1555))</f>
        <v/>
      </c>
      <c r="I1555" s="33">
        <f>IF(A1555="","",YEAR(A1555))</f>
        <v/>
      </c>
    </row>
    <row r="1556" ht="15" customHeight="1" s="21">
      <c r="A1556" s="34" t="n"/>
      <c r="B1556" s="30" t="n"/>
      <c r="C1556" s="30" t="n"/>
      <c r="D1556" s="30" t="n"/>
      <c r="E1556" s="33">
        <f>IF(B1556="","",IFERROR(INDEX(Productos!$B$2:$B$501,MATCH(B1556,Productos!$A$2:$A$501,0)),"¿Código?"))</f>
        <v/>
      </c>
      <c r="F1556" s="32">
        <f>IF(C1556&lt;&gt;"Venta","",D1556*IFERROR(INDEX(Productos!$D$2:$D$501,MATCH(B1556,Productos!$A$2:$A$501,0)),0))</f>
        <v/>
      </c>
      <c r="G1556" s="32">
        <f>IF(C1556&lt;&gt;"Venta","",D1556*IFERROR(INDEX(Productos!$E$2:$E$501,MATCH(B1556,Productos!$A$2:$A$501,0)),0))</f>
        <v/>
      </c>
      <c r="H1556" s="33">
        <f>IF(A1556="","",MONTH(A1556))</f>
        <v/>
      </c>
      <c r="I1556" s="33">
        <f>IF(A1556="","",YEAR(A1556))</f>
        <v/>
      </c>
    </row>
    <row r="1557" ht="15" customHeight="1" s="21">
      <c r="A1557" s="34" t="n"/>
      <c r="B1557" s="30" t="n"/>
      <c r="C1557" s="30" t="n"/>
      <c r="D1557" s="30" t="n"/>
      <c r="E1557" s="33">
        <f>IF(B1557="","",IFERROR(INDEX(Productos!$B$2:$B$501,MATCH(B1557,Productos!$A$2:$A$501,0)),"¿Código?"))</f>
        <v/>
      </c>
      <c r="F1557" s="32">
        <f>IF(C1557&lt;&gt;"Venta","",D1557*IFERROR(INDEX(Productos!$D$2:$D$501,MATCH(B1557,Productos!$A$2:$A$501,0)),0))</f>
        <v/>
      </c>
      <c r="G1557" s="32">
        <f>IF(C1557&lt;&gt;"Venta","",D1557*IFERROR(INDEX(Productos!$E$2:$E$501,MATCH(B1557,Productos!$A$2:$A$501,0)),0))</f>
        <v/>
      </c>
      <c r="H1557" s="33">
        <f>IF(A1557="","",MONTH(A1557))</f>
        <v/>
      </c>
      <c r="I1557" s="33">
        <f>IF(A1557="","",YEAR(A1557))</f>
        <v/>
      </c>
    </row>
    <row r="1558" ht="15" customHeight="1" s="21">
      <c r="A1558" s="34" t="n"/>
      <c r="B1558" s="30" t="n"/>
      <c r="C1558" s="30" t="n"/>
      <c r="D1558" s="30" t="n"/>
      <c r="E1558" s="33">
        <f>IF(B1558="","",IFERROR(INDEX(Productos!$B$2:$B$501,MATCH(B1558,Productos!$A$2:$A$501,0)),"¿Código?"))</f>
        <v/>
      </c>
      <c r="F1558" s="32">
        <f>IF(C1558&lt;&gt;"Venta","",D1558*IFERROR(INDEX(Productos!$D$2:$D$501,MATCH(B1558,Productos!$A$2:$A$501,0)),0))</f>
        <v/>
      </c>
      <c r="G1558" s="32">
        <f>IF(C1558&lt;&gt;"Venta","",D1558*IFERROR(INDEX(Productos!$E$2:$E$501,MATCH(B1558,Productos!$A$2:$A$501,0)),0))</f>
        <v/>
      </c>
      <c r="H1558" s="33">
        <f>IF(A1558="","",MONTH(A1558))</f>
        <v/>
      </c>
      <c r="I1558" s="33">
        <f>IF(A1558="","",YEAR(A1558))</f>
        <v/>
      </c>
    </row>
    <row r="1559" ht="15" customHeight="1" s="21">
      <c r="A1559" s="34" t="n"/>
      <c r="B1559" s="30" t="n"/>
      <c r="C1559" s="30" t="n"/>
      <c r="D1559" s="30" t="n"/>
      <c r="E1559" s="33">
        <f>IF(B1559="","",IFERROR(INDEX(Productos!$B$2:$B$501,MATCH(B1559,Productos!$A$2:$A$501,0)),"¿Código?"))</f>
        <v/>
      </c>
      <c r="F1559" s="32">
        <f>IF(C1559&lt;&gt;"Venta","",D1559*IFERROR(INDEX(Productos!$D$2:$D$501,MATCH(B1559,Productos!$A$2:$A$501,0)),0))</f>
        <v/>
      </c>
      <c r="G1559" s="32">
        <f>IF(C1559&lt;&gt;"Venta","",D1559*IFERROR(INDEX(Productos!$E$2:$E$501,MATCH(B1559,Productos!$A$2:$A$501,0)),0))</f>
        <v/>
      </c>
      <c r="H1559" s="33">
        <f>IF(A1559="","",MONTH(A1559))</f>
        <v/>
      </c>
      <c r="I1559" s="33">
        <f>IF(A1559="","",YEAR(A1559))</f>
        <v/>
      </c>
    </row>
    <row r="1560" ht="15" customHeight="1" s="21">
      <c r="A1560" s="34" t="n"/>
      <c r="B1560" s="30" t="n"/>
      <c r="C1560" s="30" t="n"/>
      <c r="D1560" s="30" t="n"/>
      <c r="E1560" s="33">
        <f>IF(B1560="","",IFERROR(INDEX(Productos!$B$2:$B$501,MATCH(B1560,Productos!$A$2:$A$501,0)),"¿Código?"))</f>
        <v/>
      </c>
      <c r="F1560" s="32">
        <f>IF(C1560&lt;&gt;"Venta","",D1560*IFERROR(INDEX(Productos!$D$2:$D$501,MATCH(B1560,Productos!$A$2:$A$501,0)),0))</f>
        <v/>
      </c>
      <c r="G1560" s="32">
        <f>IF(C1560&lt;&gt;"Venta","",D1560*IFERROR(INDEX(Productos!$E$2:$E$501,MATCH(B1560,Productos!$A$2:$A$501,0)),0))</f>
        <v/>
      </c>
      <c r="H1560" s="33">
        <f>IF(A1560="","",MONTH(A1560))</f>
        <v/>
      </c>
      <c r="I1560" s="33">
        <f>IF(A1560="","",YEAR(A1560))</f>
        <v/>
      </c>
    </row>
    <row r="1561" ht="15" customHeight="1" s="21">
      <c r="A1561" s="34" t="n"/>
      <c r="B1561" s="30" t="n"/>
      <c r="C1561" s="30" t="n"/>
      <c r="D1561" s="30" t="n"/>
      <c r="E1561" s="33">
        <f>IF(B1561="","",IFERROR(INDEX(Productos!$B$2:$B$501,MATCH(B1561,Productos!$A$2:$A$501,0)),"¿Código?"))</f>
        <v/>
      </c>
      <c r="F1561" s="32">
        <f>IF(C1561&lt;&gt;"Venta","",D1561*IFERROR(INDEX(Productos!$D$2:$D$501,MATCH(B1561,Productos!$A$2:$A$501,0)),0))</f>
        <v/>
      </c>
      <c r="G1561" s="32">
        <f>IF(C1561&lt;&gt;"Venta","",D1561*IFERROR(INDEX(Productos!$E$2:$E$501,MATCH(B1561,Productos!$A$2:$A$501,0)),0))</f>
        <v/>
      </c>
      <c r="H1561" s="33">
        <f>IF(A1561="","",MONTH(A1561))</f>
        <v/>
      </c>
      <c r="I1561" s="33">
        <f>IF(A1561="","",YEAR(A1561))</f>
        <v/>
      </c>
    </row>
    <row r="1562" ht="15" customHeight="1" s="21">
      <c r="A1562" s="34" t="n"/>
      <c r="B1562" s="30" t="n"/>
      <c r="C1562" s="30" t="n"/>
      <c r="D1562" s="30" t="n"/>
      <c r="E1562" s="33">
        <f>IF(B1562="","",IFERROR(INDEX(Productos!$B$2:$B$501,MATCH(B1562,Productos!$A$2:$A$501,0)),"¿Código?"))</f>
        <v/>
      </c>
      <c r="F1562" s="32">
        <f>IF(C1562&lt;&gt;"Venta","",D1562*IFERROR(INDEX(Productos!$D$2:$D$501,MATCH(B1562,Productos!$A$2:$A$501,0)),0))</f>
        <v/>
      </c>
      <c r="G1562" s="32">
        <f>IF(C1562&lt;&gt;"Venta","",D1562*IFERROR(INDEX(Productos!$E$2:$E$501,MATCH(B1562,Productos!$A$2:$A$501,0)),0))</f>
        <v/>
      </c>
      <c r="H1562" s="33">
        <f>IF(A1562="","",MONTH(A1562))</f>
        <v/>
      </c>
      <c r="I1562" s="33">
        <f>IF(A1562="","",YEAR(A1562))</f>
        <v/>
      </c>
    </row>
    <row r="1563" ht="15" customHeight="1" s="21">
      <c r="A1563" s="34" t="n"/>
      <c r="B1563" s="30" t="n"/>
      <c r="C1563" s="30" t="n"/>
      <c r="D1563" s="30" t="n"/>
      <c r="E1563" s="33">
        <f>IF(B1563="","",IFERROR(INDEX(Productos!$B$2:$B$501,MATCH(B1563,Productos!$A$2:$A$501,0)),"¿Código?"))</f>
        <v/>
      </c>
      <c r="F1563" s="32">
        <f>IF(C1563&lt;&gt;"Venta","",D1563*IFERROR(INDEX(Productos!$D$2:$D$501,MATCH(B1563,Productos!$A$2:$A$501,0)),0))</f>
        <v/>
      </c>
      <c r="G1563" s="32">
        <f>IF(C1563&lt;&gt;"Venta","",D1563*IFERROR(INDEX(Productos!$E$2:$E$501,MATCH(B1563,Productos!$A$2:$A$501,0)),0))</f>
        <v/>
      </c>
      <c r="H1563" s="33">
        <f>IF(A1563="","",MONTH(A1563))</f>
        <v/>
      </c>
      <c r="I1563" s="33">
        <f>IF(A1563="","",YEAR(A1563))</f>
        <v/>
      </c>
    </row>
    <row r="1564" ht="15" customHeight="1" s="21">
      <c r="A1564" s="34" t="n"/>
      <c r="B1564" s="30" t="n"/>
      <c r="C1564" s="30" t="n"/>
      <c r="D1564" s="30" t="n"/>
      <c r="E1564" s="33">
        <f>IF(B1564="","",IFERROR(INDEX(Productos!$B$2:$B$501,MATCH(B1564,Productos!$A$2:$A$501,0)),"¿Código?"))</f>
        <v/>
      </c>
      <c r="F1564" s="32">
        <f>IF(C1564&lt;&gt;"Venta","",D1564*IFERROR(INDEX(Productos!$D$2:$D$501,MATCH(B1564,Productos!$A$2:$A$501,0)),0))</f>
        <v/>
      </c>
      <c r="G1564" s="32">
        <f>IF(C1564&lt;&gt;"Venta","",D1564*IFERROR(INDEX(Productos!$E$2:$E$501,MATCH(B1564,Productos!$A$2:$A$501,0)),0))</f>
        <v/>
      </c>
      <c r="H1564" s="33">
        <f>IF(A1564="","",MONTH(A1564))</f>
        <v/>
      </c>
      <c r="I1564" s="33">
        <f>IF(A1564="","",YEAR(A1564))</f>
        <v/>
      </c>
    </row>
    <row r="1565" ht="15" customHeight="1" s="21">
      <c r="A1565" s="34" t="n"/>
      <c r="B1565" s="30" t="n"/>
      <c r="C1565" s="30" t="n"/>
      <c r="D1565" s="30" t="n"/>
      <c r="E1565" s="33">
        <f>IF(B1565="","",IFERROR(INDEX(Productos!$B$2:$B$501,MATCH(B1565,Productos!$A$2:$A$501,0)),"¿Código?"))</f>
        <v/>
      </c>
      <c r="F1565" s="32">
        <f>IF(C1565&lt;&gt;"Venta","",D1565*IFERROR(INDEX(Productos!$D$2:$D$501,MATCH(B1565,Productos!$A$2:$A$501,0)),0))</f>
        <v/>
      </c>
      <c r="G1565" s="32">
        <f>IF(C1565&lt;&gt;"Venta","",D1565*IFERROR(INDEX(Productos!$E$2:$E$501,MATCH(B1565,Productos!$A$2:$A$501,0)),0))</f>
        <v/>
      </c>
      <c r="H1565" s="33">
        <f>IF(A1565="","",MONTH(A1565))</f>
        <v/>
      </c>
      <c r="I1565" s="33">
        <f>IF(A1565="","",YEAR(A1565))</f>
        <v/>
      </c>
    </row>
    <row r="1566" ht="15" customHeight="1" s="21">
      <c r="A1566" s="34" t="n"/>
      <c r="B1566" s="30" t="n"/>
      <c r="C1566" s="30" t="n"/>
      <c r="D1566" s="30" t="n"/>
      <c r="E1566" s="33">
        <f>IF(B1566="","",IFERROR(INDEX(Productos!$B$2:$B$501,MATCH(B1566,Productos!$A$2:$A$501,0)),"¿Código?"))</f>
        <v/>
      </c>
      <c r="F1566" s="32">
        <f>IF(C1566&lt;&gt;"Venta","",D1566*IFERROR(INDEX(Productos!$D$2:$D$501,MATCH(B1566,Productos!$A$2:$A$501,0)),0))</f>
        <v/>
      </c>
      <c r="G1566" s="32">
        <f>IF(C1566&lt;&gt;"Venta","",D1566*IFERROR(INDEX(Productos!$E$2:$E$501,MATCH(B1566,Productos!$A$2:$A$501,0)),0))</f>
        <v/>
      </c>
      <c r="H1566" s="33">
        <f>IF(A1566="","",MONTH(A1566))</f>
        <v/>
      </c>
      <c r="I1566" s="33">
        <f>IF(A1566="","",YEAR(A1566))</f>
        <v/>
      </c>
    </row>
    <row r="1567" ht="15" customHeight="1" s="21">
      <c r="A1567" s="34" t="n"/>
      <c r="B1567" s="30" t="n"/>
      <c r="C1567" s="30" t="n"/>
      <c r="D1567" s="30" t="n"/>
      <c r="E1567" s="33">
        <f>IF(B1567="","",IFERROR(INDEX(Productos!$B$2:$B$501,MATCH(B1567,Productos!$A$2:$A$501,0)),"¿Código?"))</f>
        <v/>
      </c>
      <c r="F1567" s="32">
        <f>IF(C1567&lt;&gt;"Venta","",D1567*IFERROR(INDEX(Productos!$D$2:$D$501,MATCH(B1567,Productos!$A$2:$A$501,0)),0))</f>
        <v/>
      </c>
      <c r="G1567" s="32">
        <f>IF(C1567&lt;&gt;"Venta","",D1567*IFERROR(INDEX(Productos!$E$2:$E$501,MATCH(B1567,Productos!$A$2:$A$501,0)),0))</f>
        <v/>
      </c>
      <c r="H1567" s="33">
        <f>IF(A1567="","",MONTH(A1567))</f>
        <v/>
      </c>
      <c r="I1567" s="33">
        <f>IF(A1567="","",YEAR(A1567))</f>
        <v/>
      </c>
    </row>
    <row r="1568" ht="15" customHeight="1" s="21">
      <c r="A1568" s="34" t="n"/>
      <c r="B1568" s="30" t="n"/>
      <c r="C1568" s="30" t="n"/>
      <c r="D1568" s="30" t="n"/>
      <c r="E1568" s="33">
        <f>IF(B1568="","",IFERROR(INDEX(Productos!$B$2:$B$501,MATCH(B1568,Productos!$A$2:$A$501,0)),"¿Código?"))</f>
        <v/>
      </c>
      <c r="F1568" s="32">
        <f>IF(C1568&lt;&gt;"Venta","",D1568*IFERROR(INDEX(Productos!$D$2:$D$501,MATCH(B1568,Productos!$A$2:$A$501,0)),0))</f>
        <v/>
      </c>
      <c r="G1568" s="32">
        <f>IF(C1568&lt;&gt;"Venta","",D1568*IFERROR(INDEX(Productos!$E$2:$E$501,MATCH(B1568,Productos!$A$2:$A$501,0)),0))</f>
        <v/>
      </c>
      <c r="H1568" s="33">
        <f>IF(A1568="","",MONTH(A1568))</f>
        <v/>
      </c>
      <c r="I1568" s="33">
        <f>IF(A1568="","",YEAR(A1568))</f>
        <v/>
      </c>
    </row>
    <row r="1569" ht="15" customHeight="1" s="21">
      <c r="A1569" s="34" t="n"/>
      <c r="B1569" s="30" t="n"/>
      <c r="C1569" s="30" t="n"/>
      <c r="D1569" s="30" t="n"/>
      <c r="E1569" s="33">
        <f>IF(B1569="","",IFERROR(INDEX(Productos!$B$2:$B$501,MATCH(B1569,Productos!$A$2:$A$501,0)),"¿Código?"))</f>
        <v/>
      </c>
      <c r="F1569" s="32">
        <f>IF(C1569&lt;&gt;"Venta","",D1569*IFERROR(INDEX(Productos!$D$2:$D$501,MATCH(B1569,Productos!$A$2:$A$501,0)),0))</f>
        <v/>
      </c>
      <c r="G1569" s="32">
        <f>IF(C1569&lt;&gt;"Venta","",D1569*IFERROR(INDEX(Productos!$E$2:$E$501,MATCH(B1569,Productos!$A$2:$A$501,0)),0))</f>
        <v/>
      </c>
      <c r="H1569" s="33">
        <f>IF(A1569="","",MONTH(A1569))</f>
        <v/>
      </c>
      <c r="I1569" s="33">
        <f>IF(A1569="","",YEAR(A1569))</f>
        <v/>
      </c>
    </row>
    <row r="1570" ht="15" customHeight="1" s="21">
      <c r="A1570" s="34" t="n"/>
      <c r="B1570" s="30" t="n"/>
      <c r="C1570" s="30" t="n"/>
      <c r="D1570" s="30" t="n"/>
      <c r="E1570" s="33">
        <f>IF(B1570="","",IFERROR(INDEX(Productos!$B$2:$B$501,MATCH(B1570,Productos!$A$2:$A$501,0)),"¿Código?"))</f>
        <v/>
      </c>
      <c r="F1570" s="32">
        <f>IF(C1570&lt;&gt;"Venta","",D1570*IFERROR(INDEX(Productos!$D$2:$D$501,MATCH(B1570,Productos!$A$2:$A$501,0)),0))</f>
        <v/>
      </c>
      <c r="G1570" s="32">
        <f>IF(C1570&lt;&gt;"Venta","",D1570*IFERROR(INDEX(Productos!$E$2:$E$501,MATCH(B1570,Productos!$A$2:$A$501,0)),0))</f>
        <v/>
      </c>
      <c r="H1570" s="33">
        <f>IF(A1570="","",MONTH(A1570))</f>
        <v/>
      </c>
      <c r="I1570" s="33">
        <f>IF(A1570="","",YEAR(A1570))</f>
        <v/>
      </c>
    </row>
    <row r="1571" ht="15" customHeight="1" s="21">
      <c r="A1571" s="34" t="n"/>
      <c r="B1571" s="30" t="n"/>
      <c r="C1571" s="30" t="n"/>
      <c r="D1571" s="30" t="n"/>
      <c r="E1571" s="33">
        <f>IF(B1571="","",IFERROR(INDEX(Productos!$B$2:$B$501,MATCH(B1571,Productos!$A$2:$A$501,0)),"¿Código?"))</f>
        <v/>
      </c>
      <c r="F1571" s="32">
        <f>IF(C1571&lt;&gt;"Venta","",D1571*IFERROR(INDEX(Productos!$D$2:$D$501,MATCH(B1571,Productos!$A$2:$A$501,0)),0))</f>
        <v/>
      </c>
      <c r="G1571" s="32">
        <f>IF(C1571&lt;&gt;"Venta","",D1571*IFERROR(INDEX(Productos!$E$2:$E$501,MATCH(B1571,Productos!$A$2:$A$501,0)),0))</f>
        <v/>
      </c>
      <c r="H1571" s="33">
        <f>IF(A1571="","",MONTH(A1571))</f>
        <v/>
      </c>
      <c r="I1571" s="33">
        <f>IF(A1571="","",YEAR(A1571))</f>
        <v/>
      </c>
    </row>
    <row r="1572" ht="15" customHeight="1" s="21">
      <c r="A1572" s="34" t="n"/>
      <c r="B1572" s="30" t="n"/>
      <c r="C1572" s="30" t="n"/>
      <c r="D1572" s="30" t="n"/>
      <c r="E1572" s="33">
        <f>IF(B1572="","",IFERROR(INDEX(Productos!$B$2:$B$501,MATCH(B1572,Productos!$A$2:$A$501,0)),"¿Código?"))</f>
        <v/>
      </c>
      <c r="F1572" s="32">
        <f>IF(C1572&lt;&gt;"Venta","",D1572*IFERROR(INDEX(Productos!$D$2:$D$501,MATCH(B1572,Productos!$A$2:$A$501,0)),0))</f>
        <v/>
      </c>
      <c r="G1572" s="32">
        <f>IF(C1572&lt;&gt;"Venta","",D1572*IFERROR(INDEX(Productos!$E$2:$E$501,MATCH(B1572,Productos!$A$2:$A$501,0)),0))</f>
        <v/>
      </c>
      <c r="H1572" s="33">
        <f>IF(A1572="","",MONTH(A1572))</f>
        <v/>
      </c>
      <c r="I1572" s="33">
        <f>IF(A1572="","",YEAR(A1572))</f>
        <v/>
      </c>
    </row>
    <row r="1573" ht="15" customHeight="1" s="21">
      <c r="A1573" s="34" t="n"/>
      <c r="B1573" s="30" t="n"/>
      <c r="C1573" s="30" t="n"/>
      <c r="D1573" s="30" t="n"/>
      <c r="E1573" s="33">
        <f>IF(B1573="","",IFERROR(INDEX(Productos!$B$2:$B$501,MATCH(B1573,Productos!$A$2:$A$501,0)),"¿Código?"))</f>
        <v/>
      </c>
      <c r="F1573" s="32">
        <f>IF(C1573&lt;&gt;"Venta","",D1573*IFERROR(INDEX(Productos!$D$2:$D$501,MATCH(B1573,Productos!$A$2:$A$501,0)),0))</f>
        <v/>
      </c>
      <c r="G1573" s="32">
        <f>IF(C1573&lt;&gt;"Venta","",D1573*IFERROR(INDEX(Productos!$E$2:$E$501,MATCH(B1573,Productos!$A$2:$A$501,0)),0))</f>
        <v/>
      </c>
      <c r="H1573" s="33">
        <f>IF(A1573="","",MONTH(A1573))</f>
        <v/>
      </c>
      <c r="I1573" s="33">
        <f>IF(A1573="","",YEAR(A1573))</f>
        <v/>
      </c>
    </row>
    <row r="1574" ht="15" customHeight="1" s="21">
      <c r="A1574" s="34" t="n"/>
      <c r="B1574" s="30" t="n"/>
      <c r="C1574" s="30" t="n"/>
      <c r="D1574" s="30" t="n"/>
      <c r="E1574" s="33">
        <f>IF(B1574="","",IFERROR(INDEX(Productos!$B$2:$B$501,MATCH(B1574,Productos!$A$2:$A$501,0)),"¿Código?"))</f>
        <v/>
      </c>
      <c r="F1574" s="32">
        <f>IF(C1574&lt;&gt;"Venta","",D1574*IFERROR(INDEX(Productos!$D$2:$D$501,MATCH(B1574,Productos!$A$2:$A$501,0)),0))</f>
        <v/>
      </c>
      <c r="G1574" s="32">
        <f>IF(C1574&lt;&gt;"Venta","",D1574*IFERROR(INDEX(Productos!$E$2:$E$501,MATCH(B1574,Productos!$A$2:$A$501,0)),0))</f>
        <v/>
      </c>
      <c r="H1574" s="33">
        <f>IF(A1574="","",MONTH(A1574))</f>
        <v/>
      </c>
      <c r="I1574" s="33">
        <f>IF(A1574="","",YEAR(A1574))</f>
        <v/>
      </c>
    </row>
    <row r="1575" ht="15" customHeight="1" s="21">
      <c r="A1575" s="34" t="n"/>
      <c r="B1575" s="30" t="n"/>
      <c r="C1575" s="30" t="n"/>
      <c r="D1575" s="30" t="n"/>
      <c r="E1575" s="33">
        <f>IF(B1575="","",IFERROR(INDEX(Productos!$B$2:$B$501,MATCH(B1575,Productos!$A$2:$A$501,0)),"¿Código?"))</f>
        <v/>
      </c>
      <c r="F1575" s="32">
        <f>IF(C1575&lt;&gt;"Venta","",D1575*IFERROR(INDEX(Productos!$D$2:$D$501,MATCH(B1575,Productos!$A$2:$A$501,0)),0))</f>
        <v/>
      </c>
      <c r="G1575" s="32">
        <f>IF(C1575&lt;&gt;"Venta","",D1575*IFERROR(INDEX(Productos!$E$2:$E$501,MATCH(B1575,Productos!$A$2:$A$501,0)),0))</f>
        <v/>
      </c>
      <c r="H1575" s="33">
        <f>IF(A1575="","",MONTH(A1575))</f>
        <v/>
      </c>
      <c r="I1575" s="33">
        <f>IF(A1575="","",YEAR(A1575))</f>
        <v/>
      </c>
    </row>
    <row r="1576" ht="15" customHeight="1" s="21">
      <c r="A1576" s="34" t="n"/>
      <c r="B1576" s="30" t="n"/>
      <c r="C1576" s="30" t="n"/>
      <c r="D1576" s="30" t="n"/>
      <c r="E1576" s="33">
        <f>IF(B1576="","",IFERROR(INDEX(Productos!$B$2:$B$501,MATCH(B1576,Productos!$A$2:$A$501,0)),"¿Código?"))</f>
        <v/>
      </c>
      <c r="F1576" s="32">
        <f>IF(C1576&lt;&gt;"Venta","",D1576*IFERROR(INDEX(Productos!$D$2:$D$501,MATCH(B1576,Productos!$A$2:$A$501,0)),0))</f>
        <v/>
      </c>
      <c r="G1576" s="32">
        <f>IF(C1576&lt;&gt;"Venta","",D1576*IFERROR(INDEX(Productos!$E$2:$E$501,MATCH(B1576,Productos!$A$2:$A$501,0)),0))</f>
        <v/>
      </c>
      <c r="H1576" s="33">
        <f>IF(A1576="","",MONTH(A1576))</f>
        <v/>
      </c>
      <c r="I1576" s="33">
        <f>IF(A1576="","",YEAR(A1576))</f>
        <v/>
      </c>
    </row>
    <row r="1577" ht="15" customHeight="1" s="21">
      <c r="A1577" s="34" t="n"/>
      <c r="B1577" s="30" t="n"/>
      <c r="C1577" s="30" t="n"/>
      <c r="D1577" s="30" t="n"/>
      <c r="E1577" s="33">
        <f>IF(B1577="","",IFERROR(INDEX(Productos!$B$2:$B$501,MATCH(B1577,Productos!$A$2:$A$501,0)),"¿Código?"))</f>
        <v/>
      </c>
      <c r="F1577" s="32">
        <f>IF(C1577&lt;&gt;"Venta","",D1577*IFERROR(INDEX(Productos!$D$2:$D$501,MATCH(B1577,Productos!$A$2:$A$501,0)),0))</f>
        <v/>
      </c>
      <c r="G1577" s="32">
        <f>IF(C1577&lt;&gt;"Venta","",D1577*IFERROR(INDEX(Productos!$E$2:$E$501,MATCH(B1577,Productos!$A$2:$A$501,0)),0))</f>
        <v/>
      </c>
      <c r="H1577" s="33">
        <f>IF(A1577="","",MONTH(A1577))</f>
        <v/>
      </c>
      <c r="I1577" s="33">
        <f>IF(A1577="","",YEAR(A1577))</f>
        <v/>
      </c>
    </row>
    <row r="1578" ht="15" customHeight="1" s="21">
      <c r="A1578" s="34" t="n"/>
      <c r="B1578" s="30" t="n"/>
      <c r="C1578" s="30" t="n"/>
      <c r="D1578" s="30" t="n"/>
      <c r="E1578" s="33">
        <f>IF(B1578="","",IFERROR(INDEX(Productos!$B$2:$B$501,MATCH(B1578,Productos!$A$2:$A$501,0)),"¿Código?"))</f>
        <v/>
      </c>
      <c r="F1578" s="32">
        <f>IF(C1578&lt;&gt;"Venta","",D1578*IFERROR(INDEX(Productos!$D$2:$D$501,MATCH(B1578,Productos!$A$2:$A$501,0)),0))</f>
        <v/>
      </c>
      <c r="G1578" s="32">
        <f>IF(C1578&lt;&gt;"Venta","",D1578*IFERROR(INDEX(Productos!$E$2:$E$501,MATCH(B1578,Productos!$A$2:$A$501,0)),0))</f>
        <v/>
      </c>
      <c r="H1578" s="33">
        <f>IF(A1578="","",MONTH(A1578))</f>
        <v/>
      </c>
      <c r="I1578" s="33">
        <f>IF(A1578="","",YEAR(A1578))</f>
        <v/>
      </c>
    </row>
    <row r="1579" ht="15" customHeight="1" s="21">
      <c r="A1579" s="34" t="n"/>
      <c r="B1579" s="30" t="n"/>
      <c r="C1579" s="30" t="n"/>
      <c r="D1579" s="30" t="n"/>
      <c r="E1579" s="33">
        <f>IF(B1579="","",IFERROR(INDEX(Productos!$B$2:$B$501,MATCH(B1579,Productos!$A$2:$A$501,0)),"¿Código?"))</f>
        <v/>
      </c>
      <c r="F1579" s="32">
        <f>IF(C1579&lt;&gt;"Venta","",D1579*IFERROR(INDEX(Productos!$D$2:$D$501,MATCH(B1579,Productos!$A$2:$A$501,0)),0))</f>
        <v/>
      </c>
      <c r="G1579" s="32">
        <f>IF(C1579&lt;&gt;"Venta","",D1579*IFERROR(INDEX(Productos!$E$2:$E$501,MATCH(B1579,Productos!$A$2:$A$501,0)),0))</f>
        <v/>
      </c>
      <c r="H1579" s="33">
        <f>IF(A1579="","",MONTH(A1579))</f>
        <v/>
      </c>
      <c r="I1579" s="33">
        <f>IF(A1579="","",YEAR(A1579))</f>
        <v/>
      </c>
    </row>
    <row r="1580" ht="15" customHeight="1" s="21">
      <c r="A1580" s="34" t="n"/>
      <c r="B1580" s="30" t="n"/>
      <c r="C1580" s="30" t="n"/>
      <c r="D1580" s="30" t="n"/>
      <c r="E1580" s="33">
        <f>IF(B1580="","",IFERROR(INDEX(Productos!$B$2:$B$501,MATCH(B1580,Productos!$A$2:$A$501,0)),"¿Código?"))</f>
        <v/>
      </c>
      <c r="F1580" s="32">
        <f>IF(C1580&lt;&gt;"Venta","",D1580*IFERROR(INDEX(Productos!$D$2:$D$501,MATCH(B1580,Productos!$A$2:$A$501,0)),0))</f>
        <v/>
      </c>
      <c r="G1580" s="32">
        <f>IF(C1580&lt;&gt;"Venta","",D1580*IFERROR(INDEX(Productos!$E$2:$E$501,MATCH(B1580,Productos!$A$2:$A$501,0)),0))</f>
        <v/>
      </c>
      <c r="H1580" s="33">
        <f>IF(A1580="","",MONTH(A1580))</f>
        <v/>
      </c>
      <c r="I1580" s="33">
        <f>IF(A1580="","",YEAR(A1580))</f>
        <v/>
      </c>
    </row>
    <row r="1581" ht="15" customHeight="1" s="21">
      <c r="A1581" s="34" t="n"/>
      <c r="B1581" s="30" t="n"/>
      <c r="C1581" s="30" t="n"/>
      <c r="D1581" s="30" t="n"/>
      <c r="E1581" s="33">
        <f>IF(B1581="","",IFERROR(INDEX(Productos!$B$2:$B$501,MATCH(B1581,Productos!$A$2:$A$501,0)),"¿Código?"))</f>
        <v/>
      </c>
      <c r="F1581" s="32">
        <f>IF(C1581&lt;&gt;"Venta","",D1581*IFERROR(INDEX(Productos!$D$2:$D$501,MATCH(B1581,Productos!$A$2:$A$501,0)),0))</f>
        <v/>
      </c>
      <c r="G1581" s="32">
        <f>IF(C1581&lt;&gt;"Venta","",D1581*IFERROR(INDEX(Productos!$E$2:$E$501,MATCH(B1581,Productos!$A$2:$A$501,0)),0))</f>
        <v/>
      </c>
      <c r="H1581" s="33">
        <f>IF(A1581="","",MONTH(A1581))</f>
        <v/>
      </c>
      <c r="I1581" s="33">
        <f>IF(A1581="","",YEAR(A1581))</f>
        <v/>
      </c>
    </row>
    <row r="1582" ht="15" customHeight="1" s="21">
      <c r="A1582" s="34" t="n"/>
      <c r="B1582" s="30" t="n"/>
      <c r="C1582" s="30" t="n"/>
      <c r="D1582" s="30" t="n"/>
      <c r="E1582" s="33">
        <f>IF(B1582="","",IFERROR(INDEX(Productos!$B$2:$B$501,MATCH(B1582,Productos!$A$2:$A$501,0)),"¿Código?"))</f>
        <v/>
      </c>
      <c r="F1582" s="32">
        <f>IF(C1582&lt;&gt;"Venta","",D1582*IFERROR(INDEX(Productos!$D$2:$D$501,MATCH(B1582,Productos!$A$2:$A$501,0)),0))</f>
        <v/>
      </c>
      <c r="G1582" s="32">
        <f>IF(C1582&lt;&gt;"Venta","",D1582*IFERROR(INDEX(Productos!$E$2:$E$501,MATCH(B1582,Productos!$A$2:$A$501,0)),0))</f>
        <v/>
      </c>
      <c r="H1582" s="33">
        <f>IF(A1582="","",MONTH(A1582))</f>
        <v/>
      </c>
      <c r="I1582" s="33">
        <f>IF(A1582="","",YEAR(A1582))</f>
        <v/>
      </c>
    </row>
    <row r="1583" ht="15" customHeight="1" s="21">
      <c r="A1583" s="34" t="n"/>
      <c r="B1583" s="30" t="n"/>
      <c r="C1583" s="30" t="n"/>
      <c r="D1583" s="30" t="n"/>
      <c r="E1583" s="33">
        <f>IF(B1583="","",IFERROR(INDEX(Productos!$B$2:$B$501,MATCH(B1583,Productos!$A$2:$A$501,0)),"¿Código?"))</f>
        <v/>
      </c>
      <c r="F1583" s="32">
        <f>IF(C1583&lt;&gt;"Venta","",D1583*IFERROR(INDEX(Productos!$D$2:$D$501,MATCH(B1583,Productos!$A$2:$A$501,0)),0))</f>
        <v/>
      </c>
      <c r="G1583" s="32">
        <f>IF(C1583&lt;&gt;"Venta","",D1583*IFERROR(INDEX(Productos!$E$2:$E$501,MATCH(B1583,Productos!$A$2:$A$501,0)),0))</f>
        <v/>
      </c>
      <c r="H1583" s="33">
        <f>IF(A1583="","",MONTH(A1583))</f>
        <v/>
      </c>
      <c r="I1583" s="33">
        <f>IF(A1583="","",YEAR(A1583))</f>
        <v/>
      </c>
    </row>
    <row r="1584" ht="15" customHeight="1" s="21">
      <c r="A1584" s="34" t="n"/>
      <c r="B1584" s="30" t="n"/>
      <c r="C1584" s="30" t="n"/>
      <c r="D1584" s="30" t="n"/>
      <c r="E1584" s="33">
        <f>IF(B1584="","",IFERROR(INDEX(Productos!$B$2:$B$501,MATCH(B1584,Productos!$A$2:$A$501,0)),"¿Código?"))</f>
        <v/>
      </c>
      <c r="F1584" s="32">
        <f>IF(C1584&lt;&gt;"Venta","",D1584*IFERROR(INDEX(Productos!$D$2:$D$501,MATCH(B1584,Productos!$A$2:$A$501,0)),0))</f>
        <v/>
      </c>
      <c r="G1584" s="32">
        <f>IF(C1584&lt;&gt;"Venta","",D1584*IFERROR(INDEX(Productos!$E$2:$E$501,MATCH(B1584,Productos!$A$2:$A$501,0)),0))</f>
        <v/>
      </c>
      <c r="H1584" s="33">
        <f>IF(A1584="","",MONTH(A1584))</f>
        <v/>
      </c>
      <c r="I1584" s="33">
        <f>IF(A1584="","",YEAR(A1584))</f>
        <v/>
      </c>
    </row>
    <row r="1585" ht="15" customHeight="1" s="21">
      <c r="A1585" s="34" t="n"/>
      <c r="B1585" s="30" t="n"/>
      <c r="C1585" s="30" t="n"/>
      <c r="D1585" s="30" t="n"/>
      <c r="E1585" s="33">
        <f>IF(B1585="","",IFERROR(INDEX(Productos!$B$2:$B$501,MATCH(B1585,Productos!$A$2:$A$501,0)),"¿Código?"))</f>
        <v/>
      </c>
      <c r="F1585" s="32">
        <f>IF(C1585&lt;&gt;"Venta","",D1585*IFERROR(INDEX(Productos!$D$2:$D$501,MATCH(B1585,Productos!$A$2:$A$501,0)),0))</f>
        <v/>
      </c>
      <c r="G1585" s="32">
        <f>IF(C1585&lt;&gt;"Venta","",D1585*IFERROR(INDEX(Productos!$E$2:$E$501,MATCH(B1585,Productos!$A$2:$A$501,0)),0))</f>
        <v/>
      </c>
      <c r="H1585" s="33">
        <f>IF(A1585="","",MONTH(A1585))</f>
        <v/>
      </c>
      <c r="I1585" s="33">
        <f>IF(A1585="","",YEAR(A1585))</f>
        <v/>
      </c>
    </row>
    <row r="1586" ht="15" customHeight="1" s="21">
      <c r="A1586" s="34" t="n"/>
      <c r="B1586" s="30" t="n"/>
      <c r="C1586" s="30" t="n"/>
      <c r="D1586" s="30" t="n"/>
      <c r="E1586" s="33">
        <f>IF(B1586="","",IFERROR(INDEX(Productos!$B$2:$B$501,MATCH(B1586,Productos!$A$2:$A$501,0)),"¿Código?"))</f>
        <v/>
      </c>
      <c r="F1586" s="32">
        <f>IF(C1586&lt;&gt;"Venta","",D1586*IFERROR(INDEX(Productos!$D$2:$D$501,MATCH(B1586,Productos!$A$2:$A$501,0)),0))</f>
        <v/>
      </c>
      <c r="G1586" s="32">
        <f>IF(C1586&lt;&gt;"Venta","",D1586*IFERROR(INDEX(Productos!$E$2:$E$501,MATCH(B1586,Productos!$A$2:$A$501,0)),0))</f>
        <v/>
      </c>
      <c r="H1586" s="33">
        <f>IF(A1586="","",MONTH(A1586))</f>
        <v/>
      </c>
      <c r="I1586" s="33">
        <f>IF(A1586="","",YEAR(A1586))</f>
        <v/>
      </c>
    </row>
    <row r="1587" ht="15" customHeight="1" s="21">
      <c r="A1587" s="34" t="n"/>
      <c r="B1587" s="30" t="n"/>
      <c r="C1587" s="30" t="n"/>
      <c r="D1587" s="30" t="n"/>
      <c r="E1587" s="33">
        <f>IF(B1587="","",IFERROR(INDEX(Productos!$B$2:$B$501,MATCH(B1587,Productos!$A$2:$A$501,0)),"¿Código?"))</f>
        <v/>
      </c>
      <c r="F1587" s="32">
        <f>IF(C1587&lt;&gt;"Venta","",D1587*IFERROR(INDEX(Productos!$D$2:$D$501,MATCH(B1587,Productos!$A$2:$A$501,0)),0))</f>
        <v/>
      </c>
      <c r="G1587" s="32">
        <f>IF(C1587&lt;&gt;"Venta","",D1587*IFERROR(INDEX(Productos!$E$2:$E$501,MATCH(B1587,Productos!$A$2:$A$501,0)),0))</f>
        <v/>
      </c>
      <c r="H1587" s="33">
        <f>IF(A1587="","",MONTH(A1587))</f>
        <v/>
      </c>
      <c r="I1587" s="33">
        <f>IF(A1587="","",YEAR(A1587))</f>
        <v/>
      </c>
    </row>
    <row r="1588" ht="15" customHeight="1" s="21">
      <c r="A1588" s="34" t="n"/>
      <c r="B1588" s="30" t="n"/>
      <c r="C1588" s="30" t="n"/>
      <c r="D1588" s="30" t="n"/>
      <c r="E1588" s="33">
        <f>IF(B1588="","",IFERROR(INDEX(Productos!$B$2:$B$501,MATCH(B1588,Productos!$A$2:$A$501,0)),"¿Código?"))</f>
        <v/>
      </c>
      <c r="F1588" s="32">
        <f>IF(C1588&lt;&gt;"Venta","",D1588*IFERROR(INDEX(Productos!$D$2:$D$501,MATCH(B1588,Productos!$A$2:$A$501,0)),0))</f>
        <v/>
      </c>
      <c r="G1588" s="32">
        <f>IF(C1588&lt;&gt;"Venta","",D1588*IFERROR(INDEX(Productos!$E$2:$E$501,MATCH(B1588,Productos!$A$2:$A$501,0)),0))</f>
        <v/>
      </c>
      <c r="H1588" s="33">
        <f>IF(A1588="","",MONTH(A1588))</f>
        <v/>
      </c>
      <c r="I1588" s="33">
        <f>IF(A1588="","",YEAR(A1588))</f>
        <v/>
      </c>
    </row>
    <row r="1589" ht="15" customHeight="1" s="21">
      <c r="A1589" s="34" t="n"/>
      <c r="B1589" s="30" t="n"/>
      <c r="C1589" s="30" t="n"/>
      <c r="D1589" s="30" t="n"/>
      <c r="E1589" s="33">
        <f>IF(B1589="","",IFERROR(INDEX(Productos!$B$2:$B$501,MATCH(B1589,Productos!$A$2:$A$501,0)),"¿Código?"))</f>
        <v/>
      </c>
      <c r="F1589" s="32">
        <f>IF(C1589&lt;&gt;"Venta","",D1589*IFERROR(INDEX(Productos!$D$2:$D$501,MATCH(B1589,Productos!$A$2:$A$501,0)),0))</f>
        <v/>
      </c>
      <c r="G1589" s="32">
        <f>IF(C1589&lt;&gt;"Venta","",D1589*IFERROR(INDEX(Productos!$E$2:$E$501,MATCH(B1589,Productos!$A$2:$A$501,0)),0))</f>
        <v/>
      </c>
      <c r="H1589" s="33">
        <f>IF(A1589="","",MONTH(A1589))</f>
        <v/>
      </c>
      <c r="I1589" s="33">
        <f>IF(A1589="","",YEAR(A1589))</f>
        <v/>
      </c>
    </row>
    <row r="1590" ht="15" customHeight="1" s="21">
      <c r="A1590" s="34" t="n"/>
      <c r="B1590" s="30" t="n"/>
      <c r="C1590" s="30" t="n"/>
      <c r="D1590" s="30" t="n"/>
      <c r="E1590" s="33">
        <f>IF(B1590="","",IFERROR(INDEX(Productos!$B$2:$B$501,MATCH(B1590,Productos!$A$2:$A$501,0)),"¿Código?"))</f>
        <v/>
      </c>
      <c r="F1590" s="32">
        <f>IF(C1590&lt;&gt;"Venta","",D1590*IFERROR(INDEX(Productos!$D$2:$D$501,MATCH(B1590,Productos!$A$2:$A$501,0)),0))</f>
        <v/>
      </c>
      <c r="G1590" s="32">
        <f>IF(C1590&lt;&gt;"Venta","",D1590*IFERROR(INDEX(Productos!$E$2:$E$501,MATCH(B1590,Productos!$A$2:$A$501,0)),0))</f>
        <v/>
      </c>
      <c r="H1590" s="33">
        <f>IF(A1590="","",MONTH(A1590))</f>
        <v/>
      </c>
      <c r="I1590" s="33">
        <f>IF(A1590="","",YEAR(A1590))</f>
        <v/>
      </c>
    </row>
    <row r="1591" ht="15" customHeight="1" s="21">
      <c r="A1591" s="34" t="n"/>
      <c r="B1591" s="30" t="n"/>
      <c r="C1591" s="30" t="n"/>
      <c r="D1591" s="30" t="n"/>
      <c r="E1591" s="33">
        <f>IF(B1591="","",IFERROR(INDEX(Productos!$B$2:$B$501,MATCH(B1591,Productos!$A$2:$A$501,0)),"¿Código?"))</f>
        <v/>
      </c>
      <c r="F1591" s="32">
        <f>IF(C1591&lt;&gt;"Venta","",D1591*IFERROR(INDEX(Productos!$D$2:$D$501,MATCH(B1591,Productos!$A$2:$A$501,0)),0))</f>
        <v/>
      </c>
      <c r="G1591" s="32">
        <f>IF(C1591&lt;&gt;"Venta","",D1591*IFERROR(INDEX(Productos!$E$2:$E$501,MATCH(B1591,Productos!$A$2:$A$501,0)),0))</f>
        <v/>
      </c>
      <c r="H1591" s="33">
        <f>IF(A1591="","",MONTH(A1591))</f>
        <v/>
      </c>
      <c r="I1591" s="33">
        <f>IF(A1591="","",YEAR(A1591))</f>
        <v/>
      </c>
    </row>
    <row r="1592" ht="15" customHeight="1" s="21">
      <c r="A1592" s="34" t="n"/>
      <c r="B1592" s="30" t="n"/>
      <c r="C1592" s="30" t="n"/>
      <c r="D1592" s="30" t="n"/>
      <c r="E1592" s="33">
        <f>IF(B1592="","",IFERROR(INDEX(Productos!$B$2:$B$501,MATCH(B1592,Productos!$A$2:$A$501,0)),"¿Código?"))</f>
        <v/>
      </c>
      <c r="F1592" s="32">
        <f>IF(C1592&lt;&gt;"Venta","",D1592*IFERROR(INDEX(Productos!$D$2:$D$501,MATCH(B1592,Productos!$A$2:$A$501,0)),0))</f>
        <v/>
      </c>
      <c r="G1592" s="32">
        <f>IF(C1592&lt;&gt;"Venta","",D1592*IFERROR(INDEX(Productos!$E$2:$E$501,MATCH(B1592,Productos!$A$2:$A$501,0)),0))</f>
        <v/>
      </c>
      <c r="H1592" s="33">
        <f>IF(A1592="","",MONTH(A1592))</f>
        <v/>
      </c>
      <c r="I1592" s="33">
        <f>IF(A1592="","",YEAR(A1592))</f>
        <v/>
      </c>
    </row>
    <row r="1593" ht="15" customHeight="1" s="21">
      <c r="A1593" s="34" t="n"/>
      <c r="B1593" s="30" t="n"/>
      <c r="C1593" s="30" t="n"/>
      <c r="D1593" s="30" t="n"/>
      <c r="E1593" s="33">
        <f>IF(B1593="","",IFERROR(INDEX(Productos!$B$2:$B$501,MATCH(B1593,Productos!$A$2:$A$501,0)),"¿Código?"))</f>
        <v/>
      </c>
      <c r="F1593" s="32">
        <f>IF(C1593&lt;&gt;"Venta","",D1593*IFERROR(INDEX(Productos!$D$2:$D$501,MATCH(B1593,Productos!$A$2:$A$501,0)),0))</f>
        <v/>
      </c>
      <c r="G1593" s="32">
        <f>IF(C1593&lt;&gt;"Venta","",D1593*IFERROR(INDEX(Productos!$E$2:$E$501,MATCH(B1593,Productos!$A$2:$A$501,0)),0))</f>
        <v/>
      </c>
      <c r="H1593" s="33">
        <f>IF(A1593="","",MONTH(A1593))</f>
        <v/>
      </c>
      <c r="I1593" s="33">
        <f>IF(A1593="","",YEAR(A1593))</f>
        <v/>
      </c>
    </row>
    <row r="1594" ht="15" customHeight="1" s="21">
      <c r="A1594" s="34" t="n"/>
      <c r="B1594" s="30" t="n"/>
      <c r="C1594" s="30" t="n"/>
      <c r="D1594" s="30" t="n"/>
      <c r="E1594" s="33">
        <f>IF(B1594="","",IFERROR(INDEX(Productos!$B$2:$B$501,MATCH(B1594,Productos!$A$2:$A$501,0)),"¿Código?"))</f>
        <v/>
      </c>
      <c r="F1594" s="32">
        <f>IF(C1594&lt;&gt;"Venta","",D1594*IFERROR(INDEX(Productos!$D$2:$D$501,MATCH(B1594,Productos!$A$2:$A$501,0)),0))</f>
        <v/>
      </c>
      <c r="G1594" s="32">
        <f>IF(C1594&lt;&gt;"Venta","",D1594*IFERROR(INDEX(Productos!$E$2:$E$501,MATCH(B1594,Productos!$A$2:$A$501,0)),0))</f>
        <v/>
      </c>
      <c r="H1594" s="33">
        <f>IF(A1594="","",MONTH(A1594))</f>
        <v/>
      </c>
      <c r="I1594" s="33">
        <f>IF(A1594="","",YEAR(A1594))</f>
        <v/>
      </c>
    </row>
    <row r="1595" ht="15" customHeight="1" s="21">
      <c r="A1595" s="34" t="n"/>
      <c r="B1595" s="30" t="n"/>
      <c r="C1595" s="30" t="n"/>
      <c r="D1595" s="30" t="n"/>
      <c r="E1595" s="33">
        <f>IF(B1595="","",IFERROR(INDEX(Productos!$B$2:$B$501,MATCH(B1595,Productos!$A$2:$A$501,0)),"¿Código?"))</f>
        <v/>
      </c>
      <c r="F1595" s="32">
        <f>IF(C1595&lt;&gt;"Venta","",D1595*IFERROR(INDEX(Productos!$D$2:$D$501,MATCH(B1595,Productos!$A$2:$A$501,0)),0))</f>
        <v/>
      </c>
      <c r="G1595" s="32">
        <f>IF(C1595&lt;&gt;"Venta","",D1595*IFERROR(INDEX(Productos!$E$2:$E$501,MATCH(B1595,Productos!$A$2:$A$501,0)),0))</f>
        <v/>
      </c>
      <c r="H1595" s="33">
        <f>IF(A1595="","",MONTH(A1595))</f>
        <v/>
      </c>
      <c r="I1595" s="33">
        <f>IF(A1595="","",YEAR(A1595))</f>
        <v/>
      </c>
    </row>
    <row r="1596" ht="15" customHeight="1" s="21">
      <c r="A1596" s="34" t="n"/>
      <c r="B1596" s="30" t="n"/>
      <c r="C1596" s="30" t="n"/>
      <c r="D1596" s="30" t="n"/>
      <c r="E1596" s="33">
        <f>IF(B1596="","",IFERROR(INDEX(Productos!$B$2:$B$501,MATCH(B1596,Productos!$A$2:$A$501,0)),"¿Código?"))</f>
        <v/>
      </c>
      <c r="F1596" s="32">
        <f>IF(C1596&lt;&gt;"Venta","",D1596*IFERROR(INDEX(Productos!$D$2:$D$501,MATCH(B1596,Productos!$A$2:$A$501,0)),0))</f>
        <v/>
      </c>
      <c r="G1596" s="32">
        <f>IF(C1596&lt;&gt;"Venta","",D1596*IFERROR(INDEX(Productos!$E$2:$E$501,MATCH(B1596,Productos!$A$2:$A$501,0)),0))</f>
        <v/>
      </c>
      <c r="H1596" s="33">
        <f>IF(A1596="","",MONTH(A1596))</f>
        <v/>
      </c>
      <c r="I1596" s="33">
        <f>IF(A1596="","",YEAR(A1596))</f>
        <v/>
      </c>
    </row>
    <row r="1597" ht="15" customHeight="1" s="21">
      <c r="A1597" s="34" t="n"/>
      <c r="B1597" s="30" t="n"/>
      <c r="C1597" s="30" t="n"/>
      <c r="D1597" s="30" t="n"/>
      <c r="E1597" s="33">
        <f>IF(B1597="","",IFERROR(INDEX(Productos!$B$2:$B$501,MATCH(B1597,Productos!$A$2:$A$501,0)),"¿Código?"))</f>
        <v/>
      </c>
      <c r="F1597" s="32">
        <f>IF(C1597&lt;&gt;"Venta","",D1597*IFERROR(INDEX(Productos!$D$2:$D$501,MATCH(B1597,Productos!$A$2:$A$501,0)),0))</f>
        <v/>
      </c>
      <c r="G1597" s="32">
        <f>IF(C1597&lt;&gt;"Venta","",D1597*IFERROR(INDEX(Productos!$E$2:$E$501,MATCH(B1597,Productos!$A$2:$A$501,0)),0))</f>
        <v/>
      </c>
      <c r="H1597" s="33">
        <f>IF(A1597="","",MONTH(A1597))</f>
        <v/>
      </c>
      <c r="I1597" s="33">
        <f>IF(A1597="","",YEAR(A1597))</f>
        <v/>
      </c>
    </row>
    <row r="1598" ht="15" customHeight="1" s="21">
      <c r="A1598" s="34" t="n"/>
      <c r="B1598" s="30" t="n"/>
      <c r="C1598" s="30" t="n"/>
      <c r="D1598" s="30" t="n"/>
      <c r="E1598" s="33">
        <f>IF(B1598="","",IFERROR(INDEX(Productos!$B$2:$B$501,MATCH(B1598,Productos!$A$2:$A$501,0)),"¿Código?"))</f>
        <v/>
      </c>
      <c r="F1598" s="32">
        <f>IF(C1598&lt;&gt;"Venta","",D1598*IFERROR(INDEX(Productos!$D$2:$D$501,MATCH(B1598,Productos!$A$2:$A$501,0)),0))</f>
        <v/>
      </c>
      <c r="G1598" s="32">
        <f>IF(C1598&lt;&gt;"Venta","",D1598*IFERROR(INDEX(Productos!$E$2:$E$501,MATCH(B1598,Productos!$A$2:$A$501,0)),0))</f>
        <v/>
      </c>
      <c r="H1598" s="33">
        <f>IF(A1598="","",MONTH(A1598))</f>
        <v/>
      </c>
      <c r="I1598" s="33">
        <f>IF(A1598="","",YEAR(A1598))</f>
        <v/>
      </c>
    </row>
    <row r="1599" ht="15" customHeight="1" s="21">
      <c r="A1599" s="34" t="n"/>
      <c r="B1599" s="30" t="n"/>
      <c r="C1599" s="30" t="n"/>
      <c r="D1599" s="30" t="n"/>
      <c r="E1599" s="33">
        <f>IF(B1599="","",IFERROR(INDEX(Productos!$B$2:$B$501,MATCH(B1599,Productos!$A$2:$A$501,0)),"¿Código?"))</f>
        <v/>
      </c>
      <c r="F1599" s="32">
        <f>IF(C1599&lt;&gt;"Venta","",D1599*IFERROR(INDEX(Productos!$D$2:$D$501,MATCH(B1599,Productos!$A$2:$A$501,0)),0))</f>
        <v/>
      </c>
      <c r="G1599" s="32">
        <f>IF(C1599&lt;&gt;"Venta","",D1599*IFERROR(INDEX(Productos!$E$2:$E$501,MATCH(B1599,Productos!$A$2:$A$501,0)),0))</f>
        <v/>
      </c>
      <c r="H1599" s="33">
        <f>IF(A1599="","",MONTH(A1599))</f>
        <v/>
      </c>
      <c r="I1599" s="33">
        <f>IF(A1599="","",YEAR(A1599))</f>
        <v/>
      </c>
    </row>
    <row r="1600" ht="15" customHeight="1" s="21">
      <c r="A1600" s="34" t="n"/>
      <c r="B1600" s="30" t="n"/>
      <c r="C1600" s="30" t="n"/>
      <c r="D1600" s="30" t="n"/>
      <c r="E1600" s="33">
        <f>IF(B1600="","",IFERROR(INDEX(Productos!$B$2:$B$501,MATCH(B1600,Productos!$A$2:$A$501,0)),"¿Código?"))</f>
        <v/>
      </c>
      <c r="F1600" s="32">
        <f>IF(C1600&lt;&gt;"Venta","",D1600*IFERROR(INDEX(Productos!$D$2:$D$501,MATCH(B1600,Productos!$A$2:$A$501,0)),0))</f>
        <v/>
      </c>
      <c r="G1600" s="32">
        <f>IF(C1600&lt;&gt;"Venta","",D1600*IFERROR(INDEX(Productos!$E$2:$E$501,MATCH(B1600,Productos!$A$2:$A$501,0)),0))</f>
        <v/>
      </c>
      <c r="H1600" s="33">
        <f>IF(A1600="","",MONTH(A1600))</f>
        <v/>
      </c>
      <c r="I1600" s="33">
        <f>IF(A1600="","",YEAR(A1600))</f>
        <v/>
      </c>
    </row>
    <row r="1601" ht="15" customHeight="1" s="21">
      <c r="A1601" s="34" t="n"/>
      <c r="B1601" s="30" t="n"/>
      <c r="C1601" s="30" t="n"/>
      <c r="D1601" s="30" t="n"/>
      <c r="E1601" s="33">
        <f>IF(B1601="","",IFERROR(INDEX(Productos!$B$2:$B$501,MATCH(B1601,Productos!$A$2:$A$501,0)),"¿Código?"))</f>
        <v/>
      </c>
      <c r="F1601" s="32">
        <f>IF(C1601&lt;&gt;"Venta","",D1601*IFERROR(INDEX(Productos!$D$2:$D$501,MATCH(B1601,Productos!$A$2:$A$501,0)),0))</f>
        <v/>
      </c>
      <c r="G1601" s="32">
        <f>IF(C1601&lt;&gt;"Venta","",D1601*IFERROR(INDEX(Productos!$E$2:$E$501,MATCH(B1601,Productos!$A$2:$A$501,0)),0))</f>
        <v/>
      </c>
      <c r="H1601" s="33">
        <f>IF(A1601="","",MONTH(A1601))</f>
        <v/>
      </c>
      <c r="I1601" s="33">
        <f>IF(A1601="","",YEAR(A1601))</f>
        <v/>
      </c>
    </row>
    <row r="1602" ht="15" customHeight="1" s="21">
      <c r="A1602" s="34" t="n"/>
      <c r="B1602" s="30" t="n"/>
      <c r="C1602" s="30" t="n"/>
      <c r="D1602" s="30" t="n"/>
      <c r="E1602" s="33">
        <f>IF(B1602="","",IFERROR(INDEX(Productos!$B$2:$B$501,MATCH(B1602,Productos!$A$2:$A$501,0)),"¿Código?"))</f>
        <v/>
      </c>
      <c r="F1602" s="32">
        <f>IF(C1602&lt;&gt;"Venta","",D1602*IFERROR(INDEX(Productos!$D$2:$D$501,MATCH(B1602,Productos!$A$2:$A$501,0)),0))</f>
        <v/>
      </c>
      <c r="G1602" s="32">
        <f>IF(C1602&lt;&gt;"Venta","",D1602*IFERROR(INDEX(Productos!$E$2:$E$501,MATCH(B1602,Productos!$A$2:$A$501,0)),0))</f>
        <v/>
      </c>
      <c r="H1602" s="33">
        <f>IF(A1602="","",MONTH(A1602))</f>
        <v/>
      </c>
      <c r="I1602" s="33">
        <f>IF(A1602="","",YEAR(A1602))</f>
        <v/>
      </c>
    </row>
    <row r="1603" ht="15" customHeight="1" s="21">
      <c r="A1603" s="34" t="n"/>
      <c r="B1603" s="30" t="n"/>
      <c r="C1603" s="30" t="n"/>
      <c r="D1603" s="30" t="n"/>
      <c r="E1603" s="33">
        <f>IF(B1603="","",IFERROR(INDEX(Productos!$B$2:$B$501,MATCH(B1603,Productos!$A$2:$A$501,0)),"¿Código?"))</f>
        <v/>
      </c>
      <c r="F1603" s="32">
        <f>IF(C1603&lt;&gt;"Venta","",D1603*IFERROR(INDEX(Productos!$D$2:$D$501,MATCH(B1603,Productos!$A$2:$A$501,0)),0))</f>
        <v/>
      </c>
      <c r="G1603" s="32">
        <f>IF(C1603&lt;&gt;"Venta","",D1603*IFERROR(INDEX(Productos!$E$2:$E$501,MATCH(B1603,Productos!$A$2:$A$501,0)),0))</f>
        <v/>
      </c>
      <c r="H1603" s="33">
        <f>IF(A1603="","",MONTH(A1603))</f>
        <v/>
      </c>
      <c r="I1603" s="33">
        <f>IF(A1603="","",YEAR(A1603))</f>
        <v/>
      </c>
    </row>
    <row r="1604" ht="15" customHeight="1" s="21">
      <c r="A1604" s="34" t="n"/>
      <c r="B1604" s="30" t="n"/>
      <c r="C1604" s="30" t="n"/>
      <c r="D1604" s="30" t="n"/>
      <c r="E1604" s="33">
        <f>IF(B1604="","",IFERROR(INDEX(Productos!$B$2:$B$501,MATCH(B1604,Productos!$A$2:$A$501,0)),"¿Código?"))</f>
        <v/>
      </c>
      <c r="F1604" s="32">
        <f>IF(C1604&lt;&gt;"Venta","",D1604*IFERROR(INDEX(Productos!$D$2:$D$501,MATCH(B1604,Productos!$A$2:$A$501,0)),0))</f>
        <v/>
      </c>
      <c r="G1604" s="32">
        <f>IF(C1604&lt;&gt;"Venta","",D1604*IFERROR(INDEX(Productos!$E$2:$E$501,MATCH(B1604,Productos!$A$2:$A$501,0)),0))</f>
        <v/>
      </c>
      <c r="H1604" s="33">
        <f>IF(A1604="","",MONTH(A1604))</f>
        <v/>
      </c>
      <c r="I1604" s="33">
        <f>IF(A1604="","",YEAR(A1604))</f>
        <v/>
      </c>
    </row>
    <row r="1605" ht="15" customHeight="1" s="21">
      <c r="A1605" s="34" t="n"/>
      <c r="B1605" s="30" t="n"/>
      <c r="C1605" s="30" t="n"/>
      <c r="D1605" s="30" t="n"/>
      <c r="E1605" s="33">
        <f>IF(B1605="","",IFERROR(INDEX(Productos!$B$2:$B$501,MATCH(B1605,Productos!$A$2:$A$501,0)),"¿Código?"))</f>
        <v/>
      </c>
      <c r="F1605" s="32">
        <f>IF(C1605&lt;&gt;"Venta","",D1605*IFERROR(INDEX(Productos!$D$2:$D$501,MATCH(B1605,Productos!$A$2:$A$501,0)),0))</f>
        <v/>
      </c>
      <c r="G1605" s="32">
        <f>IF(C1605&lt;&gt;"Venta","",D1605*IFERROR(INDEX(Productos!$E$2:$E$501,MATCH(B1605,Productos!$A$2:$A$501,0)),0))</f>
        <v/>
      </c>
      <c r="H1605" s="33">
        <f>IF(A1605="","",MONTH(A1605))</f>
        <v/>
      </c>
      <c r="I1605" s="33">
        <f>IF(A1605="","",YEAR(A1605))</f>
        <v/>
      </c>
    </row>
    <row r="1606" ht="15" customHeight="1" s="21">
      <c r="A1606" s="34" t="n"/>
      <c r="B1606" s="30" t="n"/>
      <c r="C1606" s="30" t="n"/>
      <c r="D1606" s="30" t="n"/>
      <c r="E1606" s="33">
        <f>IF(B1606="","",IFERROR(INDEX(Productos!$B$2:$B$501,MATCH(B1606,Productos!$A$2:$A$501,0)),"¿Código?"))</f>
        <v/>
      </c>
      <c r="F1606" s="32">
        <f>IF(C1606&lt;&gt;"Venta","",D1606*IFERROR(INDEX(Productos!$D$2:$D$501,MATCH(B1606,Productos!$A$2:$A$501,0)),0))</f>
        <v/>
      </c>
      <c r="G1606" s="32">
        <f>IF(C1606&lt;&gt;"Venta","",D1606*IFERROR(INDEX(Productos!$E$2:$E$501,MATCH(B1606,Productos!$A$2:$A$501,0)),0))</f>
        <v/>
      </c>
      <c r="H1606" s="33">
        <f>IF(A1606="","",MONTH(A1606))</f>
        <v/>
      </c>
      <c r="I1606" s="33">
        <f>IF(A1606="","",YEAR(A1606))</f>
        <v/>
      </c>
    </row>
    <row r="1607" ht="15" customHeight="1" s="21">
      <c r="A1607" s="34" t="n"/>
      <c r="B1607" s="30" t="n"/>
      <c r="C1607" s="30" t="n"/>
      <c r="D1607" s="30" t="n"/>
      <c r="E1607" s="33">
        <f>IF(B1607="","",IFERROR(INDEX(Productos!$B$2:$B$501,MATCH(B1607,Productos!$A$2:$A$501,0)),"¿Código?"))</f>
        <v/>
      </c>
      <c r="F1607" s="32">
        <f>IF(C1607&lt;&gt;"Venta","",D1607*IFERROR(INDEX(Productos!$D$2:$D$501,MATCH(B1607,Productos!$A$2:$A$501,0)),0))</f>
        <v/>
      </c>
      <c r="G1607" s="32">
        <f>IF(C1607&lt;&gt;"Venta","",D1607*IFERROR(INDEX(Productos!$E$2:$E$501,MATCH(B1607,Productos!$A$2:$A$501,0)),0))</f>
        <v/>
      </c>
      <c r="H1607" s="33">
        <f>IF(A1607="","",MONTH(A1607))</f>
        <v/>
      </c>
      <c r="I1607" s="33">
        <f>IF(A1607="","",YEAR(A1607))</f>
        <v/>
      </c>
    </row>
    <row r="1608" ht="15" customHeight="1" s="21">
      <c r="A1608" s="34" t="n"/>
      <c r="B1608" s="30" t="n"/>
      <c r="C1608" s="30" t="n"/>
      <c r="D1608" s="30" t="n"/>
      <c r="E1608" s="33">
        <f>IF(B1608="","",IFERROR(INDEX(Productos!$B$2:$B$501,MATCH(B1608,Productos!$A$2:$A$501,0)),"¿Código?"))</f>
        <v/>
      </c>
      <c r="F1608" s="32">
        <f>IF(C1608&lt;&gt;"Venta","",D1608*IFERROR(INDEX(Productos!$D$2:$D$501,MATCH(B1608,Productos!$A$2:$A$501,0)),0))</f>
        <v/>
      </c>
      <c r="G1608" s="32">
        <f>IF(C1608&lt;&gt;"Venta","",D1608*IFERROR(INDEX(Productos!$E$2:$E$501,MATCH(B1608,Productos!$A$2:$A$501,0)),0))</f>
        <v/>
      </c>
      <c r="H1608" s="33">
        <f>IF(A1608="","",MONTH(A1608))</f>
        <v/>
      </c>
      <c r="I1608" s="33">
        <f>IF(A1608="","",YEAR(A1608))</f>
        <v/>
      </c>
    </row>
    <row r="1609" ht="15" customHeight="1" s="21">
      <c r="A1609" s="34" t="n"/>
      <c r="B1609" s="30" t="n"/>
      <c r="C1609" s="30" t="n"/>
      <c r="D1609" s="30" t="n"/>
      <c r="E1609" s="33">
        <f>IF(B1609="","",IFERROR(INDEX(Productos!$B$2:$B$501,MATCH(B1609,Productos!$A$2:$A$501,0)),"¿Código?"))</f>
        <v/>
      </c>
      <c r="F1609" s="32">
        <f>IF(C1609&lt;&gt;"Venta","",D1609*IFERROR(INDEX(Productos!$D$2:$D$501,MATCH(B1609,Productos!$A$2:$A$501,0)),0))</f>
        <v/>
      </c>
      <c r="G1609" s="32">
        <f>IF(C1609&lt;&gt;"Venta","",D1609*IFERROR(INDEX(Productos!$E$2:$E$501,MATCH(B1609,Productos!$A$2:$A$501,0)),0))</f>
        <v/>
      </c>
      <c r="H1609" s="33">
        <f>IF(A1609="","",MONTH(A1609))</f>
        <v/>
      </c>
      <c r="I1609" s="33">
        <f>IF(A1609="","",YEAR(A1609))</f>
        <v/>
      </c>
    </row>
    <row r="1610" ht="15" customHeight="1" s="21">
      <c r="A1610" s="34" t="n"/>
      <c r="B1610" s="30" t="n"/>
      <c r="C1610" s="30" t="n"/>
      <c r="D1610" s="30" t="n"/>
      <c r="E1610" s="33">
        <f>IF(B1610="","",IFERROR(INDEX(Productos!$B$2:$B$501,MATCH(B1610,Productos!$A$2:$A$501,0)),"¿Código?"))</f>
        <v/>
      </c>
      <c r="F1610" s="32">
        <f>IF(C1610&lt;&gt;"Venta","",D1610*IFERROR(INDEX(Productos!$D$2:$D$501,MATCH(B1610,Productos!$A$2:$A$501,0)),0))</f>
        <v/>
      </c>
      <c r="G1610" s="32">
        <f>IF(C1610&lt;&gt;"Venta","",D1610*IFERROR(INDEX(Productos!$E$2:$E$501,MATCH(B1610,Productos!$A$2:$A$501,0)),0))</f>
        <v/>
      </c>
      <c r="H1610" s="33">
        <f>IF(A1610="","",MONTH(A1610))</f>
        <v/>
      </c>
      <c r="I1610" s="33">
        <f>IF(A1610="","",YEAR(A1610))</f>
        <v/>
      </c>
    </row>
    <row r="1611" ht="15" customHeight="1" s="21">
      <c r="A1611" s="34" t="n"/>
      <c r="B1611" s="30" t="n"/>
      <c r="C1611" s="30" t="n"/>
      <c r="D1611" s="30" t="n"/>
      <c r="E1611" s="33">
        <f>IF(B1611="","",IFERROR(INDEX(Productos!$B$2:$B$501,MATCH(B1611,Productos!$A$2:$A$501,0)),"¿Código?"))</f>
        <v/>
      </c>
      <c r="F1611" s="32">
        <f>IF(C1611&lt;&gt;"Venta","",D1611*IFERROR(INDEX(Productos!$D$2:$D$501,MATCH(B1611,Productos!$A$2:$A$501,0)),0))</f>
        <v/>
      </c>
      <c r="G1611" s="32">
        <f>IF(C1611&lt;&gt;"Venta","",D1611*IFERROR(INDEX(Productos!$E$2:$E$501,MATCH(B1611,Productos!$A$2:$A$501,0)),0))</f>
        <v/>
      </c>
      <c r="H1611" s="33">
        <f>IF(A1611="","",MONTH(A1611))</f>
        <v/>
      </c>
      <c r="I1611" s="33">
        <f>IF(A1611="","",YEAR(A1611))</f>
        <v/>
      </c>
    </row>
    <row r="1612" ht="15" customHeight="1" s="21">
      <c r="A1612" s="34" t="n"/>
      <c r="B1612" s="30" t="n"/>
      <c r="C1612" s="30" t="n"/>
      <c r="D1612" s="30" t="n"/>
      <c r="E1612" s="33">
        <f>IF(B1612="","",IFERROR(INDEX(Productos!$B$2:$B$501,MATCH(B1612,Productos!$A$2:$A$501,0)),"¿Código?"))</f>
        <v/>
      </c>
      <c r="F1612" s="32">
        <f>IF(C1612&lt;&gt;"Venta","",D1612*IFERROR(INDEX(Productos!$D$2:$D$501,MATCH(B1612,Productos!$A$2:$A$501,0)),0))</f>
        <v/>
      </c>
      <c r="G1612" s="32">
        <f>IF(C1612&lt;&gt;"Venta","",D1612*IFERROR(INDEX(Productos!$E$2:$E$501,MATCH(B1612,Productos!$A$2:$A$501,0)),0))</f>
        <v/>
      </c>
      <c r="H1612" s="33">
        <f>IF(A1612="","",MONTH(A1612))</f>
        <v/>
      </c>
      <c r="I1612" s="33">
        <f>IF(A1612="","",YEAR(A1612))</f>
        <v/>
      </c>
    </row>
    <row r="1613" ht="15" customHeight="1" s="21">
      <c r="A1613" s="34" t="n"/>
      <c r="B1613" s="30" t="n"/>
      <c r="C1613" s="30" t="n"/>
      <c r="D1613" s="30" t="n"/>
      <c r="E1613" s="33">
        <f>IF(B1613="","",IFERROR(INDEX(Productos!$B$2:$B$501,MATCH(B1613,Productos!$A$2:$A$501,0)),"¿Código?"))</f>
        <v/>
      </c>
      <c r="F1613" s="32">
        <f>IF(C1613&lt;&gt;"Venta","",D1613*IFERROR(INDEX(Productos!$D$2:$D$501,MATCH(B1613,Productos!$A$2:$A$501,0)),0))</f>
        <v/>
      </c>
      <c r="G1613" s="32">
        <f>IF(C1613&lt;&gt;"Venta","",D1613*IFERROR(INDEX(Productos!$E$2:$E$501,MATCH(B1613,Productos!$A$2:$A$501,0)),0))</f>
        <v/>
      </c>
      <c r="H1613" s="33">
        <f>IF(A1613="","",MONTH(A1613))</f>
        <v/>
      </c>
      <c r="I1613" s="33">
        <f>IF(A1613="","",YEAR(A1613))</f>
        <v/>
      </c>
    </row>
    <row r="1614" ht="15" customHeight="1" s="21">
      <c r="A1614" s="34" t="n"/>
      <c r="B1614" s="30" t="n"/>
      <c r="C1614" s="30" t="n"/>
      <c r="D1614" s="30" t="n"/>
      <c r="E1614" s="33">
        <f>IF(B1614="","",IFERROR(INDEX(Productos!$B$2:$B$501,MATCH(B1614,Productos!$A$2:$A$501,0)),"¿Código?"))</f>
        <v/>
      </c>
      <c r="F1614" s="32">
        <f>IF(C1614&lt;&gt;"Venta","",D1614*IFERROR(INDEX(Productos!$D$2:$D$501,MATCH(B1614,Productos!$A$2:$A$501,0)),0))</f>
        <v/>
      </c>
      <c r="G1614" s="32">
        <f>IF(C1614&lt;&gt;"Venta","",D1614*IFERROR(INDEX(Productos!$E$2:$E$501,MATCH(B1614,Productos!$A$2:$A$501,0)),0))</f>
        <v/>
      </c>
      <c r="H1614" s="33">
        <f>IF(A1614="","",MONTH(A1614))</f>
        <v/>
      </c>
      <c r="I1614" s="33">
        <f>IF(A1614="","",YEAR(A1614))</f>
        <v/>
      </c>
    </row>
    <row r="1615" ht="15" customHeight="1" s="21">
      <c r="A1615" s="34" t="n"/>
      <c r="B1615" s="30" t="n"/>
      <c r="C1615" s="30" t="n"/>
      <c r="D1615" s="30" t="n"/>
      <c r="E1615" s="33">
        <f>IF(B1615="","",IFERROR(INDEX(Productos!$B$2:$B$501,MATCH(B1615,Productos!$A$2:$A$501,0)),"¿Código?"))</f>
        <v/>
      </c>
      <c r="F1615" s="32">
        <f>IF(C1615&lt;&gt;"Venta","",D1615*IFERROR(INDEX(Productos!$D$2:$D$501,MATCH(B1615,Productos!$A$2:$A$501,0)),0))</f>
        <v/>
      </c>
      <c r="G1615" s="32">
        <f>IF(C1615&lt;&gt;"Venta","",D1615*IFERROR(INDEX(Productos!$E$2:$E$501,MATCH(B1615,Productos!$A$2:$A$501,0)),0))</f>
        <v/>
      </c>
      <c r="H1615" s="33">
        <f>IF(A1615="","",MONTH(A1615))</f>
        <v/>
      </c>
      <c r="I1615" s="33">
        <f>IF(A1615="","",YEAR(A1615))</f>
        <v/>
      </c>
    </row>
    <row r="1616" ht="15" customHeight="1" s="21">
      <c r="A1616" s="34" t="n"/>
      <c r="B1616" s="30" t="n"/>
      <c r="C1616" s="30" t="n"/>
      <c r="D1616" s="30" t="n"/>
      <c r="E1616" s="33">
        <f>IF(B1616="","",IFERROR(INDEX(Productos!$B$2:$B$501,MATCH(B1616,Productos!$A$2:$A$501,0)),"¿Código?"))</f>
        <v/>
      </c>
      <c r="F1616" s="32">
        <f>IF(C1616&lt;&gt;"Venta","",D1616*IFERROR(INDEX(Productos!$D$2:$D$501,MATCH(B1616,Productos!$A$2:$A$501,0)),0))</f>
        <v/>
      </c>
      <c r="G1616" s="32">
        <f>IF(C1616&lt;&gt;"Venta","",D1616*IFERROR(INDEX(Productos!$E$2:$E$501,MATCH(B1616,Productos!$A$2:$A$501,0)),0))</f>
        <v/>
      </c>
      <c r="H1616" s="33">
        <f>IF(A1616="","",MONTH(A1616))</f>
        <v/>
      </c>
      <c r="I1616" s="33">
        <f>IF(A1616="","",YEAR(A1616))</f>
        <v/>
      </c>
    </row>
    <row r="1617" ht="15" customHeight="1" s="21">
      <c r="A1617" s="34" t="n"/>
      <c r="B1617" s="30" t="n"/>
      <c r="C1617" s="30" t="n"/>
      <c r="D1617" s="30" t="n"/>
      <c r="E1617" s="33">
        <f>IF(B1617="","",IFERROR(INDEX(Productos!$B$2:$B$501,MATCH(B1617,Productos!$A$2:$A$501,0)),"¿Código?"))</f>
        <v/>
      </c>
      <c r="F1617" s="32">
        <f>IF(C1617&lt;&gt;"Venta","",D1617*IFERROR(INDEX(Productos!$D$2:$D$501,MATCH(B1617,Productos!$A$2:$A$501,0)),0))</f>
        <v/>
      </c>
      <c r="G1617" s="32">
        <f>IF(C1617&lt;&gt;"Venta","",D1617*IFERROR(INDEX(Productos!$E$2:$E$501,MATCH(B1617,Productos!$A$2:$A$501,0)),0))</f>
        <v/>
      </c>
      <c r="H1617" s="33">
        <f>IF(A1617="","",MONTH(A1617))</f>
        <v/>
      </c>
      <c r="I1617" s="33">
        <f>IF(A1617="","",YEAR(A1617))</f>
        <v/>
      </c>
    </row>
    <row r="1618" ht="15" customHeight="1" s="21">
      <c r="A1618" s="34" t="n"/>
      <c r="B1618" s="30" t="n"/>
      <c r="C1618" s="30" t="n"/>
      <c r="D1618" s="30" t="n"/>
      <c r="E1618" s="33">
        <f>IF(B1618="","",IFERROR(INDEX(Productos!$B$2:$B$501,MATCH(B1618,Productos!$A$2:$A$501,0)),"¿Código?"))</f>
        <v/>
      </c>
      <c r="F1618" s="32">
        <f>IF(C1618&lt;&gt;"Venta","",D1618*IFERROR(INDEX(Productos!$D$2:$D$501,MATCH(B1618,Productos!$A$2:$A$501,0)),0))</f>
        <v/>
      </c>
      <c r="G1618" s="32">
        <f>IF(C1618&lt;&gt;"Venta","",D1618*IFERROR(INDEX(Productos!$E$2:$E$501,MATCH(B1618,Productos!$A$2:$A$501,0)),0))</f>
        <v/>
      </c>
      <c r="H1618" s="33">
        <f>IF(A1618="","",MONTH(A1618))</f>
        <v/>
      </c>
      <c r="I1618" s="33">
        <f>IF(A1618="","",YEAR(A1618))</f>
        <v/>
      </c>
    </row>
    <row r="1619" ht="15" customHeight="1" s="21">
      <c r="A1619" s="34" t="n"/>
      <c r="B1619" s="30" t="n"/>
      <c r="C1619" s="30" t="n"/>
      <c r="D1619" s="30" t="n"/>
      <c r="E1619" s="33">
        <f>IF(B1619="","",IFERROR(INDEX(Productos!$B$2:$B$501,MATCH(B1619,Productos!$A$2:$A$501,0)),"¿Código?"))</f>
        <v/>
      </c>
      <c r="F1619" s="32">
        <f>IF(C1619&lt;&gt;"Venta","",D1619*IFERROR(INDEX(Productos!$D$2:$D$501,MATCH(B1619,Productos!$A$2:$A$501,0)),0))</f>
        <v/>
      </c>
      <c r="G1619" s="32">
        <f>IF(C1619&lt;&gt;"Venta","",D1619*IFERROR(INDEX(Productos!$E$2:$E$501,MATCH(B1619,Productos!$A$2:$A$501,0)),0))</f>
        <v/>
      </c>
      <c r="H1619" s="33">
        <f>IF(A1619="","",MONTH(A1619))</f>
        <v/>
      </c>
      <c r="I1619" s="33">
        <f>IF(A1619="","",YEAR(A1619))</f>
        <v/>
      </c>
    </row>
    <row r="1620" ht="15" customHeight="1" s="21">
      <c r="A1620" s="34" t="n"/>
      <c r="B1620" s="30" t="n"/>
      <c r="C1620" s="30" t="n"/>
      <c r="D1620" s="30" t="n"/>
      <c r="E1620" s="33">
        <f>IF(B1620="","",IFERROR(INDEX(Productos!$B$2:$B$501,MATCH(B1620,Productos!$A$2:$A$501,0)),"¿Código?"))</f>
        <v/>
      </c>
      <c r="F1620" s="32">
        <f>IF(C1620&lt;&gt;"Venta","",D1620*IFERROR(INDEX(Productos!$D$2:$D$501,MATCH(B1620,Productos!$A$2:$A$501,0)),0))</f>
        <v/>
      </c>
      <c r="G1620" s="32">
        <f>IF(C1620&lt;&gt;"Venta","",D1620*IFERROR(INDEX(Productos!$E$2:$E$501,MATCH(B1620,Productos!$A$2:$A$501,0)),0))</f>
        <v/>
      </c>
      <c r="H1620" s="33">
        <f>IF(A1620="","",MONTH(A1620))</f>
        <v/>
      </c>
      <c r="I1620" s="33">
        <f>IF(A1620="","",YEAR(A1620))</f>
        <v/>
      </c>
    </row>
    <row r="1621" ht="15" customHeight="1" s="21">
      <c r="A1621" s="34" t="n"/>
      <c r="B1621" s="30" t="n"/>
      <c r="C1621" s="30" t="n"/>
      <c r="D1621" s="30" t="n"/>
      <c r="E1621" s="33">
        <f>IF(B1621="","",IFERROR(INDEX(Productos!$B$2:$B$501,MATCH(B1621,Productos!$A$2:$A$501,0)),"¿Código?"))</f>
        <v/>
      </c>
      <c r="F1621" s="32">
        <f>IF(C1621&lt;&gt;"Venta","",D1621*IFERROR(INDEX(Productos!$D$2:$D$501,MATCH(B1621,Productos!$A$2:$A$501,0)),0))</f>
        <v/>
      </c>
      <c r="G1621" s="32">
        <f>IF(C1621&lt;&gt;"Venta","",D1621*IFERROR(INDEX(Productos!$E$2:$E$501,MATCH(B1621,Productos!$A$2:$A$501,0)),0))</f>
        <v/>
      </c>
      <c r="H1621" s="33">
        <f>IF(A1621="","",MONTH(A1621))</f>
        <v/>
      </c>
      <c r="I1621" s="33">
        <f>IF(A1621="","",YEAR(A1621))</f>
        <v/>
      </c>
    </row>
    <row r="1622" ht="15" customHeight="1" s="21">
      <c r="A1622" s="34" t="n"/>
      <c r="B1622" s="30" t="n"/>
      <c r="C1622" s="30" t="n"/>
      <c r="D1622" s="30" t="n"/>
      <c r="E1622" s="33">
        <f>IF(B1622="","",IFERROR(INDEX(Productos!$B$2:$B$501,MATCH(B1622,Productos!$A$2:$A$501,0)),"¿Código?"))</f>
        <v/>
      </c>
      <c r="F1622" s="32">
        <f>IF(C1622&lt;&gt;"Venta","",D1622*IFERROR(INDEX(Productos!$D$2:$D$501,MATCH(B1622,Productos!$A$2:$A$501,0)),0))</f>
        <v/>
      </c>
      <c r="G1622" s="32">
        <f>IF(C1622&lt;&gt;"Venta","",D1622*IFERROR(INDEX(Productos!$E$2:$E$501,MATCH(B1622,Productos!$A$2:$A$501,0)),0))</f>
        <v/>
      </c>
      <c r="H1622" s="33">
        <f>IF(A1622="","",MONTH(A1622))</f>
        <v/>
      </c>
      <c r="I1622" s="33">
        <f>IF(A1622="","",YEAR(A1622))</f>
        <v/>
      </c>
    </row>
    <row r="1623" ht="15" customHeight="1" s="21">
      <c r="A1623" s="34" t="n"/>
      <c r="B1623" s="30" t="n"/>
      <c r="C1623" s="30" t="n"/>
      <c r="D1623" s="30" t="n"/>
      <c r="E1623" s="33">
        <f>IF(B1623="","",IFERROR(INDEX(Productos!$B$2:$B$501,MATCH(B1623,Productos!$A$2:$A$501,0)),"¿Código?"))</f>
        <v/>
      </c>
      <c r="F1623" s="32">
        <f>IF(C1623&lt;&gt;"Venta","",D1623*IFERROR(INDEX(Productos!$D$2:$D$501,MATCH(B1623,Productos!$A$2:$A$501,0)),0))</f>
        <v/>
      </c>
      <c r="G1623" s="32">
        <f>IF(C1623&lt;&gt;"Venta","",D1623*IFERROR(INDEX(Productos!$E$2:$E$501,MATCH(B1623,Productos!$A$2:$A$501,0)),0))</f>
        <v/>
      </c>
      <c r="H1623" s="33">
        <f>IF(A1623="","",MONTH(A1623))</f>
        <v/>
      </c>
      <c r="I1623" s="33">
        <f>IF(A1623="","",YEAR(A1623))</f>
        <v/>
      </c>
    </row>
    <row r="1624" ht="15" customHeight="1" s="21">
      <c r="A1624" s="34" t="n"/>
      <c r="B1624" s="30" t="n"/>
      <c r="C1624" s="30" t="n"/>
      <c r="D1624" s="30" t="n"/>
      <c r="E1624" s="33">
        <f>IF(B1624="","",IFERROR(INDEX(Productos!$B$2:$B$501,MATCH(B1624,Productos!$A$2:$A$501,0)),"¿Código?"))</f>
        <v/>
      </c>
      <c r="F1624" s="32">
        <f>IF(C1624&lt;&gt;"Venta","",D1624*IFERROR(INDEX(Productos!$D$2:$D$501,MATCH(B1624,Productos!$A$2:$A$501,0)),0))</f>
        <v/>
      </c>
      <c r="G1624" s="32">
        <f>IF(C1624&lt;&gt;"Venta","",D1624*IFERROR(INDEX(Productos!$E$2:$E$501,MATCH(B1624,Productos!$A$2:$A$501,0)),0))</f>
        <v/>
      </c>
      <c r="H1624" s="33">
        <f>IF(A1624="","",MONTH(A1624))</f>
        <v/>
      </c>
      <c r="I1624" s="33">
        <f>IF(A1624="","",YEAR(A1624))</f>
        <v/>
      </c>
    </row>
    <row r="1625" ht="15" customHeight="1" s="21">
      <c r="A1625" s="34" t="n"/>
      <c r="B1625" s="30" t="n"/>
      <c r="C1625" s="30" t="n"/>
      <c r="D1625" s="30" t="n"/>
      <c r="E1625" s="33">
        <f>IF(B1625="","",IFERROR(INDEX(Productos!$B$2:$B$501,MATCH(B1625,Productos!$A$2:$A$501,0)),"¿Código?"))</f>
        <v/>
      </c>
      <c r="F1625" s="32">
        <f>IF(C1625&lt;&gt;"Venta","",D1625*IFERROR(INDEX(Productos!$D$2:$D$501,MATCH(B1625,Productos!$A$2:$A$501,0)),0))</f>
        <v/>
      </c>
      <c r="G1625" s="32">
        <f>IF(C1625&lt;&gt;"Venta","",D1625*IFERROR(INDEX(Productos!$E$2:$E$501,MATCH(B1625,Productos!$A$2:$A$501,0)),0))</f>
        <v/>
      </c>
      <c r="H1625" s="33">
        <f>IF(A1625="","",MONTH(A1625))</f>
        <v/>
      </c>
      <c r="I1625" s="33">
        <f>IF(A1625="","",YEAR(A1625))</f>
        <v/>
      </c>
    </row>
    <row r="1626" ht="15" customHeight="1" s="21">
      <c r="A1626" s="34" t="n"/>
      <c r="B1626" s="30" t="n"/>
      <c r="C1626" s="30" t="n"/>
      <c r="D1626" s="30" t="n"/>
      <c r="E1626" s="33">
        <f>IF(B1626="","",IFERROR(INDEX(Productos!$B$2:$B$501,MATCH(B1626,Productos!$A$2:$A$501,0)),"¿Código?"))</f>
        <v/>
      </c>
      <c r="F1626" s="32">
        <f>IF(C1626&lt;&gt;"Venta","",D1626*IFERROR(INDEX(Productos!$D$2:$D$501,MATCH(B1626,Productos!$A$2:$A$501,0)),0))</f>
        <v/>
      </c>
      <c r="G1626" s="32">
        <f>IF(C1626&lt;&gt;"Venta","",D1626*IFERROR(INDEX(Productos!$E$2:$E$501,MATCH(B1626,Productos!$A$2:$A$501,0)),0))</f>
        <v/>
      </c>
      <c r="H1626" s="33">
        <f>IF(A1626="","",MONTH(A1626))</f>
        <v/>
      </c>
      <c r="I1626" s="33">
        <f>IF(A1626="","",YEAR(A1626))</f>
        <v/>
      </c>
    </row>
    <row r="1627" ht="15" customHeight="1" s="21">
      <c r="A1627" s="34" t="n"/>
      <c r="B1627" s="30" t="n"/>
      <c r="C1627" s="30" t="n"/>
      <c r="D1627" s="30" t="n"/>
      <c r="E1627" s="33">
        <f>IF(B1627="","",IFERROR(INDEX(Productos!$B$2:$B$501,MATCH(B1627,Productos!$A$2:$A$501,0)),"¿Código?"))</f>
        <v/>
      </c>
      <c r="F1627" s="32">
        <f>IF(C1627&lt;&gt;"Venta","",D1627*IFERROR(INDEX(Productos!$D$2:$D$501,MATCH(B1627,Productos!$A$2:$A$501,0)),0))</f>
        <v/>
      </c>
      <c r="G1627" s="32">
        <f>IF(C1627&lt;&gt;"Venta","",D1627*IFERROR(INDEX(Productos!$E$2:$E$501,MATCH(B1627,Productos!$A$2:$A$501,0)),0))</f>
        <v/>
      </c>
      <c r="H1627" s="33">
        <f>IF(A1627="","",MONTH(A1627))</f>
        <v/>
      </c>
      <c r="I1627" s="33">
        <f>IF(A1627="","",YEAR(A1627))</f>
        <v/>
      </c>
    </row>
    <row r="1628" ht="15" customHeight="1" s="21">
      <c r="A1628" s="34" t="n"/>
      <c r="B1628" s="30" t="n"/>
      <c r="C1628" s="30" t="n"/>
      <c r="D1628" s="30" t="n"/>
      <c r="E1628" s="33">
        <f>IF(B1628="","",IFERROR(INDEX(Productos!$B$2:$B$501,MATCH(B1628,Productos!$A$2:$A$501,0)),"¿Código?"))</f>
        <v/>
      </c>
      <c r="F1628" s="32">
        <f>IF(C1628&lt;&gt;"Venta","",D1628*IFERROR(INDEX(Productos!$D$2:$D$501,MATCH(B1628,Productos!$A$2:$A$501,0)),0))</f>
        <v/>
      </c>
      <c r="G1628" s="32">
        <f>IF(C1628&lt;&gt;"Venta","",D1628*IFERROR(INDEX(Productos!$E$2:$E$501,MATCH(B1628,Productos!$A$2:$A$501,0)),0))</f>
        <v/>
      </c>
      <c r="H1628" s="33">
        <f>IF(A1628="","",MONTH(A1628))</f>
        <v/>
      </c>
      <c r="I1628" s="33">
        <f>IF(A1628="","",YEAR(A1628))</f>
        <v/>
      </c>
    </row>
    <row r="1629" ht="15" customHeight="1" s="21">
      <c r="A1629" s="34" t="n"/>
      <c r="B1629" s="30" t="n"/>
      <c r="C1629" s="30" t="n"/>
      <c r="D1629" s="30" t="n"/>
      <c r="E1629" s="33">
        <f>IF(B1629="","",IFERROR(INDEX(Productos!$B$2:$B$501,MATCH(B1629,Productos!$A$2:$A$501,0)),"¿Código?"))</f>
        <v/>
      </c>
      <c r="F1629" s="32">
        <f>IF(C1629&lt;&gt;"Venta","",D1629*IFERROR(INDEX(Productos!$D$2:$D$501,MATCH(B1629,Productos!$A$2:$A$501,0)),0))</f>
        <v/>
      </c>
      <c r="G1629" s="32">
        <f>IF(C1629&lt;&gt;"Venta","",D1629*IFERROR(INDEX(Productos!$E$2:$E$501,MATCH(B1629,Productos!$A$2:$A$501,0)),0))</f>
        <v/>
      </c>
      <c r="H1629" s="33">
        <f>IF(A1629="","",MONTH(A1629))</f>
        <v/>
      </c>
      <c r="I1629" s="33">
        <f>IF(A1629="","",YEAR(A1629))</f>
        <v/>
      </c>
    </row>
    <row r="1630" ht="15" customHeight="1" s="21">
      <c r="A1630" s="34" t="n"/>
      <c r="B1630" s="30" t="n"/>
      <c r="C1630" s="30" t="n"/>
      <c r="D1630" s="30" t="n"/>
      <c r="E1630" s="33">
        <f>IF(B1630="","",IFERROR(INDEX(Productos!$B$2:$B$501,MATCH(B1630,Productos!$A$2:$A$501,0)),"¿Código?"))</f>
        <v/>
      </c>
      <c r="F1630" s="32">
        <f>IF(C1630&lt;&gt;"Venta","",D1630*IFERROR(INDEX(Productos!$D$2:$D$501,MATCH(B1630,Productos!$A$2:$A$501,0)),0))</f>
        <v/>
      </c>
      <c r="G1630" s="32">
        <f>IF(C1630&lt;&gt;"Venta","",D1630*IFERROR(INDEX(Productos!$E$2:$E$501,MATCH(B1630,Productos!$A$2:$A$501,0)),0))</f>
        <v/>
      </c>
      <c r="H1630" s="33">
        <f>IF(A1630="","",MONTH(A1630))</f>
        <v/>
      </c>
      <c r="I1630" s="33">
        <f>IF(A1630="","",YEAR(A1630))</f>
        <v/>
      </c>
    </row>
    <row r="1631" ht="15" customHeight="1" s="21">
      <c r="A1631" s="34" t="n"/>
      <c r="B1631" s="30" t="n"/>
      <c r="C1631" s="30" t="n"/>
      <c r="D1631" s="30" t="n"/>
      <c r="E1631" s="33">
        <f>IF(B1631="","",IFERROR(INDEX(Productos!$B$2:$B$501,MATCH(B1631,Productos!$A$2:$A$501,0)),"¿Código?"))</f>
        <v/>
      </c>
      <c r="F1631" s="32">
        <f>IF(C1631&lt;&gt;"Venta","",D1631*IFERROR(INDEX(Productos!$D$2:$D$501,MATCH(B1631,Productos!$A$2:$A$501,0)),0))</f>
        <v/>
      </c>
      <c r="G1631" s="32">
        <f>IF(C1631&lt;&gt;"Venta","",D1631*IFERROR(INDEX(Productos!$E$2:$E$501,MATCH(B1631,Productos!$A$2:$A$501,0)),0))</f>
        <v/>
      </c>
      <c r="H1631" s="33">
        <f>IF(A1631="","",MONTH(A1631))</f>
        <v/>
      </c>
      <c r="I1631" s="33">
        <f>IF(A1631="","",YEAR(A1631))</f>
        <v/>
      </c>
    </row>
    <row r="1632" ht="15" customHeight="1" s="21">
      <c r="A1632" s="34" t="n"/>
      <c r="B1632" s="30" t="n"/>
      <c r="C1632" s="30" t="n"/>
      <c r="D1632" s="30" t="n"/>
      <c r="E1632" s="33">
        <f>IF(B1632="","",IFERROR(INDEX(Productos!$B$2:$B$501,MATCH(B1632,Productos!$A$2:$A$501,0)),"¿Código?"))</f>
        <v/>
      </c>
      <c r="F1632" s="32">
        <f>IF(C1632&lt;&gt;"Venta","",D1632*IFERROR(INDEX(Productos!$D$2:$D$501,MATCH(B1632,Productos!$A$2:$A$501,0)),0))</f>
        <v/>
      </c>
      <c r="G1632" s="32">
        <f>IF(C1632&lt;&gt;"Venta","",D1632*IFERROR(INDEX(Productos!$E$2:$E$501,MATCH(B1632,Productos!$A$2:$A$501,0)),0))</f>
        <v/>
      </c>
      <c r="H1632" s="33">
        <f>IF(A1632="","",MONTH(A1632))</f>
        <v/>
      </c>
      <c r="I1632" s="33">
        <f>IF(A1632="","",YEAR(A1632))</f>
        <v/>
      </c>
    </row>
    <row r="1633" ht="15" customHeight="1" s="21">
      <c r="A1633" s="34" t="n"/>
      <c r="B1633" s="30" t="n"/>
      <c r="C1633" s="30" t="n"/>
      <c r="D1633" s="30" t="n"/>
      <c r="E1633" s="33">
        <f>IF(B1633="","",IFERROR(INDEX(Productos!$B$2:$B$501,MATCH(B1633,Productos!$A$2:$A$501,0)),"¿Código?"))</f>
        <v/>
      </c>
      <c r="F1633" s="32">
        <f>IF(C1633&lt;&gt;"Venta","",D1633*IFERROR(INDEX(Productos!$D$2:$D$501,MATCH(B1633,Productos!$A$2:$A$501,0)),0))</f>
        <v/>
      </c>
      <c r="G1633" s="32">
        <f>IF(C1633&lt;&gt;"Venta","",D1633*IFERROR(INDEX(Productos!$E$2:$E$501,MATCH(B1633,Productos!$A$2:$A$501,0)),0))</f>
        <v/>
      </c>
      <c r="H1633" s="33">
        <f>IF(A1633="","",MONTH(A1633))</f>
        <v/>
      </c>
      <c r="I1633" s="33">
        <f>IF(A1633="","",YEAR(A1633))</f>
        <v/>
      </c>
    </row>
    <row r="1634" ht="15" customHeight="1" s="21">
      <c r="A1634" s="34" t="n"/>
      <c r="B1634" s="30" t="n"/>
      <c r="C1634" s="30" t="n"/>
      <c r="D1634" s="30" t="n"/>
      <c r="E1634" s="33">
        <f>IF(B1634="","",IFERROR(INDEX(Productos!$B$2:$B$501,MATCH(B1634,Productos!$A$2:$A$501,0)),"¿Código?"))</f>
        <v/>
      </c>
      <c r="F1634" s="32">
        <f>IF(C1634&lt;&gt;"Venta","",D1634*IFERROR(INDEX(Productos!$D$2:$D$501,MATCH(B1634,Productos!$A$2:$A$501,0)),0))</f>
        <v/>
      </c>
      <c r="G1634" s="32">
        <f>IF(C1634&lt;&gt;"Venta","",D1634*IFERROR(INDEX(Productos!$E$2:$E$501,MATCH(B1634,Productos!$A$2:$A$501,0)),0))</f>
        <v/>
      </c>
      <c r="H1634" s="33">
        <f>IF(A1634="","",MONTH(A1634))</f>
        <v/>
      </c>
      <c r="I1634" s="33">
        <f>IF(A1634="","",YEAR(A1634))</f>
        <v/>
      </c>
    </row>
    <row r="1635" ht="15" customHeight="1" s="21">
      <c r="A1635" s="34" t="n"/>
      <c r="B1635" s="30" t="n"/>
      <c r="C1635" s="30" t="n"/>
      <c r="D1635" s="30" t="n"/>
      <c r="E1635" s="33">
        <f>IF(B1635="","",IFERROR(INDEX(Productos!$B$2:$B$501,MATCH(B1635,Productos!$A$2:$A$501,0)),"¿Código?"))</f>
        <v/>
      </c>
      <c r="F1635" s="32">
        <f>IF(C1635&lt;&gt;"Venta","",D1635*IFERROR(INDEX(Productos!$D$2:$D$501,MATCH(B1635,Productos!$A$2:$A$501,0)),0))</f>
        <v/>
      </c>
      <c r="G1635" s="32">
        <f>IF(C1635&lt;&gt;"Venta","",D1635*IFERROR(INDEX(Productos!$E$2:$E$501,MATCH(B1635,Productos!$A$2:$A$501,0)),0))</f>
        <v/>
      </c>
      <c r="H1635" s="33">
        <f>IF(A1635="","",MONTH(A1635))</f>
        <v/>
      </c>
      <c r="I1635" s="33">
        <f>IF(A1635="","",YEAR(A1635))</f>
        <v/>
      </c>
    </row>
    <row r="1636" ht="15" customHeight="1" s="21">
      <c r="A1636" s="34" t="n"/>
      <c r="B1636" s="30" t="n"/>
      <c r="C1636" s="30" t="n"/>
      <c r="D1636" s="30" t="n"/>
      <c r="E1636" s="33">
        <f>IF(B1636="","",IFERROR(INDEX(Productos!$B$2:$B$501,MATCH(B1636,Productos!$A$2:$A$501,0)),"¿Código?"))</f>
        <v/>
      </c>
      <c r="F1636" s="32">
        <f>IF(C1636&lt;&gt;"Venta","",D1636*IFERROR(INDEX(Productos!$D$2:$D$501,MATCH(B1636,Productos!$A$2:$A$501,0)),0))</f>
        <v/>
      </c>
      <c r="G1636" s="32">
        <f>IF(C1636&lt;&gt;"Venta","",D1636*IFERROR(INDEX(Productos!$E$2:$E$501,MATCH(B1636,Productos!$A$2:$A$501,0)),0))</f>
        <v/>
      </c>
      <c r="H1636" s="33">
        <f>IF(A1636="","",MONTH(A1636))</f>
        <v/>
      </c>
      <c r="I1636" s="33">
        <f>IF(A1636="","",YEAR(A1636))</f>
        <v/>
      </c>
    </row>
    <row r="1637" ht="15" customHeight="1" s="21">
      <c r="A1637" s="34" t="n"/>
      <c r="B1637" s="30" t="n"/>
      <c r="C1637" s="30" t="n"/>
      <c r="D1637" s="30" t="n"/>
      <c r="E1637" s="33">
        <f>IF(B1637="","",IFERROR(INDEX(Productos!$B$2:$B$501,MATCH(B1637,Productos!$A$2:$A$501,0)),"¿Código?"))</f>
        <v/>
      </c>
      <c r="F1637" s="32">
        <f>IF(C1637&lt;&gt;"Venta","",D1637*IFERROR(INDEX(Productos!$D$2:$D$501,MATCH(B1637,Productos!$A$2:$A$501,0)),0))</f>
        <v/>
      </c>
      <c r="G1637" s="32">
        <f>IF(C1637&lt;&gt;"Venta","",D1637*IFERROR(INDEX(Productos!$E$2:$E$501,MATCH(B1637,Productos!$A$2:$A$501,0)),0))</f>
        <v/>
      </c>
      <c r="H1637" s="33">
        <f>IF(A1637="","",MONTH(A1637))</f>
        <v/>
      </c>
      <c r="I1637" s="33">
        <f>IF(A1637="","",YEAR(A1637))</f>
        <v/>
      </c>
    </row>
    <row r="1638" ht="15" customHeight="1" s="21">
      <c r="A1638" s="34" t="n"/>
      <c r="B1638" s="30" t="n"/>
      <c r="C1638" s="30" t="n"/>
      <c r="D1638" s="30" t="n"/>
      <c r="E1638" s="33">
        <f>IF(B1638="","",IFERROR(INDEX(Productos!$B$2:$B$501,MATCH(B1638,Productos!$A$2:$A$501,0)),"¿Código?"))</f>
        <v/>
      </c>
      <c r="F1638" s="32">
        <f>IF(C1638&lt;&gt;"Venta","",D1638*IFERROR(INDEX(Productos!$D$2:$D$501,MATCH(B1638,Productos!$A$2:$A$501,0)),0))</f>
        <v/>
      </c>
      <c r="G1638" s="32">
        <f>IF(C1638&lt;&gt;"Venta","",D1638*IFERROR(INDEX(Productos!$E$2:$E$501,MATCH(B1638,Productos!$A$2:$A$501,0)),0))</f>
        <v/>
      </c>
      <c r="H1638" s="33">
        <f>IF(A1638="","",MONTH(A1638))</f>
        <v/>
      </c>
      <c r="I1638" s="33">
        <f>IF(A1638="","",YEAR(A1638))</f>
        <v/>
      </c>
    </row>
    <row r="1639" ht="15" customHeight="1" s="21">
      <c r="A1639" s="34" t="n"/>
      <c r="B1639" s="30" t="n"/>
      <c r="C1639" s="30" t="n"/>
      <c r="D1639" s="30" t="n"/>
      <c r="E1639" s="33">
        <f>IF(B1639="","",IFERROR(INDEX(Productos!$B$2:$B$501,MATCH(B1639,Productos!$A$2:$A$501,0)),"¿Código?"))</f>
        <v/>
      </c>
      <c r="F1639" s="32">
        <f>IF(C1639&lt;&gt;"Venta","",D1639*IFERROR(INDEX(Productos!$D$2:$D$501,MATCH(B1639,Productos!$A$2:$A$501,0)),0))</f>
        <v/>
      </c>
      <c r="G1639" s="32">
        <f>IF(C1639&lt;&gt;"Venta","",D1639*IFERROR(INDEX(Productos!$E$2:$E$501,MATCH(B1639,Productos!$A$2:$A$501,0)),0))</f>
        <v/>
      </c>
      <c r="H1639" s="33">
        <f>IF(A1639="","",MONTH(A1639))</f>
        <v/>
      </c>
      <c r="I1639" s="33">
        <f>IF(A1639="","",YEAR(A1639))</f>
        <v/>
      </c>
    </row>
    <row r="1640" ht="15" customHeight="1" s="21">
      <c r="A1640" s="34" t="n"/>
      <c r="B1640" s="30" t="n"/>
      <c r="C1640" s="30" t="n"/>
      <c r="D1640" s="30" t="n"/>
      <c r="E1640" s="33">
        <f>IF(B1640="","",IFERROR(INDEX(Productos!$B$2:$B$501,MATCH(B1640,Productos!$A$2:$A$501,0)),"¿Código?"))</f>
        <v/>
      </c>
      <c r="F1640" s="32">
        <f>IF(C1640&lt;&gt;"Venta","",D1640*IFERROR(INDEX(Productos!$D$2:$D$501,MATCH(B1640,Productos!$A$2:$A$501,0)),0))</f>
        <v/>
      </c>
      <c r="G1640" s="32">
        <f>IF(C1640&lt;&gt;"Venta","",D1640*IFERROR(INDEX(Productos!$E$2:$E$501,MATCH(B1640,Productos!$A$2:$A$501,0)),0))</f>
        <v/>
      </c>
      <c r="H1640" s="33">
        <f>IF(A1640="","",MONTH(A1640))</f>
        <v/>
      </c>
      <c r="I1640" s="33">
        <f>IF(A1640="","",YEAR(A1640))</f>
        <v/>
      </c>
    </row>
    <row r="1641" ht="15" customHeight="1" s="21">
      <c r="A1641" s="34" t="n"/>
      <c r="B1641" s="30" t="n"/>
      <c r="C1641" s="30" t="n"/>
      <c r="D1641" s="30" t="n"/>
      <c r="E1641" s="33">
        <f>IF(B1641="","",IFERROR(INDEX(Productos!$B$2:$B$501,MATCH(B1641,Productos!$A$2:$A$501,0)),"¿Código?"))</f>
        <v/>
      </c>
      <c r="F1641" s="32">
        <f>IF(C1641&lt;&gt;"Venta","",D1641*IFERROR(INDEX(Productos!$D$2:$D$501,MATCH(B1641,Productos!$A$2:$A$501,0)),0))</f>
        <v/>
      </c>
      <c r="G1641" s="32">
        <f>IF(C1641&lt;&gt;"Venta","",D1641*IFERROR(INDEX(Productos!$E$2:$E$501,MATCH(B1641,Productos!$A$2:$A$501,0)),0))</f>
        <v/>
      </c>
      <c r="H1641" s="33">
        <f>IF(A1641="","",MONTH(A1641))</f>
        <v/>
      </c>
      <c r="I1641" s="33">
        <f>IF(A1641="","",YEAR(A1641))</f>
        <v/>
      </c>
    </row>
    <row r="1642" ht="15" customHeight="1" s="21">
      <c r="A1642" s="34" t="n"/>
      <c r="B1642" s="30" t="n"/>
      <c r="C1642" s="30" t="n"/>
      <c r="D1642" s="30" t="n"/>
      <c r="E1642" s="33">
        <f>IF(B1642="","",IFERROR(INDEX(Productos!$B$2:$B$501,MATCH(B1642,Productos!$A$2:$A$501,0)),"¿Código?"))</f>
        <v/>
      </c>
      <c r="F1642" s="32">
        <f>IF(C1642&lt;&gt;"Venta","",D1642*IFERROR(INDEX(Productos!$D$2:$D$501,MATCH(B1642,Productos!$A$2:$A$501,0)),0))</f>
        <v/>
      </c>
      <c r="G1642" s="32">
        <f>IF(C1642&lt;&gt;"Venta","",D1642*IFERROR(INDEX(Productos!$E$2:$E$501,MATCH(B1642,Productos!$A$2:$A$501,0)),0))</f>
        <v/>
      </c>
      <c r="H1642" s="33">
        <f>IF(A1642="","",MONTH(A1642))</f>
        <v/>
      </c>
      <c r="I1642" s="33">
        <f>IF(A1642="","",YEAR(A1642))</f>
        <v/>
      </c>
    </row>
    <row r="1643" ht="15" customHeight="1" s="21">
      <c r="A1643" s="34" t="n"/>
      <c r="B1643" s="30" t="n"/>
      <c r="C1643" s="30" t="n"/>
      <c r="D1643" s="30" t="n"/>
      <c r="E1643" s="33">
        <f>IF(B1643="","",IFERROR(INDEX(Productos!$B$2:$B$501,MATCH(B1643,Productos!$A$2:$A$501,0)),"¿Código?"))</f>
        <v/>
      </c>
      <c r="F1643" s="32">
        <f>IF(C1643&lt;&gt;"Venta","",D1643*IFERROR(INDEX(Productos!$D$2:$D$501,MATCH(B1643,Productos!$A$2:$A$501,0)),0))</f>
        <v/>
      </c>
      <c r="G1643" s="32">
        <f>IF(C1643&lt;&gt;"Venta","",D1643*IFERROR(INDEX(Productos!$E$2:$E$501,MATCH(B1643,Productos!$A$2:$A$501,0)),0))</f>
        <v/>
      </c>
      <c r="H1643" s="33">
        <f>IF(A1643="","",MONTH(A1643))</f>
        <v/>
      </c>
      <c r="I1643" s="33">
        <f>IF(A1643="","",YEAR(A1643))</f>
        <v/>
      </c>
    </row>
    <row r="1644" ht="15" customHeight="1" s="21">
      <c r="A1644" s="34" t="n"/>
      <c r="B1644" s="30" t="n"/>
      <c r="C1644" s="30" t="n"/>
      <c r="D1644" s="30" t="n"/>
      <c r="E1644" s="33">
        <f>IF(B1644="","",IFERROR(INDEX(Productos!$B$2:$B$501,MATCH(B1644,Productos!$A$2:$A$501,0)),"¿Código?"))</f>
        <v/>
      </c>
      <c r="F1644" s="32">
        <f>IF(C1644&lt;&gt;"Venta","",D1644*IFERROR(INDEX(Productos!$D$2:$D$501,MATCH(B1644,Productos!$A$2:$A$501,0)),0))</f>
        <v/>
      </c>
      <c r="G1644" s="32">
        <f>IF(C1644&lt;&gt;"Venta","",D1644*IFERROR(INDEX(Productos!$E$2:$E$501,MATCH(B1644,Productos!$A$2:$A$501,0)),0))</f>
        <v/>
      </c>
      <c r="H1644" s="33">
        <f>IF(A1644="","",MONTH(A1644))</f>
        <v/>
      </c>
      <c r="I1644" s="33">
        <f>IF(A1644="","",YEAR(A1644))</f>
        <v/>
      </c>
    </row>
    <row r="1645" ht="15" customHeight="1" s="21">
      <c r="A1645" s="34" t="n"/>
      <c r="B1645" s="30" t="n"/>
      <c r="C1645" s="30" t="n"/>
      <c r="D1645" s="30" t="n"/>
      <c r="E1645" s="33">
        <f>IF(B1645="","",IFERROR(INDEX(Productos!$B$2:$B$501,MATCH(B1645,Productos!$A$2:$A$501,0)),"¿Código?"))</f>
        <v/>
      </c>
      <c r="F1645" s="32">
        <f>IF(C1645&lt;&gt;"Venta","",D1645*IFERROR(INDEX(Productos!$D$2:$D$501,MATCH(B1645,Productos!$A$2:$A$501,0)),0))</f>
        <v/>
      </c>
      <c r="G1645" s="32">
        <f>IF(C1645&lt;&gt;"Venta","",D1645*IFERROR(INDEX(Productos!$E$2:$E$501,MATCH(B1645,Productos!$A$2:$A$501,0)),0))</f>
        <v/>
      </c>
      <c r="H1645" s="33">
        <f>IF(A1645="","",MONTH(A1645))</f>
        <v/>
      </c>
      <c r="I1645" s="33">
        <f>IF(A1645="","",YEAR(A1645))</f>
        <v/>
      </c>
    </row>
    <row r="1646" ht="15" customHeight="1" s="21">
      <c r="A1646" s="34" t="n"/>
      <c r="B1646" s="30" t="n"/>
      <c r="C1646" s="30" t="n"/>
      <c r="D1646" s="30" t="n"/>
      <c r="E1646" s="33">
        <f>IF(B1646="","",IFERROR(INDEX(Productos!$B$2:$B$501,MATCH(B1646,Productos!$A$2:$A$501,0)),"¿Código?"))</f>
        <v/>
      </c>
      <c r="F1646" s="32">
        <f>IF(C1646&lt;&gt;"Venta","",D1646*IFERROR(INDEX(Productos!$D$2:$D$501,MATCH(B1646,Productos!$A$2:$A$501,0)),0))</f>
        <v/>
      </c>
      <c r="G1646" s="32">
        <f>IF(C1646&lt;&gt;"Venta","",D1646*IFERROR(INDEX(Productos!$E$2:$E$501,MATCH(B1646,Productos!$A$2:$A$501,0)),0))</f>
        <v/>
      </c>
      <c r="H1646" s="33">
        <f>IF(A1646="","",MONTH(A1646))</f>
        <v/>
      </c>
      <c r="I1646" s="33">
        <f>IF(A1646="","",YEAR(A1646))</f>
        <v/>
      </c>
    </row>
    <row r="1647" ht="15" customHeight="1" s="21">
      <c r="A1647" s="34" t="n"/>
      <c r="B1647" s="30" t="n"/>
      <c r="C1647" s="30" t="n"/>
      <c r="D1647" s="30" t="n"/>
      <c r="E1647" s="33">
        <f>IF(B1647="","",IFERROR(INDEX(Productos!$B$2:$B$501,MATCH(B1647,Productos!$A$2:$A$501,0)),"¿Código?"))</f>
        <v/>
      </c>
      <c r="F1647" s="32">
        <f>IF(C1647&lt;&gt;"Venta","",D1647*IFERROR(INDEX(Productos!$D$2:$D$501,MATCH(B1647,Productos!$A$2:$A$501,0)),0))</f>
        <v/>
      </c>
      <c r="G1647" s="32">
        <f>IF(C1647&lt;&gt;"Venta","",D1647*IFERROR(INDEX(Productos!$E$2:$E$501,MATCH(B1647,Productos!$A$2:$A$501,0)),0))</f>
        <v/>
      </c>
      <c r="H1647" s="33">
        <f>IF(A1647="","",MONTH(A1647))</f>
        <v/>
      </c>
      <c r="I1647" s="33">
        <f>IF(A1647="","",YEAR(A1647))</f>
        <v/>
      </c>
    </row>
    <row r="1648" ht="15" customHeight="1" s="21">
      <c r="A1648" s="34" t="n"/>
      <c r="B1648" s="30" t="n"/>
      <c r="C1648" s="30" t="n"/>
      <c r="D1648" s="30" t="n"/>
      <c r="E1648" s="33">
        <f>IF(B1648="","",IFERROR(INDEX(Productos!$B$2:$B$501,MATCH(B1648,Productos!$A$2:$A$501,0)),"¿Código?"))</f>
        <v/>
      </c>
      <c r="F1648" s="32">
        <f>IF(C1648&lt;&gt;"Venta","",D1648*IFERROR(INDEX(Productos!$D$2:$D$501,MATCH(B1648,Productos!$A$2:$A$501,0)),0))</f>
        <v/>
      </c>
      <c r="G1648" s="32">
        <f>IF(C1648&lt;&gt;"Venta","",D1648*IFERROR(INDEX(Productos!$E$2:$E$501,MATCH(B1648,Productos!$A$2:$A$501,0)),0))</f>
        <v/>
      </c>
      <c r="H1648" s="33">
        <f>IF(A1648="","",MONTH(A1648))</f>
        <v/>
      </c>
      <c r="I1648" s="33">
        <f>IF(A1648="","",YEAR(A1648))</f>
        <v/>
      </c>
    </row>
    <row r="1649" ht="15" customHeight="1" s="21">
      <c r="A1649" s="34" t="n"/>
      <c r="B1649" s="30" t="n"/>
      <c r="C1649" s="30" t="n"/>
      <c r="D1649" s="30" t="n"/>
      <c r="E1649" s="33">
        <f>IF(B1649="","",IFERROR(INDEX(Productos!$B$2:$B$501,MATCH(B1649,Productos!$A$2:$A$501,0)),"¿Código?"))</f>
        <v/>
      </c>
      <c r="F1649" s="32">
        <f>IF(C1649&lt;&gt;"Venta","",D1649*IFERROR(INDEX(Productos!$D$2:$D$501,MATCH(B1649,Productos!$A$2:$A$501,0)),0))</f>
        <v/>
      </c>
      <c r="G1649" s="32">
        <f>IF(C1649&lt;&gt;"Venta","",D1649*IFERROR(INDEX(Productos!$E$2:$E$501,MATCH(B1649,Productos!$A$2:$A$501,0)),0))</f>
        <v/>
      </c>
      <c r="H1649" s="33">
        <f>IF(A1649="","",MONTH(A1649))</f>
        <v/>
      </c>
      <c r="I1649" s="33">
        <f>IF(A1649="","",YEAR(A1649))</f>
        <v/>
      </c>
    </row>
    <row r="1650" ht="15" customHeight="1" s="21">
      <c r="A1650" s="34" t="n"/>
      <c r="B1650" s="30" t="n"/>
      <c r="C1650" s="30" t="n"/>
      <c r="D1650" s="30" t="n"/>
      <c r="E1650" s="33">
        <f>IF(B1650="","",IFERROR(INDEX(Productos!$B$2:$B$501,MATCH(B1650,Productos!$A$2:$A$501,0)),"¿Código?"))</f>
        <v/>
      </c>
      <c r="F1650" s="32">
        <f>IF(C1650&lt;&gt;"Venta","",D1650*IFERROR(INDEX(Productos!$D$2:$D$501,MATCH(B1650,Productos!$A$2:$A$501,0)),0))</f>
        <v/>
      </c>
      <c r="G1650" s="32">
        <f>IF(C1650&lt;&gt;"Venta","",D1650*IFERROR(INDEX(Productos!$E$2:$E$501,MATCH(B1650,Productos!$A$2:$A$501,0)),0))</f>
        <v/>
      </c>
      <c r="H1650" s="33">
        <f>IF(A1650="","",MONTH(A1650))</f>
        <v/>
      </c>
      <c r="I1650" s="33">
        <f>IF(A1650="","",YEAR(A1650))</f>
        <v/>
      </c>
    </row>
    <row r="1651" ht="15" customHeight="1" s="21">
      <c r="A1651" s="34" t="n"/>
      <c r="B1651" s="30" t="n"/>
      <c r="C1651" s="30" t="n"/>
      <c r="D1651" s="30" t="n"/>
      <c r="E1651" s="33">
        <f>IF(B1651="","",IFERROR(INDEX(Productos!$B$2:$B$501,MATCH(B1651,Productos!$A$2:$A$501,0)),"¿Código?"))</f>
        <v/>
      </c>
      <c r="F1651" s="32">
        <f>IF(C1651&lt;&gt;"Venta","",D1651*IFERROR(INDEX(Productos!$D$2:$D$501,MATCH(B1651,Productos!$A$2:$A$501,0)),0))</f>
        <v/>
      </c>
      <c r="G1651" s="32">
        <f>IF(C1651&lt;&gt;"Venta","",D1651*IFERROR(INDEX(Productos!$E$2:$E$501,MATCH(B1651,Productos!$A$2:$A$501,0)),0))</f>
        <v/>
      </c>
      <c r="H1651" s="33">
        <f>IF(A1651="","",MONTH(A1651))</f>
        <v/>
      </c>
      <c r="I1651" s="33">
        <f>IF(A1651="","",YEAR(A1651))</f>
        <v/>
      </c>
    </row>
    <row r="1652" ht="15" customHeight="1" s="21">
      <c r="A1652" s="34" t="n"/>
      <c r="B1652" s="30" t="n"/>
      <c r="C1652" s="30" t="n"/>
      <c r="D1652" s="30" t="n"/>
      <c r="E1652" s="33">
        <f>IF(B1652="","",IFERROR(INDEX(Productos!$B$2:$B$501,MATCH(B1652,Productos!$A$2:$A$501,0)),"¿Código?"))</f>
        <v/>
      </c>
      <c r="F1652" s="32">
        <f>IF(C1652&lt;&gt;"Venta","",D1652*IFERROR(INDEX(Productos!$D$2:$D$501,MATCH(B1652,Productos!$A$2:$A$501,0)),0))</f>
        <v/>
      </c>
      <c r="G1652" s="32">
        <f>IF(C1652&lt;&gt;"Venta","",D1652*IFERROR(INDEX(Productos!$E$2:$E$501,MATCH(B1652,Productos!$A$2:$A$501,0)),0))</f>
        <v/>
      </c>
      <c r="H1652" s="33">
        <f>IF(A1652="","",MONTH(A1652))</f>
        <v/>
      </c>
      <c r="I1652" s="33">
        <f>IF(A1652="","",YEAR(A1652))</f>
        <v/>
      </c>
    </row>
    <row r="1653" ht="15" customHeight="1" s="21">
      <c r="A1653" s="34" t="n"/>
      <c r="B1653" s="30" t="n"/>
      <c r="C1653" s="30" t="n"/>
      <c r="D1653" s="30" t="n"/>
      <c r="E1653" s="33">
        <f>IF(B1653="","",IFERROR(INDEX(Productos!$B$2:$B$501,MATCH(B1653,Productos!$A$2:$A$501,0)),"¿Código?"))</f>
        <v/>
      </c>
      <c r="F1653" s="32">
        <f>IF(C1653&lt;&gt;"Venta","",D1653*IFERROR(INDEX(Productos!$D$2:$D$501,MATCH(B1653,Productos!$A$2:$A$501,0)),0))</f>
        <v/>
      </c>
      <c r="G1653" s="32">
        <f>IF(C1653&lt;&gt;"Venta","",D1653*IFERROR(INDEX(Productos!$E$2:$E$501,MATCH(B1653,Productos!$A$2:$A$501,0)),0))</f>
        <v/>
      </c>
      <c r="H1653" s="33">
        <f>IF(A1653="","",MONTH(A1653))</f>
        <v/>
      </c>
      <c r="I1653" s="33">
        <f>IF(A1653="","",YEAR(A1653))</f>
        <v/>
      </c>
    </row>
    <row r="1654" ht="15" customHeight="1" s="21">
      <c r="A1654" s="34" t="n"/>
      <c r="B1654" s="30" t="n"/>
      <c r="C1654" s="30" t="n"/>
      <c r="D1654" s="30" t="n"/>
      <c r="E1654" s="33">
        <f>IF(B1654="","",IFERROR(INDEX(Productos!$B$2:$B$501,MATCH(B1654,Productos!$A$2:$A$501,0)),"¿Código?"))</f>
        <v/>
      </c>
      <c r="F1654" s="32">
        <f>IF(C1654&lt;&gt;"Venta","",D1654*IFERROR(INDEX(Productos!$D$2:$D$501,MATCH(B1654,Productos!$A$2:$A$501,0)),0))</f>
        <v/>
      </c>
      <c r="G1654" s="32">
        <f>IF(C1654&lt;&gt;"Venta","",D1654*IFERROR(INDEX(Productos!$E$2:$E$501,MATCH(B1654,Productos!$A$2:$A$501,0)),0))</f>
        <v/>
      </c>
      <c r="H1654" s="33">
        <f>IF(A1654="","",MONTH(A1654))</f>
        <v/>
      </c>
      <c r="I1654" s="33">
        <f>IF(A1654="","",YEAR(A1654))</f>
        <v/>
      </c>
    </row>
    <row r="1655" ht="15" customHeight="1" s="21">
      <c r="A1655" s="34" t="n"/>
      <c r="B1655" s="30" t="n"/>
      <c r="C1655" s="30" t="n"/>
      <c r="D1655" s="30" t="n"/>
      <c r="E1655" s="33">
        <f>IF(B1655="","",IFERROR(INDEX(Productos!$B$2:$B$501,MATCH(B1655,Productos!$A$2:$A$501,0)),"¿Código?"))</f>
        <v/>
      </c>
      <c r="F1655" s="32">
        <f>IF(C1655&lt;&gt;"Venta","",D1655*IFERROR(INDEX(Productos!$D$2:$D$501,MATCH(B1655,Productos!$A$2:$A$501,0)),0))</f>
        <v/>
      </c>
      <c r="G1655" s="32">
        <f>IF(C1655&lt;&gt;"Venta","",D1655*IFERROR(INDEX(Productos!$E$2:$E$501,MATCH(B1655,Productos!$A$2:$A$501,0)),0))</f>
        <v/>
      </c>
      <c r="H1655" s="33">
        <f>IF(A1655="","",MONTH(A1655))</f>
        <v/>
      </c>
      <c r="I1655" s="33">
        <f>IF(A1655="","",YEAR(A1655))</f>
        <v/>
      </c>
    </row>
    <row r="1656" ht="15" customHeight="1" s="21">
      <c r="A1656" s="34" t="n"/>
      <c r="B1656" s="30" t="n"/>
      <c r="C1656" s="30" t="n"/>
      <c r="D1656" s="30" t="n"/>
      <c r="E1656" s="33">
        <f>IF(B1656="","",IFERROR(INDEX(Productos!$B$2:$B$501,MATCH(B1656,Productos!$A$2:$A$501,0)),"¿Código?"))</f>
        <v/>
      </c>
      <c r="F1656" s="32">
        <f>IF(C1656&lt;&gt;"Venta","",D1656*IFERROR(INDEX(Productos!$D$2:$D$501,MATCH(B1656,Productos!$A$2:$A$501,0)),0))</f>
        <v/>
      </c>
      <c r="G1656" s="32">
        <f>IF(C1656&lt;&gt;"Venta","",D1656*IFERROR(INDEX(Productos!$E$2:$E$501,MATCH(B1656,Productos!$A$2:$A$501,0)),0))</f>
        <v/>
      </c>
      <c r="H1656" s="33">
        <f>IF(A1656="","",MONTH(A1656))</f>
        <v/>
      </c>
      <c r="I1656" s="33">
        <f>IF(A1656="","",YEAR(A1656))</f>
        <v/>
      </c>
    </row>
    <row r="1657" ht="15" customHeight="1" s="21">
      <c r="A1657" s="34" t="n"/>
      <c r="B1657" s="30" t="n"/>
      <c r="C1657" s="30" t="n"/>
      <c r="D1657" s="30" t="n"/>
      <c r="E1657" s="33">
        <f>IF(B1657="","",IFERROR(INDEX(Productos!$B$2:$B$501,MATCH(B1657,Productos!$A$2:$A$501,0)),"¿Código?"))</f>
        <v/>
      </c>
      <c r="F1657" s="32">
        <f>IF(C1657&lt;&gt;"Venta","",D1657*IFERROR(INDEX(Productos!$D$2:$D$501,MATCH(B1657,Productos!$A$2:$A$501,0)),0))</f>
        <v/>
      </c>
      <c r="G1657" s="32">
        <f>IF(C1657&lt;&gt;"Venta","",D1657*IFERROR(INDEX(Productos!$E$2:$E$501,MATCH(B1657,Productos!$A$2:$A$501,0)),0))</f>
        <v/>
      </c>
      <c r="H1657" s="33">
        <f>IF(A1657="","",MONTH(A1657))</f>
        <v/>
      </c>
      <c r="I1657" s="33">
        <f>IF(A1657="","",YEAR(A1657))</f>
        <v/>
      </c>
    </row>
    <row r="1658" ht="15" customHeight="1" s="21">
      <c r="A1658" s="34" t="n"/>
      <c r="B1658" s="30" t="n"/>
      <c r="C1658" s="30" t="n"/>
      <c r="D1658" s="30" t="n"/>
      <c r="E1658" s="33">
        <f>IF(B1658="","",IFERROR(INDEX(Productos!$B$2:$B$501,MATCH(B1658,Productos!$A$2:$A$501,0)),"¿Código?"))</f>
        <v/>
      </c>
      <c r="F1658" s="32">
        <f>IF(C1658&lt;&gt;"Venta","",D1658*IFERROR(INDEX(Productos!$D$2:$D$501,MATCH(B1658,Productos!$A$2:$A$501,0)),0))</f>
        <v/>
      </c>
      <c r="G1658" s="32">
        <f>IF(C1658&lt;&gt;"Venta","",D1658*IFERROR(INDEX(Productos!$E$2:$E$501,MATCH(B1658,Productos!$A$2:$A$501,0)),0))</f>
        <v/>
      </c>
      <c r="H1658" s="33">
        <f>IF(A1658="","",MONTH(A1658))</f>
        <v/>
      </c>
      <c r="I1658" s="33">
        <f>IF(A1658="","",YEAR(A1658))</f>
        <v/>
      </c>
    </row>
    <row r="1659" ht="15" customHeight="1" s="21">
      <c r="A1659" s="34" t="n"/>
      <c r="B1659" s="30" t="n"/>
      <c r="C1659" s="30" t="n"/>
      <c r="D1659" s="30" t="n"/>
      <c r="E1659" s="33">
        <f>IF(B1659="","",IFERROR(INDEX(Productos!$B$2:$B$501,MATCH(B1659,Productos!$A$2:$A$501,0)),"¿Código?"))</f>
        <v/>
      </c>
      <c r="F1659" s="32">
        <f>IF(C1659&lt;&gt;"Venta","",D1659*IFERROR(INDEX(Productos!$D$2:$D$501,MATCH(B1659,Productos!$A$2:$A$501,0)),0))</f>
        <v/>
      </c>
      <c r="G1659" s="32">
        <f>IF(C1659&lt;&gt;"Venta","",D1659*IFERROR(INDEX(Productos!$E$2:$E$501,MATCH(B1659,Productos!$A$2:$A$501,0)),0))</f>
        <v/>
      </c>
      <c r="H1659" s="33">
        <f>IF(A1659="","",MONTH(A1659))</f>
        <v/>
      </c>
      <c r="I1659" s="33">
        <f>IF(A1659="","",YEAR(A1659))</f>
        <v/>
      </c>
    </row>
    <row r="1660" ht="15" customHeight="1" s="21">
      <c r="A1660" s="34" t="n"/>
      <c r="B1660" s="30" t="n"/>
      <c r="C1660" s="30" t="n"/>
      <c r="D1660" s="30" t="n"/>
      <c r="E1660" s="33">
        <f>IF(B1660="","",IFERROR(INDEX(Productos!$B$2:$B$501,MATCH(B1660,Productos!$A$2:$A$501,0)),"¿Código?"))</f>
        <v/>
      </c>
      <c r="F1660" s="32">
        <f>IF(C1660&lt;&gt;"Venta","",D1660*IFERROR(INDEX(Productos!$D$2:$D$501,MATCH(B1660,Productos!$A$2:$A$501,0)),0))</f>
        <v/>
      </c>
      <c r="G1660" s="32">
        <f>IF(C1660&lt;&gt;"Venta","",D1660*IFERROR(INDEX(Productos!$E$2:$E$501,MATCH(B1660,Productos!$A$2:$A$501,0)),0))</f>
        <v/>
      </c>
      <c r="H1660" s="33">
        <f>IF(A1660="","",MONTH(A1660))</f>
        <v/>
      </c>
      <c r="I1660" s="33">
        <f>IF(A1660="","",YEAR(A1660))</f>
        <v/>
      </c>
    </row>
    <row r="1661" ht="15" customHeight="1" s="21">
      <c r="A1661" s="34" t="n"/>
      <c r="B1661" s="30" t="n"/>
      <c r="C1661" s="30" t="n"/>
      <c r="D1661" s="30" t="n"/>
      <c r="E1661" s="33">
        <f>IF(B1661="","",IFERROR(INDEX(Productos!$B$2:$B$501,MATCH(B1661,Productos!$A$2:$A$501,0)),"¿Código?"))</f>
        <v/>
      </c>
      <c r="F1661" s="32">
        <f>IF(C1661&lt;&gt;"Venta","",D1661*IFERROR(INDEX(Productos!$D$2:$D$501,MATCH(B1661,Productos!$A$2:$A$501,0)),0))</f>
        <v/>
      </c>
      <c r="G1661" s="32">
        <f>IF(C1661&lt;&gt;"Venta","",D1661*IFERROR(INDEX(Productos!$E$2:$E$501,MATCH(B1661,Productos!$A$2:$A$501,0)),0))</f>
        <v/>
      </c>
      <c r="H1661" s="33">
        <f>IF(A1661="","",MONTH(A1661))</f>
        <v/>
      </c>
      <c r="I1661" s="33">
        <f>IF(A1661="","",YEAR(A1661))</f>
        <v/>
      </c>
    </row>
    <row r="1662" ht="15" customHeight="1" s="21">
      <c r="A1662" s="34" t="n"/>
      <c r="B1662" s="30" t="n"/>
      <c r="C1662" s="30" t="n"/>
      <c r="D1662" s="30" t="n"/>
      <c r="E1662" s="33">
        <f>IF(B1662="","",IFERROR(INDEX(Productos!$B$2:$B$501,MATCH(B1662,Productos!$A$2:$A$501,0)),"¿Código?"))</f>
        <v/>
      </c>
      <c r="F1662" s="32">
        <f>IF(C1662&lt;&gt;"Venta","",D1662*IFERROR(INDEX(Productos!$D$2:$D$501,MATCH(B1662,Productos!$A$2:$A$501,0)),0))</f>
        <v/>
      </c>
      <c r="G1662" s="32">
        <f>IF(C1662&lt;&gt;"Venta","",D1662*IFERROR(INDEX(Productos!$E$2:$E$501,MATCH(B1662,Productos!$A$2:$A$501,0)),0))</f>
        <v/>
      </c>
      <c r="H1662" s="33">
        <f>IF(A1662="","",MONTH(A1662))</f>
        <v/>
      </c>
      <c r="I1662" s="33">
        <f>IF(A1662="","",YEAR(A1662))</f>
        <v/>
      </c>
    </row>
    <row r="1663" ht="15" customHeight="1" s="21">
      <c r="A1663" s="34" t="n"/>
      <c r="B1663" s="30" t="n"/>
      <c r="C1663" s="30" t="n"/>
      <c r="D1663" s="30" t="n"/>
      <c r="E1663" s="33">
        <f>IF(B1663="","",IFERROR(INDEX(Productos!$B$2:$B$501,MATCH(B1663,Productos!$A$2:$A$501,0)),"¿Código?"))</f>
        <v/>
      </c>
      <c r="F1663" s="32">
        <f>IF(C1663&lt;&gt;"Venta","",D1663*IFERROR(INDEX(Productos!$D$2:$D$501,MATCH(B1663,Productos!$A$2:$A$501,0)),0))</f>
        <v/>
      </c>
      <c r="G1663" s="32">
        <f>IF(C1663&lt;&gt;"Venta","",D1663*IFERROR(INDEX(Productos!$E$2:$E$501,MATCH(B1663,Productos!$A$2:$A$501,0)),0))</f>
        <v/>
      </c>
      <c r="H1663" s="33">
        <f>IF(A1663="","",MONTH(A1663))</f>
        <v/>
      </c>
      <c r="I1663" s="33">
        <f>IF(A1663="","",YEAR(A1663))</f>
        <v/>
      </c>
    </row>
    <row r="1664" ht="15" customHeight="1" s="21">
      <c r="A1664" s="34" t="n"/>
      <c r="B1664" s="30" t="n"/>
      <c r="C1664" s="30" t="n"/>
      <c r="D1664" s="30" t="n"/>
      <c r="E1664" s="33">
        <f>IF(B1664="","",IFERROR(INDEX(Productos!$B$2:$B$501,MATCH(B1664,Productos!$A$2:$A$501,0)),"¿Código?"))</f>
        <v/>
      </c>
      <c r="F1664" s="32">
        <f>IF(C1664&lt;&gt;"Venta","",D1664*IFERROR(INDEX(Productos!$D$2:$D$501,MATCH(B1664,Productos!$A$2:$A$501,0)),0))</f>
        <v/>
      </c>
      <c r="G1664" s="32">
        <f>IF(C1664&lt;&gt;"Venta","",D1664*IFERROR(INDEX(Productos!$E$2:$E$501,MATCH(B1664,Productos!$A$2:$A$501,0)),0))</f>
        <v/>
      </c>
      <c r="H1664" s="33">
        <f>IF(A1664="","",MONTH(A1664))</f>
        <v/>
      </c>
      <c r="I1664" s="33">
        <f>IF(A1664="","",YEAR(A1664))</f>
        <v/>
      </c>
    </row>
    <row r="1665" ht="15" customHeight="1" s="21">
      <c r="A1665" s="34" t="n"/>
      <c r="B1665" s="30" t="n"/>
      <c r="C1665" s="30" t="n"/>
      <c r="D1665" s="30" t="n"/>
      <c r="E1665" s="33">
        <f>IF(B1665="","",IFERROR(INDEX(Productos!$B$2:$B$501,MATCH(B1665,Productos!$A$2:$A$501,0)),"¿Código?"))</f>
        <v/>
      </c>
      <c r="F1665" s="32">
        <f>IF(C1665&lt;&gt;"Venta","",D1665*IFERROR(INDEX(Productos!$D$2:$D$501,MATCH(B1665,Productos!$A$2:$A$501,0)),0))</f>
        <v/>
      </c>
      <c r="G1665" s="32">
        <f>IF(C1665&lt;&gt;"Venta","",D1665*IFERROR(INDEX(Productos!$E$2:$E$501,MATCH(B1665,Productos!$A$2:$A$501,0)),0))</f>
        <v/>
      </c>
      <c r="H1665" s="33">
        <f>IF(A1665="","",MONTH(A1665))</f>
        <v/>
      </c>
      <c r="I1665" s="33">
        <f>IF(A1665="","",YEAR(A1665))</f>
        <v/>
      </c>
    </row>
    <row r="1666" ht="15" customHeight="1" s="21">
      <c r="A1666" s="34" t="n"/>
      <c r="B1666" s="30" t="n"/>
      <c r="C1666" s="30" t="n"/>
      <c r="D1666" s="30" t="n"/>
      <c r="E1666" s="33">
        <f>IF(B1666="","",IFERROR(INDEX(Productos!$B$2:$B$501,MATCH(B1666,Productos!$A$2:$A$501,0)),"¿Código?"))</f>
        <v/>
      </c>
      <c r="F1666" s="32">
        <f>IF(C1666&lt;&gt;"Venta","",D1666*IFERROR(INDEX(Productos!$D$2:$D$501,MATCH(B1666,Productos!$A$2:$A$501,0)),0))</f>
        <v/>
      </c>
      <c r="G1666" s="32">
        <f>IF(C1666&lt;&gt;"Venta","",D1666*IFERROR(INDEX(Productos!$E$2:$E$501,MATCH(B1666,Productos!$A$2:$A$501,0)),0))</f>
        <v/>
      </c>
      <c r="H1666" s="33">
        <f>IF(A1666="","",MONTH(A1666))</f>
        <v/>
      </c>
      <c r="I1666" s="33">
        <f>IF(A1666="","",YEAR(A1666))</f>
        <v/>
      </c>
    </row>
    <row r="1667" ht="15" customHeight="1" s="21">
      <c r="A1667" s="34" t="n"/>
      <c r="B1667" s="30" t="n"/>
      <c r="C1667" s="30" t="n"/>
      <c r="D1667" s="30" t="n"/>
      <c r="E1667" s="33">
        <f>IF(B1667="","",IFERROR(INDEX(Productos!$B$2:$B$501,MATCH(B1667,Productos!$A$2:$A$501,0)),"¿Código?"))</f>
        <v/>
      </c>
      <c r="F1667" s="32">
        <f>IF(C1667&lt;&gt;"Venta","",D1667*IFERROR(INDEX(Productos!$D$2:$D$501,MATCH(B1667,Productos!$A$2:$A$501,0)),0))</f>
        <v/>
      </c>
      <c r="G1667" s="32">
        <f>IF(C1667&lt;&gt;"Venta","",D1667*IFERROR(INDEX(Productos!$E$2:$E$501,MATCH(B1667,Productos!$A$2:$A$501,0)),0))</f>
        <v/>
      </c>
      <c r="H1667" s="33">
        <f>IF(A1667="","",MONTH(A1667))</f>
        <v/>
      </c>
      <c r="I1667" s="33">
        <f>IF(A1667="","",YEAR(A1667))</f>
        <v/>
      </c>
    </row>
    <row r="1668" ht="15" customHeight="1" s="21">
      <c r="A1668" s="34" t="n"/>
      <c r="B1668" s="30" t="n"/>
      <c r="C1668" s="30" t="n"/>
      <c r="D1668" s="30" t="n"/>
      <c r="E1668" s="33">
        <f>IF(B1668="","",IFERROR(INDEX(Productos!$B$2:$B$501,MATCH(B1668,Productos!$A$2:$A$501,0)),"¿Código?"))</f>
        <v/>
      </c>
      <c r="F1668" s="32">
        <f>IF(C1668&lt;&gt;"Venta","",D1668*IFERROR(INDEX(Productos!$D$2:$D$501,MATCH(B1668,Productos!$A$2:$A$501,0)),0))</f>
        <v/>
      </c>
      <c r="G1668" s="32">
        <f>IF(C1668&lt;&gt;"Venta","",D1668*IFERROR(INDEX(Productos!$E$2:$E$501,MATCH(B1668,Productos!$A$2:$A$501,0)),0))</f>
        <v/>
      </c>
      <c r="H1668" s="33">
        <f>IF(A1668="","",MONTH(A1668))</f>
        <v/>
      </c>
      <c r="I1668" s="33">
        <f>IF(A1668="","",YEAR(A1668))</f>
        <v/>
      </c>
    </row>
    <row r="1669" ht="15" customHeight="1" s="21">
      <c r="A1669" s="34" t="n"/>
      <c r="B1669" s="30" t="n"/>
      <c r="C1669" s="30" t="n"/>
      <c r="D1669" s="30" t="n"/>
      <c r="E1669" s="33">
        <f>IF(B1669="","",IFERROR(INDEX(Productos!$B$2:$B$501,MATCH(B1669,Productos!$A$2:$A$501,0)),"¿Código?"))</f>
        <v/>
      </c>
      <c r="F1669" s="32">
        <f>IF(C1669&lt;&gt;"Venta","",D1669*IFERROR(INDEX(Productos!$D$2:$D$501,MATCH(B1669,Productos!$A$2:$A$501,0)),0))</f>
        <v/>
      </c>
      <c r="G1669" s="32">
        <f>IF(C1669&lt;&gt;"Venta","",D1669*IFERROR(INDEX(Productos!$E$2:$E$501,MATCH(B1669,Productos!$A$2:$A$501,0)),0))</f>
        <v/>
      </c>
      <c r="H1669" s="33">
        <f>IF(A1669="","",MONTH(A1669))</f>
        <v/>
      </c>
      <c r="I1669" s="33">
        <f>IF(A1669="","",YEAR(A1669))</f>
        <v/>
      </c>
    </row>
    <row r="1670" ht="15" customHeight="1" s="21">
      <c r="A1670" s="34" t="n"/>
      <c r="B1670" s="30" t="n"/>
      <c r="C1670" s="30" t="n"/>
      <c r="D1670" s="30" t="n"/>
      <c r="E1670" s="33">
        <f>IF(B1670="","",IFERROR(INDEX(Productos!$B$2:$B$501,MATCH(B1670,Productos!$A$2:$A$501,0)),"¿Código?"))</f>
        <v/>
      </c>
      <c r="F1670" s="32">
        <f>IF(C1670&lt;&gt;"Venta","",D1670*IFERROR(INDEX(Productos!$D$2:$D$501,MATCH(B1670,Productos!$A$2:$A$501,0)),0))</f>
        <v/>
      </c>
      <c r="G1670" s="32">
        <f>IF(C1670&lt;&gt;"Venta","",D1670*IFERROR(INDEX(Productos!$E$2:$E$501,MATCH(B1670,Productos!$A$2:$A$501,0)),0))</f>
        <v/>
      </c>
      <c r="H1670" s="33">
        <f>IF(A1670="","",MONTH(A1670))</f>
        <v/>
      </c>
      <c r="I1670" s="33">
        <f>IF(A1670="","",YEAR(A1670))</f>
        <v/>
      </c>
    </row>
    <row r="1671" ht="15" customHeight="1" s="21">
      <c r="A1671" s="34" t="n"/>
      <c r="B1671" s="30" t="n"/>
      <c r="C1671" s="30" t="n"/>
      <c r="D1671" s="30" t="n"/>
      <c r="E1671" s="33">
        <f>IF(B1671="","",IFERROR(INDEX(Productos!$B$2:$B$501,MATCH(B1671,Productos!$A$2:$A$501,0)),"¿Código?"))</f>
        <v/>
      </c>
      <c r="F1671" s="32">
        <f>IF(C1671&lt;&gt;"Venta","",D1671*IFERROR(INDEX(Productos!$D$2:$D$501,MATCH(B1671,Productos!$A$2:$A$501,0)),0))</f>
        <v/>
      </c>
      <c r="G1671" s="32">
        <f>IF(C1671&lt;&gt;"Venta","",D1671*IFERROR(INDEX(Productos!$E$2:$E$501,MATCH(B1671,Productos!$A$2:$A$501,0)),0))</f>
        <v/>
      </c>
      <c r="H1671" s="33">
        <f>IF(A1671="","",MONTH(A1671))</f>
        <v/>
      </c>
      <c r="I1671" s="33">
        <f>IF(A1671="","",YEAR(A1671))</f>
        <v/>
      </c>
    </row>
    <row r="1672" ht="15" customHeight="1" s="21">
      <c r="A1672" s="34" t="n"/>
      <c r="B1672" s="30" t="n"/>
      <c r="C1672" s="30" t="n"/>
      <c r="D1672" s="30" t="n"/>
      <c r="E1672" s="33">
        <f>IF(B1672="","",IFERROR(INDEX(Productos!$B$2:$B$501,MATCH(B1672,Productos!$A$2:$A$501,0)),"¿Código?"))</f>
        <v/>
      </c>
      <c r="F1672" s="32">
        <f>IF(C1672&lt;&gt;"Venta","",D1672*IFERROR(INDEX(Productos!$D$2:$D$501,MATCH(B1672,Productos!$A$2:$A$501,0)),0))</f>
        <v/>
      </c>
      <c r="G1672" s="32">
        <f>IF(C1672&lt;&gt;"Venta","",D1672*IFERROR(INDEX(Productos!$E$2:$E$501,MATCH(B1672,Productos!$A$2:$A$501,0)),0))</f>
        <v/>
      </c>
      <c r="H1672" s="33">
        <f>IF(A1672="","",MONTH(A1672))</f>
        <v/>
      </c>
      <c r="I1672" s="33">
        <f>IF(A1672="","",YEAR(A1672))</f>
        <v/>
      </c>
    </row>
    <row r="1673" ht="15" customHeight="1" s="21">
      <c r="A1673" s="34" t="n"/>
      <c r="B1673" s="30" t="n"/>
      <c r="C1673" s="30" t="n"/>
      <c r="D1673" s="30" t="n"/>
      <c r="E1673" s="33">
        <f>IF(B1673="","",IFERROR(INDEX(Productos!$B$2:$B$501,MATCH(B1673,Productos!$A$2:$A$501,0)),"¿Código?"))</f>
        <v/>
      </c>
      <c r="F1673" s="32">
        <f>IF(C1673&lt;&gt;"Venta","",D1673*IFERROR(INDEX(Productos!$D$2:$D$501,MATCH(B1673,Productos!$A$2:$A$501,0)),0))</f>
        <v/>
      </c>
      <c r="G1673" s="32">
        <f>IF(C1673&lt;&gt;"Venta","",D1673*IFERROR(INDEX(Productos!$E$2:$E$501,MATCH(B1673,Productos!$A$2:$A$501,0)),0))</f>
        <v/>
      </c>
      <c r="H1673" s="33">
        <f>IF(A1673="","",MONTH(A1673))</f>
        <v/>
      </c>
      <c r="I1673" s="33">
        <f>IF(A1673="","",YEAR(A1673))</f>
        <v/>
      </c>
    </row>
    <row r="1674" ht="15" customHeight="1" s="21">
      <c r="A1674" s="34" t="n"/>
      <c r="B1674" s="30" t="n"/>
      <c r="C1674" s="30" t="n"/>
      <c r="D1674" s="30" t="n"/>
      <c r="E1674" s="33">
        <f>IF(B1674="","",IFERROR(INDEX(Productos!$B$2:$B$501,MATCH(B1674,Productos!$A$2:$A$501,0)),"¿Código?"))</f>
        <v/>
      </c>
      <c r="F1674" s="32">
        <f>IF(C1674&lt;&gt;"Venta","",D1674*IFERROR(INDEX(Productos!$D$2:$D$501,MATCH(B1674,Productos!$A$2:$A$501,0)),0))</f>
        <v/>
      </c>
      <c r="G1674" s="32">
        <f>IF(C1674&lt;&gt;"Venta","",D1674*IFERROR(INDEX(Productos!$E$2:$E$501,MATCH(B1674,Productos!$A$2:$A$501,0)),0))</f>
        <v/>
      </c>
      <c r="H1674" s="33">
        <f>IF(A1674="","",MONTH(A1674))</f>
        <v/>
      </c>
      <c r="I1674" s="33">
        <f>IF(A1674="","",YEAR(A1674))</f>
        <v/>
      </c>
    </row>
    <row r="1675" ht="15" customHeight="1" s="21">
      <c r="A1675" s="34" t="n"/>
      <c r="B1675" s="30" t="n"/>
      <c r="C1675" s="30" t="n"/>
      <c r="D1675" s="30" t="n"/>
      <c r="E1675" s="33">
        <f>IF(B1675="","",IFERROR(INDEX(Productos!$B$2:$B$501,MATCH(B1675,Productos!$A$2:$A$501,0)),"¿Código?"))</f>
        <v/>
      </c>
      <c r="F1675" s="32">
        <f>IF(C1675&lt;&gt;"Venta","",D1675*IFERROR(INDEX(Productos!$D$2:$D$501,MATCH(B1675,Productos!$A$2:$A$501,0)),0))</f>
        <v/>
      </c>
      <c r="G1675" s="32">
        <f>IF(C1675&lt;&gt;"Venta","",D1675*IFERROR(INDEX(Productos!$E$2:$E$501,MATCH(B1675,Productos!$A$2:$A$501,0)),0))</f>
        <v/>
      </c>
      <c r="H1675" s="33">
        <f>IF(A1675="","",MONTH(A1675))</f>
        <v/>
      </c>
      <c r="I1675" s="33">
        <f>IF(A1675="","",YEAR(A1675))</f>
        <v/>
      </c>
    </row>
    <row r="1676" ht="15" customHeight="1" s="21">
      <c r="A1676" s="34" t="n"/>
      <c r="B1676" s="30" t="n"/>
      <c r="C1676" s="30" t="n"/>
      <c r="D1676" s="30" t="n"/>
      <c r="E1676" s="33">
        <f>IF(B1676="","",IFERROR(INDEX(Productos!$B$2:$B$501,MATCH(B1676,Productos!$A$2:$A$501,0)),"¿Código?"))</f>
        <v/>
      </c>
      <c r="F1676" s="32">
        <f>IF(C1676&lt;&gt;"Venta","",D1676*IFERROR(INDEX(Productos!$D$2:$D$501,MATCH(B1676,Productos!$A$2:$A$501,0)),0))</f>
        <v/>
      </c>
      <c r="G1676" s="32">
        <f>IF(C1676&lt;&gt;"Venta","",D1676*IFERROR(INDEX(Productos!$E$2:$E$501,MATCH(B1676,Productos!$A$2:$A$501,0)),0))</f>
        <v/>
      </c>
      <c r="H1676" s="33">
        <f>IF(A1676="","",MONTH(A1676))</f>
        <v/>
      </c>
      <c r="I1676" s="33">
        <f>IF(A1676="","",YEAR(A1676))</f>
        <v/>
      </c>
    </row>
    <row r="1677" ht="15" customHeight="1" s="21">
      <c r="A1677" s="34" t="n"/>
      <c r="B1677" s="30" t="n"/>
      <c r="C1677" s="30" t="n"/>
      <c r="D1677" s="30" t="n"/>
      <c r="E1677" s="33">
        <f>IF(B1677="","",IFERROR(INDEX(Productos!$B$2:$B$501,MATCH(B1677,Productos!$A$2:$A$501,0)),"¿Código?"))</f>
        <v/>
      </c>
      <c r="F1677" s="32">
        <f>IF(C1677&lt;&gt;"Venta","",D1677*IFERROR(INDEX(Productos!$D$2:$D$501,MATCH(B1677,Productos!$A$2:$A$501,0)),0))</f>
        <v/>
      </c>
      <c r="G1677" s="32">
        <f>IF(C1677&lt;&gt;"Venta","",D1677*IFERROR(INDEX(Productos!$E$2:$E$501,MATCH(B1677,Productos!$A$2:$A$501,0)),0))</f>
        <v/>
      </c>
      <c r="H1677" s="33">
        <f>IF(A1677="","",MONTH(A1677))</f>
        <v/>
      </c>
      <c r="I1677" s="33">
        <f>IF(A1677="","",YEAR(A1677))</f>
        <v/>
      </c>
    </row>
    <row r="1678" ht="15" customHeight="1" s="21">
      <c r="A1678" s="34" t="n"/>
      <c r="B1678" s="30" t="n"/>
      <c r="C1678" s="30" t="n"/>
      <c r="D1678" s="30" t="n"/>
      <c r="E1678" s="33">
        <f>IF(B1678="","",IFERROR(INDEX(Productos!$B$2:$B$501,MATCH(B1678,Productos!$A$2:$A$501,0)),"¿Código?"))</f>
        <v/>
      </c>
      <c r="F1678" s="32">
        <f>IF(C1678&lt;&gt;"Venta","",D1678*IFERROR(INDEX(Productos!$D$2:$D$501,MATCH(B1678,Productos!$A$2:$A$501,0)),0))</f>
        <v/>
      </c>
      <c r="G1678" s="32">
        <f>IF(C1678&lt;&gt;"Venta","",D1678*IFERROR(INDEX(Productos!$E$2:$E$501,MATCH(B1678,Productos!$A$2:$A$501,0)),0))</f>
        <v/>
      </c>
      <c r="H1678" s="33">
        <f>IF(A1678="","",MONTH(A1678))</f>
        <v/>
      </c>
      <c r="I1678" s="33">
        <f>IF(A1678="","",YEAR(A1678))</f>
        <v/>
      </c>
    </row>
    <row r="1679" ht="15" customHeight="1" s="21">
      <c r="A1679" s="34" t="n"/>
      <c r="B1679" s="30" t="n"/>
      <c r="C1679" s="30" t="n"/>
      <c r="D1679" s="30" t="n"/>
      <c r="E1679" s="33">
        <f>IF(B1679="","",IFERROR(INDEX(Productos!$B$2:$B$501,MATCH(B1679,Productos!$A$2:$A$501,0)),"¿Código?"))</f>
        <v/>
      </c>
      <c r="F1679" s="32">
        <f>IF(C1679&lt;&gt;"Venta","",D1679*IFERROR(INDEX(Productos!$D$2:$D$501,MATCH(B1679,Productos!$A$2:$A$501,0)),0))</f>
        <v/>
      </c>
      <c r="G1679" s="32">
        <f>IF(C1679&lt;&gt;"Venta","",D1679*IFERROR(INDEX(Productos!$E$2:$E$501,MATCH(B1679,Productos!$A$2:$A$501,0)),0))</f>
        <v/>
      </c>
      <c r="H1679" s="33">
        <f>IF(A1679="","",MONTH(A1679))</f>
        <v/>
      </c>
      <c r="I1679" s="33">
        <f>IF(A1679="","",YEAR(A1679))</f>
        <v/>
      </c>
    </row>
    <row r="1680" ht="15" customHeight="1" s="21">
      <c r="A1680" s="34" t="n"/>
      <c r="B1680" s="30" t="n"/>
      <c r="C1680" s="30" t="n"/>
      <c r="D1680" s="30" t="n"/>
      <c r="E1680" s="33">
        <f>IF(B1680="","",IFERROR(INDEX(Productos!$B$2:$B$501,MATCH(B1680,Productos!$A$2:$A$501,0)),"¿Código?"))</f>
        <v/>
      </c>
      <c r="F1680" s="32">
        <f>IF(C1680&lt;&gt;"Venta","",D1680*IFERROR(INDEX(Productos!$D$2:$D$501,MATCH(B1680,Productos!$A$2:$A$501,0)),0))</f>
        <v/>
      </c>
      <c r="G1680" s="32">
        <f>IF(C1680&lt;&gt;"Venta","",D1680*IFERROR(INDEX(Productos!$E$2:$E$501,MATCH(B1680,Productos!$A$2:$A$501,0)),0))</f>
        <v/>
      </c>
      <c r="H1680" s="33">
        <f>IF(A1680="","",MONTH(A1680))</f>
        <v/>
      </c>
      <c r="I1680" s="33">
        <f>IF(A1680="","",YEAR(A1680))</f>
        <v/>
      </c>
    </row>
    <row r="1681" ht="15" customHeight="1" s="21">
      <c r="A1681" s="34" t="n"/>
      <c r="B1681" s="30" t="n"/>
      <c r="C1681" s="30" t="n"/>
      <c r="D1681" s="30" t="n"/>
      <c r="E1681" s="33">
        <f>IF(B1681="","",IFERROR(INDEX(Productos!$B$2:$B$501,MATCH(B1681,Productos!$A$2:$A$501,0)),"¿Código?"))</f>
        <v/>
      </c>
      <c r="F1681" s="32">
        <f>IF(C1681&lt;&gt;"Venta","",D1681*IFERROR(INDEX(Productos!$D$2:$D$501,MATCH(B1681,Productos!$A$2:$A$501,0)),0))</f>
        <v/>
      </c>
      <c r="G1681" s="32">
        <f>IF(C1681&lt;&gt;"Venta","",D1681*IFERROR(INDEX(Productos!$E$2:$E$501,MATCH(B1681,Productos!$A$2:$A$501,0)),0))</f>
        <v/>
      </c>
      <c r="H1681" s="33">
        <f>IF(A1681="","",MONTH(A1681))</f>
        <v/>
      </c>
      <c r="I1681" s="33">
        <f>IF(A1681="","",YEAR(A1681))</f>
        <v/>
      </c>
    </row>
    <row r="1682" ht="15" customHeight="1" s="21">
      <c r="A1682" s="34" t="n"/>
      <c r="B1682" s="30" t="n"/>
      <c r="C1682" s="30" t="n"/>
      <c r="D1682" s="30" t="n"/>
      <c r="E1682" s="33">
        <f>IF(B1682="","",IFERROR(INDEX(Productos!$B$2:$B$501,MATCH(B1682,Productos!$A$2:$A$501,0)),"¿Código?"))</f>
        <v/>
      </c>
      <c r="F1682" s="32">
        <f>IF(C1682&lt;&gt;"Venta","",D1682*IFERROR(INDEX(Productos!$D$2:$D$501,MATCH(B1682,Productos!$A$2:$A$501,0)),0))</f>
        <v/>
      </c>
      <c r="G1682" s="32">
        <f>IF(C1682&lt;&gt;"Venta","",D1682*IFERROR(INDEX(Productos!$E$2:$E$501,MATCH(B1682,Productos!$A$2:$A$501,0)),0))</f>
        <v/>
      </c>
      <c r="H1682" s="33">
        <f>IF(A1682="","",MONTH(A1682))</f>
        <v/>
      </c>
      <c r="I1682" s="33">
        <f>IF(A1682="","",YEAR(A1682))</f>
        <v/>
      </c>
    </row>
    <row r="1683" ht="15" customHeight="1" s="21">
      <c r="A1683" s="34" t="n"/>
      <c r="B1683" s="30" t="n"/>
      <c r="C1683" s="30" t="n"/>
      <c r="D1683" s="30" t="n"/>
      <c r="E1683" s="33">
        <f>IF(B1683="","",IFERROR(INDEX(Productos!$B$2:$B$501,MATCH(B1683,Productos!$A$2:$A$501,0)),"¿Código?"))</f>
        <v/>
      </c>
      <c r="F1683" s="32">
        <f>IF(C1683&lt;&gt;"Venta","",D1683*IFERROR(INDEX(Productos!$D$2:$D$501,MATCH(B1683,Productos!$A$2:$A$501,0)),0))</f>
        <v/>
      </c>
      <c r="G1683" s="32">
        <f>IF(C1683&lt;&gt;"Venta","",D1683*IFERROR(INDEX(Productos!$E$2:$E$501,MATCH(B1683,Productos!$A$2:$A$501,0)),0))</f>
        <v/>
      </c>
      <c r="H1683" s="33">
        <f>IF(A1683="","",MONTH(A1683))</f>
        <v/>
      </c>
      <c r="I1683" s="33">
        <f>IF(A1683="","",YEAR(A1683))</f>
        <v/>
      </c>
    </row>
    <row r="1684" ht="15" customHeight="1" s="21">
      <c r="A1684" s="34" t="n"/>
      <c r="B1684" s="30" t="n"/>
      <c r="C1684" s="30" t="n"/>
      <c r="D1684" s="30" t="n"/>
      <c r="E1684" s="33">
        <f>IF(B1684="","",IFERROR(INDEX(Productos!$B$2:$B$501,MATCH(B1684,Productos!$A$2:$A$501,0)),"¿Código?"))</f>
        <v/>
      </c>
      <c r="F1684" s="32">
        <f>IF(C1684&lt;&gt;"Venta","",D1684*IFERROR(INDEX(Productos!$D$2:$D$501,MATCH(B1684,Productos!$A$2:$A$501,0)),0))</f>
        <v/>
      </c>
      <c r="G1684" s="32">
        <f>IF(C1684&lt;&gt;"Venta","",D1684*IFERROR(INDEX(Productos!$E$2:$E$501,MATCH(B1684,Productos!$A$2:$A$501,0)),0))</f>
        <v/>
      </c>
      <c r="H1684" s="33">
        <f>IF(A1684="","",MONTH(A1684))</f>
        <v/>
      </c>
      <c r="I1684" s="33">
        <f>IF(A1684="","",YEAR(A1684))</f>
        <v/>
      </c>
    </row>
    <row r="1685" ht="15" customHeight="1" s="21">
      <c r="A1685" s="34" t="n"/>
      <c r="B1685" s="30" t="n"/>
      <c r="C1685" s="30" t="n"/>
      <c r="D1685" s="30" t="n"/>
      <c r="E1685" s="33">
        <f>IF(B1685="","",IFERROR(INDEX(Productos!$B$2:$B$501,MATCH(B1685,Productos!$A$2:$A$501,0)),"¿Código?"))</f>
        <v/>
      </c>
      <c r="F1685" s="32">
        <f>IF(C1685&lt;&gt;"Venta","",D1685*IFERROR(INDEX(Productos!$D$2:$D$501,MATCH(B1685,Productos!$A$2:$A$501,0)),0))</f>
        <v/>
      </c>
      <c r="G1685" s="32">
        <f>IF(C1685&lt;&gt;"Venta","",D1685*IFERROR(INDEX(Productos!$E$2:$E$501,MATCH(B1685,Productos!$A$2:$A$501,0)),0))</f>
        <v/>
      </c>
      <c r="H1685" s="33">
        <f>IF(A1685="","",MONTH(A1685))</f>
        <v/>
      </c>
      <c r="I1685" s="33">
        <f>IF(A1685="","",YEAR(A1685))</f>
        <v/>
      </c>
    </row>
    <row r="1686" ht="15" customHeight="1" s="21">
      <c r="A1686" s="34" t="n"/>
      <c r="B1686" s="30" t="n"/>
      <c r="C1686" s="30" t="n"/>
      <c r="D1686" s="30" t="n"/>
      <c r="E1686" s="33">
        <f>IF(B1686="","",IFERROR(INDEX(Productos!$B$2:$B$501,MATCH(B1686,Productos!$A$2:$A$501,0)),"¿Código?"))</f>
        <v/>
      </c>
      <c r="F1686" s="32">
        <f>IF(C1686&lt;&gt;"Venta","",D1686*IFERROR(INDEX(Productos!$D$2:$D$501,MATCH(B1686,Productos!$A$2:$A$501,0)),0))</f>
        <v/>
      </c>
      <c r="G1686" s="32">
        <f>IF(C1686&lt;&gt;"Venta","",D1686*IFERROR(INDEX(Productos!$E$2:$E$501,MATCH(B1686,Productos!$A$2:$A$501,0)),0))</f>
        <v/>
      </c>
      <c r="H1686" s="33">
        <f>IF(A1686="","",MONTH(A1686))</f>
        <v/>
      </c>
      <c r="I1686" s="33">
        <f>IF(A1686="","",YEAR(A1686))</f>
        <v/>
      </c>
    </row>
    <row r="1687" ht="15" customHeight="1" s="21">
      <c r="A1687" s="34" t="n"/>
      <c r="B1687" s="30" t="n"/>
      <c r="C1687" s="30" t="n"/>
      <c r="D1687" s="30" t="n"/>
      <c r="E1687" s="33">
        <f>IF(B1687="","",IFERROR(INDEX(Productos!$B$2:$B$501,MATCH(B1687,Productos!$A$2:$A$501,0)),"¿Código?"))</f>
        <v/>
      </c>
      <c r="F1687" s="32">
        <f>IF(C1687&lt;&gt;"Venta","",D1687*IFERROR(INDEX(Productos!$D$2:$D$501,MATCH(B1687,Productos!$A$2:$A$501,0)),0))</f>
        <v/>
      </c>
      <c r="G1687" s="32">
        <f>IF(C1687&lt;&gt;"Venta","",D1687*IFERROR(INDEX(Productos!$E$2:$E$501,MATCH(B1687,Productos!$A$2:$A$501,0)),0))</f>
        <v/>
      </c>
      <c r="H1687" s="33">
        <f>IF(A1687="","",MONTH(A1687))</f>
        <v/>
      </c>
      <c r="I1687" s="33">
        <f>IF(A1687="","",YEAR(A1687))</f>
        <v/>
      </c>
    </row>
    <row r="1688" ht="15" customHeight="1" s="21">
      <c r="A1688" s="34" t="n"/>
      <c r="B1688" s="30" t="n"/>
      <c r="C1688" s="30" t="n"/>
      <c r="D1688" s="30" t="n"/>
      <c r="E1688" s="33">
        <f>IF(B1688="","",IFERROR(INDEX(Productos!$B$2:$B$501,MATCH(B1688,Productos!$A$2:$A$501,0)),"¿Código?"))</f>
        <v/>
      </c>
      <c r="F1688" s="32">
        <f>IF(C1688&lt;&gt;"Venta","",D1688*IFERROR(INDEX(Productos!$D$2:$D$501,MATCH(B1688,Productos!$A$2:$A$501,0)),0))</f>
        <v/>
      </c>
      <c r="G1688" s="32">
        <f>IF(C1688&lt;&gt;"Venta","",D1688*IFERROR(INDEX(Productos!$E$2:$E$501,MATCH(B1688,Productos!$A$2:$A$501,0)),0))</f>
        <v/>
      </c>
      <c r="H1688" s="33">
        <f>IF(A1688="","",MONTH(A1688))</f>
        <v/>
      </c>
      <c r="I1688" s="33">
        <f>IF(A1688="","",YEAR(A1688))</f>
        <v/>
      </c>
    </row>
    <row r="1689" ht="15" customHeight="1" s="21">
      <c r="A1689" s="34" t="n"/>
      <c r="B1689" s="30" t="n"/>
      <c r="C1689" s="30" t="n"/>
      <c r="D1689" s="30" t="n"/>
      <c r="E1689" s="33">
        <f>IF(B1689="","",IFERROR(INDEX(Productos!$B$2:$B$501,MATCH(B1689,Productos!$A$2:$A$501,0)),"¿Código?"))</f>
        <v/>
      </c>
      <c r="F1689" s="32">
        <f>IF(C1689&lt;&gt;"Venta","",D1689*IFERROR(INDEX(Productos!$D$2:$D$501,MATCH(B1689,Productos!$A$2:$A$501,0)),0))</f>
        <v/>
      </c>
      <c r="G1689" s="32">
        <f>IF(C1689&lt;&gt;"Venta","",D1689*IFERROR(INDEX(Productos!$E$2:$E$501,MATCH(B1689,Productos!$A$2:$A$501,0)),0))</f>
        <v/>
      </c>
      <c r="H1689" s="33">
        <f>IF(A1689="","",MONTH(A1689))</f>
        <v/>
      </c>
      <c r="I1689" s="33">
        <f>IF(A1689="","",YEAR(A1689))</f>
        <v/>
      </c>
    </row>
    <row r="1690" ht="15" customHeight="1" s="21">
      <c r="A1690" s="34" t="n"/>
      <c r="B1690" s="30" t="n"/>
      <c r="C1690" s="30" t="n"/>
      <c r="D1690" s="30" t="n"/>
      <c r="E1690" s="33">
        <f>IF(B1690="","",IFERROR(INDEX(Productos!$B$2:$B$501,MATCH(B1690,Productos!$A$2:$A$501,0)),"¿Código?"))</f>
        <v/>
      </c>
      <c r="F1690" s="32">
        <f>IF(C1690&lt;&gt;"Venta","",D1690*IFERROR(INDEX(Productos!$D$2:$D$501,MATCH(B1690,Productos!$A$2:$A$501,0)),0))</f>
        <v/>
      </c>
      <c r="G1690" s="32">
        <f>IF(C1690&lt;&gt;"Venta","",D1690*IFERROR(INDEX(Productos!$E$2:$E$501,MATCH(B1690,Productos!$A$2:$A$501,0)),0))</f>
        <v/>
      </c>
      <c r="H1690" s="33">
        <f>IF(A1690="","",MONTH(A1690))</f>
        <v/>
      </c>
      <c r="I1690" s="33">
        <f>IF(A1690="","",YEAR(A1690))</f>
        <v/>
      </c>
    </row>
    <row r="1691" ht="15" customHeight="1" s="21">
      <c r="A1691" s="34" t="n"/>
      <c r="B1691" s="30" t="n"/>
      <c r="C1691" s="30" t="n"/>
      <c r="D1691" s="30" t="n"/>
      <c r="E1691" s="33">
        <f>IF(B1691="","",IFERROR(INDEX(Productos!$B$2:$B$501,MATCH(B1691,Productos!$A$2:$A$501,0)),"¿Código?"))</f>
        <v/>
      </c>
      <c r="F1691" s="32">
        <f>IF(C1691&lt;&gt;"Venta","",D1691*IFERROR(INDEX(Productos!$D$2:$D$501,MATCH(B1691,Productos!$A$2:$A$501,0)),0))</f>
        <v/>
      </c>
      <c r="G1691" s="32">
        <f>IF(C1691&lt;&gt;"Venta","",D1691*IFERROR(INDEX(Productos!$E$2:$E$501,MATCH(B1691,Productos!$A$2:$A$501,0)),0))</f>
        <v/>
      </c>
      <c r="H1691" s="33">
        <f>IF(A1691="","",MONTH(A1691))</f>
        <v/>
      </c>
      <c r="I1691" s="33">
        <f>IF(A1691="","",YEAR(A1691))</f>
        <v/>
      </c>
    </row>
    <row r="1692" ht="15" customHeight="1" s="21">
      <c r="A1692" s="34" t="n"/>
      <c r="B1692" s="30" t="n"/>
      <c r="C1692" s="30" t="n"/>
      <c r="D1692" s="30" t="n"/>
      <c r="E1692" s="33">
        <f>IF(B1692="","",IFERROR(INDEX(Productos!$B$2:$B$501,MATCH(B1692,Productos!$A$2:$A$501,0)),"¿Código?"))</f>
        <v/>
      </c>
      <c r="F1692" s="32">
        <f>IF(C1692&lt;&gt;"Venta","",D1692*IFERROR(INDEX(Productos!$D$2:$D$501,MATCH(B1692,Productos!$A$2:$A$501,0)),0))</f>
        <v/>
      </c>
      <c r="G1692" s="32">
        <f>IF(C1692&lt;&gt;"Venta","",D1692*IFERROR(INDEX(Productos!$E$2:$E$501,MATCH(B1692,Productos!$A$2:$A$501,0)),0))</f>
        <v/>
      </c>
      <c r="H1692" s="33">
        <f>IF(A1692="","",MONTH(A1692))</f>
        <v/>
      </c>
      <c r="I1692" s="33">
        <f>IF(A1692="","",YEAR(A1692))</f>
        <v/>
      </c>
    </row>
    <row r="1693" ht="15" customHeight="1" s="21">
      <c r="A1693" s="34" t="n"/>
      <c r="B1693" s="30" t="n"/>
      <c r="C1693" s="30" t="n"/>
      <c r="D1693" s="30" t="n"/>
      <c r="E1693" s="33">
        <f>IF(B1693="","",IFERROR(INDEX(Productos!$B$2:$B$501,MATCH(B1693,Productos!$A$2:$A$501,0)),"¿Código?"))</f>
        <v/>
      </c>
      <c r="F1693" s="32">
        <f>IF(C1693&lt;&gt;"Venta","",D1693*IFERROR(INDEX(Productos!$D$2:$D$501,MATCH(B1693,Productos!$A$2:$A$501,0)),0))</f>
        <v/>
      </c>
      <c r="G1693" s="32">
        <f>IF(C1693&lt;&gt;"Venta","",D1693*IFERROR(INDEX(Productos!$E$2:$E$501,MATCH(B1693,Productos!$A$2:$A$501,0)),0))</f>
        <v/>
      </c>
      <c r="H1693" s="33">
        <f>IF(A1693="","",MONTH(A1693))</f>
        <v/>
      </c>
      <c r="I1693" s="33">
        <f>IF(A1693="","",YEAR(A1693))</f>
        <v/>
      </c>
    </row>
    <row r="1694" ht="15" customHeight="1" s="21">
      <c r="A1694" s="34" t="n"/>
      <c r="B1694" s="30" t="n"/>
      <c r="C1694" s="30" t="n"/>
      <c r="D1694" s="30" t="n"/>
      <c r="E1694" s="33">
        <f>IF(B1694="","",IFERROR(INDEX(Productos!$B$2:$B$501,MATCH(B1694,Productos!$A$2:$A$501,0)),"¿Código?"))</f>
        <v/>
      </c>
      <c r="F1694" s="32">
        <f>IF(C1694&lt;&gt;"Venta","",D1694*IFERROR(INDEX(Productos!$D$2:$D$501,MATCH(B1694,Productos!$A$2:$A$501,0)),0))</f>
        <v/>
      </c>
      <c r="G1694" s="32">
        <f>IF(C1694&lt;&gt;"Venta","",D1694*IFERROR(INDEX(Productos!$E$2:$E$501,MATCH(B1694,Productos!$A$2:$A$501,0)),0))</f>
        <v/>
      </c>
      <c r="H1694" s="33">
        <f>IF(A1694="","",MONTH(A1694))</f>
        <v/>
      </c>
      <c r="I1694" s="33">
        <f>IF(A1694="","",YEAR(A1694))</f>
        <v/>
      </c>
    </row>
    <row r="1695" ht="15" customHeight="1" s="21">
      <c r="A1695" s="34" t="n"/>
      <c r="B1695" s="30" t="n"/>
      <c r="C1695" s="30" t="n"/>
      <c r="D1695" s="30" t="n"/>
      <c r="E1695" s="33">
        <f>IF(B1695="","",IFERROR(INDEX(Productos!$B$2:$B$501,MATCH(B1695,Productos!$A$2:$A$501,0)),"¿Código?"))</f>
        <v/>
      </c>
      <c r="F1695" s="32">
        <f>IF(C1695&lt;&gt;"Venta","",D1695*IFERROR(INDEX(Productos!$D$2:$D$501,MATCH(B1695,Productos!$A$2:$A$501,0)),0))</f>
        <v/>
      </c>
      <c r="G1695" s="32">
        <f>IF(C1695&lt;&gt;"Venta","",D1695*IFERROR(INDEX(Productos!$E$2:$E$501,MATCH(B1695,Productos!$A$2:$A$501,0)),0))</f>
        <v/>
      </c>
      <c r="H1695" s="33">
        <f>IF(A1695="","",MONTH(A1695))</f>
        <v/>
      </c>
      <c r="I1695" s="33">
        <f>IF(A1695="","",YEAR(A1695))</f>
        <v/>
      </c>
    </row>
    <row r="1696" ht="15" customHeight="1" s="21">
      <c r="A1696" s="34" t="n"/>
      <c r="B1696" s="30" t="n"/>
      <c r="C1696" s="30" t="n"/>
      <c r="D1696" s="30" t="n"/>
      <c r="E1696" s="33">
        <f>IF(B1696="","",IFERROR(INDEX(Productos!$B$2:$B$501,MATCH(B1696,Productos!$A$2:$A$501,0)),"¿Código?"))</f>
        <v/>
      </c>
      <c r="F1696" s="32">
        <f>IF(C1696&lt;&gt;"Venta","",D1696*IFERROR(INDEX(Productos!$D$2:$D$501,MATCH(B1696,Productos!$A$2:$A$501,0)),0))</f>
        <v/>
      </c>
      <c r="G1696" s="32">
        <f>IF(C1696&lt;&gt;"Venta","",D1696*IFERROR(INDEX(Productos!$E$2:$E$501,MATCH(B1696,Productos!$A$2:$A$501,0)),0))</f>
        <v/>
      </c>
      <c r="H1696" s="33">
        <f>IF(A1696="","",MONTH(A1696))</f>
        <v/>
      </c>
      <c r="I1696" s="33">
        <f>IF(A1696="","",YEAR(A1696))</f>
        <v/>
      </c>
    </row>
    <row r="1697" ht="15" customHeight="1" s="21">
      <c r="A1697" s="34" t="n"/>
      <c r="B1697" s="30" t="n"/>
      <c r="C1697" s="30" t="n"/>
      <c r="D1697" s="30" t="n"/>
      <c r="E1697" s="33">
        <f>IF(B1697="","",IFERROR(INDEX(Productos!$B$2:$B$501,MATCH(B1697,Productos!$A$2:$A$501,0)),"¿Código?"))</f>
        <v/>
      </c>
      <c r="F1697" s="32">
        <f>IF(C1697&lt;&gt;"Venta","",D1697*IFERROR(INDEX(Productos!$D$2:$D$501,MATCH(B1697,Productos!$A$2:$A$501,0)),0))</f>
        <v/>
      </c>
      <c r="G1697" s="32">
        <f>IF(C1697&lt;&gt;"Venta","",D1697*IFERROR(INDEX(Productos!$E$2:$E$501,MATCH(B1697,Productos!$A$2:$A$501,0)),0))</f>
        <v/>
      </c>
      <c r="H1697" s="33">
        <f>IF(A1697="","",MONTH(A1697))</f>
        <v/>
      </c>
      <c r="I1697" s="33">
        <f>IF(A1697="","",YEAR(A1697))</f>
        <v/>
      </c>
    </row>
    <row r="1698" ht="15" customHeight="1" s="21">
      <c r="A1698" s="34" t="n"/>
      <c r="B1698" s="30" t="n"/>
      <c r="C1698" s="30" t="n"/>
      <c r="D1698" s="30" t="n"/>
      <c r="E1698" s="33">
        <f>IF(B1698="","",IFERROR(INDEX(Productos!$B$2:$B$501,MATCH(B1698,Productos!$A$2:$A$501,0)),"¿Código?"))</f>
        <v/>
      </c>
      <c r="F1698" s="32">
        <f>IF(C1698&lt;&gt;"Venta","",D1698*IFERROR(INDEX(Productos!$D$2:$D$501,MATCH(B1698,Productos!$A$2:$A$501,0)),0))</f>
        <v/>
      </c>
      <c r="G1698" s="32">
        <f>IF(C1698&lt;&gt;"Venta","",D1698*IFERROR(INDEX(Productos!$E$2:$E$501,MATCH(B1698,Productos!$A$2:$A$501,0)),0))</f>
        <v/>
      </c>
      <c r="H1698" s="33">
        <f>IF(A1698="","",MONTH(A1698))</f>
        <v/>
      </c>
      <c r="I1698" s="33">
        <f>IF(A1698="","",YEAR(A1698))</f>
        <v/>
      </c>
    </row>
    <row r="1699" ht="15" customHeight="1" s="21">
      <c r="A1699" s="34" t="n"/>
      <c r="B1699" s="30" t="n"/>
      <c r="C1699" s="30" t="n"/>
      <c r="D1699" s="30" t="n"/>
      <c r="E1699" s="33">
        <f>IF(B1699="","",IFERROR(INDEX(Productos!$B$2:$B$501,MATCH(B1699,Productos!$A$2:$A$501,0)),"¿Código?"))</f>
        <v/>
      </c>
      <c r="F1699" s="32">
        <f>IF(C1699&lt;&gt;"Venta","",D1699*IFERROR(INDEX(Productos!$D$2:$D$501,MATCH(B1699,Productos!$A$2:$A$501,0)),0))</f>
        <v/>
      </c>
      <c r="G1699" s="32">
        <f>IF(C1699&lt;&gt;"Venta","",D1699*IFERROR(INDEX(Productos!$E$2:$E$501,MATCH(B1699,Productos!$A$2:$A$501,0)),0))</f>
        <v/>
      </c>
      <c r="H1699" s="33">
        <f>IF(A1699="","",MONTH(A1699))</f>
        <v/>
      </c>
      <c r="I1699" s="33">
        <f>IF(A1699="","",YEAR(A1699))</f>
        <v/>
      </c>
    </row>
    <row r="1700" ht="15" customHeight="1" s="21">
      <c r="A1700" s="34" t="n"/>
      <c r="B1700" s="30" t="n"/>
      <c r="C1700" s="30" t="n"/>
      <c r="D1700" s="30" t="n"/>
      <c r="E1700" s="33">
        <f>IF(B1700="","",IFERROR(INDEX(Productos!$B$2:$B$501,MATCH(B1700,Productos!$A$2:$A$501,0)),"¿Código?"))</f>
        <v/>
      </c>
      <c r="F1700" s="32">
        <f>IF(C1700&lt;&gt;"Venta","",D1700*IFERROR(INDEX(Productos!$D$2:$D$501,MATCH(B1700,Productos!$A$2:$A$501,0)),0))</f>
        <v/>
      </c>
      <c r="G1700" s="32">
        <f>IF(C1700&lt;&gt;"Venta","",D1700*IFERROR(INDEX(Productos!$E$2:$E$501,MATCH(B1700,Productos!$A$2:$A$501,0)),0))</f>
        <v/>
      </c>
      <c r="H1700" s="33">
        <f>IF(A1700="","",MONTH(A1700))</f>
        <v/>
      </c>
      <c r="I1700" s="33">
        <f>IF(A1700="","",YEAR(A1700))</f>
        <v/>
      </c>
    </row>
    <row r="1701" ht="15" customHeight="1" s="21">
      <c r="A1701" s="34" t="n"/>
      <c r="B1701" s="30" t="n"/>
      <c r="C1701" s="30" t="n"/>
      <c r="D1701" s="30" t="n"/>
      <c r="E1701" s="33">
        <f>IF(B1701="","",IFERROR(INDEX(Productos!$B$2:$B$501,MATCH(B1701,Productos!$A$2:$A$501,0)),"¿Código?"))</f>
        <v/>
      </c>
      <c r="F1701" s="32">
        <f>IF(C1701&lt;&gt;"Venta","",D1701*IFERROR(INDEX(Productos!$D$2:$D$501,MATCH(B1701,Productos!$A$2:$A$501,0)),0))</f>
        <v/>
      </c>
      <c r="G1701" s="32">
        <f>IF(C1701&lt;&gt;"Venta","",D1701*IFERROR(INDEX(Productos!$E$2:$E$501,MATCH(B1701,Productos!$A$2:$A$501,0)),0))</f>
        <v/>
      </c>
      <c r="H1701" s="33">
        <f>IF(A1701="","",MONTH(A1701))</f>
        <v/>
      </c>
      <c r="I1701" s="33">
        <f>IF(A1701="","",YEAR(A1701))</f>
        <v/>
      </c>
    </row>
    <row r="1702" ht="15" customHeight="1" s="21">
      <c r="A1702" s="34" t="n"/>
      <c r="B1702" s="30" t="n"/>
      <c r="C1702" s="30" t="n"/>
      <c r="D1702" s="30" t="n"/>
      <c r="E1702" s="33">
        <f>IF(B1702="","",IFERROR(INDEX(Productos!$B$2:$B$501,MATCH(B1702,Productos!$A$2:$A$501,0)),"¿Código?"))</f>
        <v/>
      </c>
      <c r="F1702" s="32">
        <f>IF(C1702&lt;&gt;"Venta","",D1702*IFERROR(INDEX(Productos!$D$2:$D$501,MATCH(B1702,Productos!$A$2:$A$501,0)),0))</f>
        <v/>
      </c>
      <c r="G1702" s="32">
        <f>IF(C1702&lt;&gt;"Venta","",D1702*IFERROR(INDEX(Productos!$E$2:$E$501,MATCH(B1702,Productos!$A$2:$A$501,0)),0))</f>
        <v/>
      </c>
      <c r="H1702" s="33">
        <f>IF(A1702="","",MONTH(A1702))</f>
        <v/>
      </c>
      <c r="I1702" s="33">
        <f>IF(A1702="","",YEAR(A1702))</f>
        <v/>
      </c>
    </row>
    <row r="1703" ht="15" customHeight="1" s="21">
      <c r="A1703" s="34" t="n"/>
      <c r="B1703" s="30" t="n"/>
      <c r="C1703" s="30" t="n"/>
      <c r="D1703" s="30" t="n"/>
      <c r="E1703" s="33">
        <f>IF(B1703="","",IFERROR(INDEX(Productos!$B$2:$B$501,MATCH(B1703,Productos!$A$2:$A$501,0)),"¿Código?"))</f>
        <v/>
      </c>
      <c r="F1703" s="32">
        <f>IF(C1703&lt;&gt;"Venta","",D1703*IFERROR(INDEX(Productos!$D$2:$D$501,MATCH(B1703,Productos!$A$2:$A$501,0)),0))</f>
        <v/>
      </c>
      <c r="G1703" s="32">
        <f>IF(C1703&lt;&gt;"Venta","",D1703*IFERROR(INDEX(Productos!$E$2:$E$501,MATCH(B1703,Productos!$A$2:$A$501,0)),0))</f>
        <v/>
      </c>
      <c r="H1703" s="33">
        <f>IF(A1703="","",MONTH(A1703))</f>
        <v/>
      </c>
      <c r="I1703" s="33">
        <f>IF(A1703="","",YEAR(A1703))</f>
        <v/>
      </c>
    </row>
    <row r="1704" ht="15" customHeight="1" s="21">
      <c r="A1704" s="34" t="n"/>
      <c r="B1704" s="30" t="n"/>
      <c r="C1704" s="30" t="n"/>
      <c r="D1704" s="30" t="n"/>
      <c r="E1704" s="33">
        <f>IF(B1704="","",IFERROR(INDEX(Productos!$B$2:$B$501,MATCH(B1704,Productos!$A$2:$A$501,0)),"¿Código?"))</f>
        <v/>
      </c>
      <c r="F1704" s="32">
        <f>IF(C1704&lt;&gt;"Venta","",D1704*IFERROR(INDEX(Productos!$D$2:$D$501,MATCH(B1704,Productos!$A$2:$A$501,0)),0))</f>
        <v/>
      </c>
      <c r="G1704" s="32">
        <f>IF(C1704&lt;&gt;"Venta","",D1704*IFERROR(INDEX(Productos!$E$2:$E$501,MATCH(B1704,Productos!$A$2:$A$501,0)),0))</f>
        <v/>
      </c>
      <c r="H1704" s="33">
        <f>IF(A1704="","",MONTH(A1704))</f>
        <v/>
      </c>
      <c r="I1704" s="33">
        <f>IF(A1704="","",YEAR(A1704))</f>
        <v/>
      </c>
    </row>
    <row r="1705" ht="15" customHeight="1" s="21">
      <c r="A1705" s="34" t="n"/>
      <c r="B1705" s="30" t="n"/>
      <c r="C1705" s="30" t="n"/>
      <c r="D1705" s="30" t="n"/>
      <c r="E1705" s="33">
        <f>IF(B1705="","",IFERROR(INDEX(Productos!$B$2:$B$501,MATCH(B1705,Productos!$A$2:$A$501,0)),"¿Código?"))</f>
        <v/>
      </c>
      <c r="F1705" s="32">
        <f>IF(C1705&lt;&gt;"Venta","",D1705*IFERROR(INDEX(Productos!$D$2:$D$501,MATCH(B1705,Productos!$A$2:$A$501,0)),0))</f>
        <v/>
      </c>
      <c r="G1705" s="32">
        <f>IF(C1705&lt;&gt;"Venta","",D1705*IFERROR(INDEX(Productos!$E$2:$E$501,MATCH(B1705,Productos!$A$2:$A$501,0)),0))</f>
        <v/>
      </c>
      <c r="H1705" s="33">
        <f>IF(A1705="","",MONTH(A1705))</f>
        <v/>
      </c>
      <c r="I1705" s="33">
        <f>IF(A1705="","",YEAR(A1705))</f>
        <v/>
      </c>
    </row>
    <row r="1706" ht="15" customHeight="1" s="21">
      <c r="A1706" s="34" t="n"/>
      <c r="B1706" s="30" t="n"/>
      <c r="C1706" s="30" t="n"/>
      <c r="D1706" s="30" t="n"/>
      <c r="E1706" s="33">
        <f>IF(B1706="","",IFERROR(INDEX(Productos!$B$2:$B$501,MATCH(B1706,Productos!$A$2:$A$501,0)),"¿Código?"))</f>
        <v/>
      </c>
      <c r="F1706" s="32">
        <f>IF(C1706&lt;&gt;"Venta","",D1706*IFERROR(INDEX(Productos!$D$2:$D$501,MATCH(B1706,Productos!$A$2:$A$501,0)),0))</f>
        <v/>
      </c>
      <c r="G1706" s="32">
        <f>IF(C1706&lt;&gt;"Venta","",D1706*IFERROR(INDEX(Productos!$E$2:$E$501,MATCH(B1706,Productos!$A$2:$A$501,0)),0))</f>
        <v/>
      </c>
      <c r="H1706" s="33">
        <f>IF(A1706="","",MONTH(A1706))</f>
        <v/>
      </c>
      <c r="I1706" s="33">
        <f>IF(A1706="","",YEAR(A1706))</f>
        <v/>
      </c>
    </row>
    <row r="1707" ht="15" customHeight="1" s="21">
      <c r="A1707" s="34" t="n"/>
      <c r="B1707" s="30" t="n"/>
      <c r="C1707" s="30" t="n"/>
      <c r="D1707" s="30" t="n"/>
      <c r="E1707" s="33">
        <f>IF(B1707="","",IFERROR(INDEX(Productos!$B$2:$B$501,MATCH(B1707,Productos!$A$2:$A$501,0)),"¿Código?"))</f>
        <v/>
      </c>
      <c r="F1707" s="32">
        <f>IF(C1707&lt;&gt;"Venta","",D1707*IFERROR(INDEX(Productos!$D$2:$D$501,MATCH(B1707,Productos!$A$2:$A$501,0)),0))</f>
        <v/>
      </c>
      <c r="G1707" s="32">
        <f>IF(C1707&lt;&gt;"Venta","",D1707*IFERROR(INDEX(Productos!$E$2:$E$501,MATCH(B1707,Productos!$A$2:$A$501,0)),0))</f>
        <v/>
      </c>
      <c r="H1707" s="33">
        <f>IF(A1707="","",MONTH(A1707))</f>
        <v/>
      </c>
      <c r="I1707" s="33">
        <f>IF(A1707="","",YEAR(A1707))</f>
        <v/>
      </c>
    </row>
    <row r="1708" ht="15" customHeight="1" s="21">
      <c r="A1708" s="34" t="n"/>
      <c r="B1708" s="30" t="n"/>
      <c r="C1708" s="30" t="n"/>
      <c r="D1708" s="30" t="n"/>
      <c r="E1708" s="33">
        <f>IF(B1708="","",IFERROR(INDEX(Productos!$B$2:$B$501,MATCH(B1708,Productos!$A$2:$A$501,0)),"¿Código?"))</f>
        <v/>
      </c>
      <c r="F1708" s="32">
        <f>IF(C1708&lt;&gt;"Venta","",D1708*IFERROR(INDEX(Productos!$D$2:$D$501,MATCH(B1708,Productos!$A$2:$A$501,0)),0))</f>
        <v/>
      </c>
      <c r="G1708" s="32">
        <f>IF(C1708&lt;&gt;"Venta","",D1708*IFERROR(INDEX(Productos!$E$2:$E$501,MATCH(B1708,Productos!$A$2:$A$501,0)),0))</f>
        <v/>
      </c>
      <c r="H1708" s="33">
        <f>IF(A1708="","",MONTH(A1708))</f>
        <v/>
      </c>
      <c r="I1708" s="33">
        <f>IF(A1708="","",YEAR(A1708))</f>
        <v/>
      </c>
    </row>
    <row r="1709" ht="15" customHeight="1" s="21">
      <c r="A1709" s="34" t="n"/>
      <c r="B1709" s="30" t="n"/>
      <c r="C1709" s="30" t="n"/>
      <c r="D1709" s="30" t="n"/>
      <c r="E1709" s="33">
        <f>IF(B1709="","",IFERROR(INDEX(Productos!$B$2:$B$501,MATCH(B1709,Productos!$A$2:$A$501,0)),"¿Código?"))</f>
        <v/>
      </c>
      <c r="F1709" s="32">
        <f>IF(C1709&lt;&gt;"Venta","",D1709*IFERROR(INDEX(Productos!$D$2:$D$501,MATCH(B1709,Productos!$A$2:$A$501,0)),0))</f>
        <v/>
      </c>
      <c r="G1709" s="32">
        <f>IF(C1709&lt;&gt;"Venta","",D1709*IFERROR(INDEX(Productos!$E$2:$E$501,MATCH(B1709,Productos!$A$2:$A$501,0)),0))</f>
        <v/>
      </c>
      <c r="H1709" s="33">
        <f>IF(A1709="","",MONTH(A1709))</f>
        <v/>
      </c>
      <c r="I1709" s="33">
        <f>IF(A1709="","",YEAR(A1709))</f>
        <v/>
      </c>
    </row>
    <row r="1710" ht="15" customHeight="1" s="21">
      <c r="A1710" s="34" t="n"/>
      <c r="B1710" s="30" t="n"/>
      <c r="C1710" s="30" t="n"/>
      <c r="D1710" s="30" t="n"/>
      <c r="E1710" s="33">
        <f>IF(B1710="","",IFERROR(INDEX(Productos!$B$2:$B$501,MATCH(B1710,Productos!$A$2:$A$501,0)),"¿Código?"))</f>
        <v/>
      </c>
      <c r="F1710" s="32">
        <f>IF(C1710&lt;&gt;"Venta","",D1710*IFERROR(INDEX(Productos!$D$2:$D$501,MATCH(B1710,Productos!$A$2:$A$501,0)),0))</f>
        <v/>
      </c>
      <c r="G1710" s="32">
        <f>IF(C1710&lt;&gt;"Venta","",D1710*IFERROR(INDEX(Productos!$E$2:$E$501,MATCH(B1710,Productos!$A$2:$A$501,0)),0))</f>
        <v/>
      </c>
      <c r="H1710" s="33">
        <f>IF(A1710="","",MONTH(A1710))</f>
        <v/>
      </c>
      <c r="I1710" s="33">
        <f>IF(A1710="","",YEAR(A1710))</f>
        <v/>
      </c>
    </row>
    <row r="1711" ht="15" customHeight="1" s="21">
      <c r="A1711" s="34" t="n"/>
      <c r="B1711" s="30" t="n"/>
      <c r="C1711" s="30" t="n"/>
      <c r="D1711" s="30" t="n"/>
      <c r="E1711" s="33">
        <f>IF(B1711="","",IFERROR(INDEX(Productos!$B$2:$B$501,MATCH(B1711,Productos!$A$2:$A$501,0)),"¿Código?"))</f>
        <v/>
      </c>
      <c r="F1711" s="32">
        <f>IF(C1711&lt;&gt;"Venta","",D1711*IFERROR(INDEX(Productos!$D$2:$D$501,MATCH(B1711,Productos!$A$2:$A$501,0)),0))</f>
        <v/>
      </c>
      <c r="G1711" s="32">
        <f>IF(C1711&lt;&gt;"Venta","",D1711*IFERROR(INDEX(Productos!$E$2:$E$501,MATCH(B1711,Productos!$A$2:$A$501,0)),0))</f>
        <v/>
      </c>
      <c r="H1711" s="33">
        <f>IF(A1711="","",MONTH(A1711))</f>
        <v/>
      </c>
      <c r="I1711" s="33">
        <f>IF(A1711="","",YEAR(A1711))</f>
        <v/>
      </c>
    </row>
    <row r="1712" ht="15" customHeight="1" s="21">
      <c r="A1712" s="34" t="n"/>
      <c r="B1712" s="30" t="n"/>
      <c r="C1712" s="30" t="n"/>
      <c r="D1712" s="30" t="n"/>
      <c r="E1712" s="33">
        <f>IF(B1712="","",IFERROR(INDEX(Productos!$B$2:$B$501,MATCH(B1712,Productos!$A$2:$A$501,0)),"¿Código?"))</f>
        <v/>
      </c>
      <c r="F1712" s="32">
        <f>IF(C1712&lt;&gt;"Venta","",D1712*IFERROR(INDEX(Productos!$D$2:$D$501,MATCH(B1712,Productos!$A$2:$A$501,0)),0))</f>
        <v/>
      </c>
      <c r="G1712" s="32">
        <f>IF(C1712&lt;&gt;"Venta","",D1712*IFERROR(INDEX(Productos!$E$2:$E$501,MATCH(B1712,Productos!$A$2:$A$501,0)),0))</f>
        <v/>
      </c>
      <c r="H1712" s="33">
        <f>IF(A1712="","",MONTH(A1712))</f>
        <v/>
      </c>
      <c r="I1712" s="33">
        <f>IF(A1712="","",YEAR(A1712))</f>
        <v/>
      </c>
    </row>
    <row r="1713" ht="15" customHeight="1" s="21">
      <c r="A1713" s="34" t="n"/>
      <c r="B1713" s="30" t="n"/>
      <c r="C1713" s="30" t="n"/>
      <c r="D1713" s="30" t="n"/>
      <c r="E1713" s="33">
        <f>IF(B1713="","",IFERROR(INDEX(Productos!$B$2:$B$501,MATCH(B1713,Productos!$A$2:$A$501,0)),"¿Código?"))</f>
        <v/>
      </c>
      <c r="F1713" s="32">
        <f>IF(C1713&lt;&gt;"Venta","",D1713*IFERROR(INDEX(Productos!$D$2:$D$501,MATCH(B1713,Productos!$A$2:$A$501,0)),0))</f>
        <v/>
      </c>
      <c r="G1713" s="32">
        <f>IF(C1713&lt;&gt;"Venta","",D1713*IFERROR(INDEX(Productos!$E$2:$E$501,MATCH(B1713,Productos!$A$2:$A$501,0)),0))</f>
        <v/>
      </c>
      <c r="H1713" s="33">
        <f>IF(A1713="","",MONTH(A1713))</f>
        <v/>
      </c>
      <c r="I1713" s="33">
        <f>IF(A1713="","",YEAR(A1713))</f>
        <v/>
      </c>
    </row>
    <row r="1714" ht="15" customHeight="1" s="21">
      <c r="A1714" s="34" t="n"/>
      <c r="B1714" s="30" t="n"/>
      <c r="C1714" s="30" t="n"/>
      <c r="D1714" s="30" t="n"/>
      <c r="E1714" s="33">
        <f>IF(B1714="","",IFERROR(INDEX(Productos!$B$2:$B$501,MATCH(B1714,Productos!$A$2:$A$501,0)),"¿Código?"))</f>
        <v/>
      </c>
      <c r="F1714" s="32">
        <f>IF(C1714&lt;&gt;"Venta","",D1714*IFERROR(INDEX(Productos!$D$2:$D$501,MATCH(B1714,Productos!$A$2:$A$501,0)),0))</f>
        <v/>
      </c>
      <c r="G1714" s="32">
        <f>IF(C1714&lt;&gt;"Venta","",D1714*IFERROR(INDEX(Productos!$E$2:$E$501,MATCH(B1714,Productos!$A$2:$A$501,0)),0))</f>
        <v/>
      </c>
      <c r="H1714" s="33">
        <f>IF(A1714="","",MONTH(A1714))</f>
        <v/>
      </c>
      <c r="I1714" s="33">
        <f>IF(A1714="","",YEAR(A1714))</f>
        <v/>
      </c>
    </row>
    <row r="1715" ht="15" customHeight="1" s="21">
      <c r="A1715" s="34" t="n"/>
      <c r="B1715" s="30" t="n"/>
      <c r="C1715" s="30" t="n"/>
      <c r="D1715" s="30" t="n"/>
      <c r="E1715" s="33">
        <f>IF(B1715="","",IFERROR(INDEX(Productos!$B$2:$B$501,MATCH(B1715,Productos!$A$2:$A$501,0)),"¿Código?"))</f>
        <v/>
      </c>
      <c r="F1715" s="32">
        <f>IF(C1715&lt;&gt;"Venta","",D1715*IFERROR(INDEX(Productos!$D$2:$D$501,MATCH(B1715,Productos!$A$2:$A$501,0)),0))</f>
        <v/>
      </c>
      <c r="G1715" s="32">
        <f>IF(C1715&lt;&gt;"Venta","",D1715*IFERROR(INDEX(Productos!$E$2:$E$501,MATCH(B1715,Productos!$A$2:$A$501,0)),0))</f>
        <v/>
      </c>
      <c r="H1715" s="33">
        <f>IF(A1715="","",MONTH(A1715))</f>
        <v/>
      </c>
      <c r="I1715" s="33">
        <f>IF(A1715="","",YEAR(A1715))</f>
        <v/>
      </c>
    </row>
    <row r="1716" ht="15" customHeight="1" s="21">
      <c r="A1716" s="34" t="n"/>
      <c r="B1716" s="30" t="n"/>
      <c r="C1716" s="30" t="n"/>
      <c r="D1716" s="30" t="n"/>
      <c r="E1716" s="33">
        <f>IF(B1716="","",IFERROR(INDEX(Productos!$B$2:$B$501,MATCH(B1716,Productos!$A$2:$A$501,0)),"¿Código?"))</f>
        <v/>
      </c>
      <c r="F1716" s="32">
        <f>IF(C1716&lt;&gt;"Venta","",D1716*IFERROR(INDEX(Productos!$D$2:$D$501,MATCH(B1716,Productos!$A$2:$A$501,0)),0))</f>
        <v/>
      </c>
      <c r="G1716" s="32">
        <f>IF(C1716&lt;&gt;"Venta","",D1716*IFERROR(INDEX(Productos!$E$2:$E$501,MATCH(B1716,Productos!$A$2:$A$501,0)),0))</f>
        <v/>
      </c>
      <c r="H1716" s="33">
        <f>IF(A1716="","",MONTH(A1716))</f>
        <v/>
      </c>
      <c r="I1716" s="33">
        <f>IF(A1716="","",YEAR(A1716))</f>
        <v/>
      </c>
    </row>
    <row r="1717" ht="15" customHeight="1" s="21">
      <c r="A1717" s="34" t="n"/>
      <c r="B1717" s="30" t="n"/>
      <c r="C1717" s="30" t="n"/>
      <c r="D1717" s="30" t="n"/>
      <c r="E1717" s="33">
        <f>IF(B1717="","",IFERROR(INDEX(Productos!$B$2:$B$501,MATCH(B1717,Productos!$A$2:$A$501,0)),"¿Código?"))</f>
        <v/>
      </c>
      <c r="F1717" s="32">
        <f>IF(C1717&lt;&gt;"Venta","",D1717*IFERROR(INDEX(Productos!$D$2:$D$501,MATCH(B1717,Productos!$A$2:$A$501,0)),0))</f>
        <v/>
      </c>
      <c r="G1717" s="32">
        <f>IF(C1717&lt;&gt;"Venta","",D1717*IFERROR(INDEX(Productos!$E$2:$E$501,MATCH(B1717,Productos!$A$2:$A$501,0)),0))</f>
        <v/>
      </c>
      <c r="H1717" s="33">
        <f>IF(A1717="","",MONTH(A1717))</f>
        <v/>
      </c>
      <c r="I1717" s="33">
        <f>IF(A1717="","",YEAR(A1717))</f>
        <v/>
      </c>
    </row>
    <row r="1718" ht="15" customHeight="1" s="21">
      <c r="A1718" s="34" t="n"/>
      <c r="B1718" s="30" t="n"/>
      <c r="C1718" s="30" t="n"/>
      <c r="D1718" s="30" t="n"/>
      <c r="E1718" s="33">
        <f>IF(B1718="","",IFERROR(INDEX(Productos!$B$2:$B$501,MATCH(B1718,Productos!$A$2:$A$501,0)),"¿Código?"))</f>
        <v/>
      </c>
      <c r="F1718" s="32">
        <f>IF(C1718&lt;&gt;"Venta","",D1718*IFERROR(INDEX(Productos!$D$2:$D$501,MATCH(B1718,Productos!$A$2:$A$501,0)),0))</f>
        <v/>
      </c>
      <c r="G1718" s="32">
        <f>IF(C1718&lt;&gt;"Venta","",D1718*IFERROR(INDEX(Productos!$E$2:$E$501,MATCH(B1718,Productos!$A$2:$A$501,0)),0))</f>
        <v/>
      </c>
      <c r="H1718" s="33">
        <f>IF(A1718="","",MONTH(A1718))</f>
        <v/>
      </c>
      <c r="I1718" s="33">
        <f>IF(A1718="","",YEAR(A1718))</f>
        <v/>
      </c>
    </row>
    <row r="1719" ht="15" customHeight="1" s="21">
      <c r="A1719" s="34" t="n"/>
      <c r="B1719" s="30" t="n"/>
      <c r="C1719" s="30" t="n"/>
      <c r="D1719" s="30" t="n"/>
      <c r="E1719" s="33">
        <f>IF(B1719="","",IFERROR(INDEX(Productos!$B$2:$B$501,MATCH(B1719,Productos!$A$2:$A$501,0)),"¿Código?"))</f>
        <v/>
      </c>
      <c r="F1719" s="32">
        <f>IF(C1719&lt;&gt;"Venta","",D1719*IFERROR(INDEX(Productos!$D$2:$D$501,MATCH(B1719,Productos!$A$2:$A$501,0)),0))</f>
        <v/>
      </c>
      <c r="G1719" s="32">
        <f>IF(C1719&lt;&gt;"Venta","",D1719*IFERROR(INDEX(Productos!$E$2:$E$501,MATCH(B1719,Productos!$A$2:$A$501,0)),0))</f>
        <v/>
      </c>
      <c r="H1719" s="33">
        <f>IF(A1719="","",MONTH(A1719))</f>
        <v/>
      </c>
      <c r="I1719" s="33">
        <f>IF(A1719="","",YEAR(A1719))</f>
        <v/>
      </c>
    </row>
    <row r="1720" ht="15" customHeight="1" s="21">
      <c r="A1720" s="34" t="n"/>
      <c r="B1720" s="30" t="n"/>
      <c r="C1720" s="30" t="n"/>
      <c r="D1720" s="30" t="n"/>
      <c r="E1720" s="33">
        <f>IF(B1720="","",IFERROR(INDEX(Productos!$B$2:$B$501,MATCH(B1720,Productos!$A$2:$A$501,0)),"¿Código?"))</f>
        <v/>
      </c>
      <c r="F1720" s="32">
        <f>IF(C1720&lt;&gt;"Venta","",D1720*IFERROR(INDEX(Productos!$D$2:$D$501,MATCH(B1720,Productos!$A$2:$A$501,0)),0))</f>
        <v/>
      </c>
      <c r="G1720" s="32">
        <f>IF(C1720&lt;&gt;"Venta","",D1720*IFERROR(INDEX(Productos!$E$2:$E$501,MATCH(B1720,Productos!$A$2:$A$501,0)),0))</f>
        <v/>
      </c>
      <c r="H1720" s="33">
        <f>IF(A1720="","",MONTH(A1720))</f>
        <v/>
      </c>
      <c r="I1720" s="33">
        <f>IF(A1720="","",YEAR(A1720))</f>
        <v/>
      </c>
    </row>
    <row r="1721" ht="15" customHeight="1" s="21">
      <c r="A1721" s="34" t="n"/>
      <c r="B1721" s="30" t="n"/>
      <c r="C1721" s="30" t="n"/>
      <c r="D1721" s="30" t="n"/>
      <c r="E1721" s="33">
        <f>IF(B1721="","",IFERROR(INDEX(Productos!$B$2:$B$501,MATCH(B1721,Productos!$A$2:$A$501,0)),"¿Código?"))</f>
        <v/>
      </c>
      <c r="F1721" s="32">
        <f>IF(C1721&lt;&gt;"Venta","",D1721*IFERROR(INDEX(Productos!$D$2:$D$501,MATCH(B1721,Productos!$A$2:$A$501,0)),0))</f>
        <v/>
      </c>
      <c r="G1721" s="32">
        <f>IF(C1721&lt;&gt;"Venta","",D1721*IFERROR(INDEX(Productos!$E$2:$E$501,MATCH(B1721,Productos!$A$2:$A$501,0)),0))</f>
        <v/>
      </c>
      <c r="H1721" s="33">
        <f>IF(A1721="","",MONTH(A1721))</f>
        <v/>
      </c>
      <c r="I1721" s="33">
        <f>IF(A1721="","",YEAR(A1721))</f>
        <v/>
      </c>
    </row>
    <row r="1722" ht="15" customHeight="1" s="21">
      <c r="A1722" s="34" t="n"/>
      <c r="B1722" s="30" t="n"/>
      <c r="C1722" s="30" t="n"/>
      <c r="D1722" s="30" t="n"/>
      <c r="E1722" s="33">
        <f>IF(B1722="","",IFERROR(INDEX(Productos!$B$2:$B$501,MATCH(B1722,Productos!$A$2:$A$501,0)),"¿Código?"))</f>
        <v/>
      </c>
      <c r="F1722" s="32">
        <f>IF(C1722&lt;&gt;"Venta","",D1722*IFERROR(INDEX(Productos!$D$2:$D$501,MATCH(B1722,Productos!$A$2:$A$501,0)),0))</f>
        <v/>
      </c>
      <c r="G1722" s="32">
        <f>IF(C1722&lt;&gt;"Venta","",D1722*IFERROR(INDEX(Productos!$E$2:$E$501,MATCH(B1722,Productos!$A$2:$A$501,0)),0))</f>
        <v/>
      </c>
      <c r="H1722" s="33">
        <f>IF(A1722="","",MONTH(A1722))</f>
        <v/>
      </c>
      <c r="I1722" s="33">
        <f>IF(A1722="","",YEAR(A1722))</f>
        <v/>
      </c>
    </row>
    <row r="1723" ht="15" customHeight="1" s="21">
      <c r="A1723" s="34" t="n"/>
      <c r="B1723" s="30" t="n"/>
      <c r="C1723" s="30" t="n"/>
      <c r="D1723" s="30" t="n"/>
      <c r="E1723" s="33">
        <f>IF(B1723="","",IFERROR(INDEX(Productos!$B$2:$B$501,MATCH(B1723,Productos!$A$2:$A$501,0)),"¿Código?"))</f>
        <v/>
      </c>
      <c r="F1723" s="32">
        <f>IF(C1723&lt;&gt;"Venta","",D1723*IFERROR(INDEX(Productos!$D$2:$D$501,MATCH(B1723,Productos!$A$2:$A$501,0)),0))</f>
        <v/>
      </c>
      <c r="G1723" s="32">
        <f>IF(C1723&lt;&gt;"Venta","",D1723*IFERROR(INDEX(Productos!$E$2:$E$501,MATCH(B1723,Productos!$A$2:$A$501,0)),0))</f>
        <v/>
      </c>
      <c r="H1723" s="33">
        <f>IF(A1723="","",MONTH(A1723))</f>
        <v/>
      </c>
      <c r="I1723" s="33">
        <f>IF(A1723="","",YEAR(A1723))</f>
        <v/>
      </c>
    </row>
    <row r="1724" ht="15" customHeight="1" s="21">
      <c r="A1724" s="34" t="n"/>
      <c r="B1724" s="30" t="n"/>
      <c r="C1724" s="30" t="n"/>
      <c r="D1724" s="30" t="n"/>
      <c r="E1724" s="33">
        <f>IF(B1724="","",IFERROR(INDEX(Productos!$B$2:$B$501,MATCH(B1724,Productos!$A$2:$A$501,0)),"¿Código?"))</f>
        <v/>
      </c>
      <c r="F1724" s="32">
        <f>IF(C1724&lt;&gt;"Venta","",D1724*IFERROR(INDEX(Productos!$D$2:$D$501,MATCH(B1724,Productos!$A$2:$A$501,0)),0))</f>
        <v/>
      </c>
      <c r="G1724" s="32">
        <f>IF(C1724&lt;&gt;"Venta","",D1724*IFERROR(INDEX(Productos!$E$2:$E$501,MATCH(B1724,Productos!$A$2:$A$501,0)),0))</f>
        <v/>
      </c>
      <c r="H1724" s="33">
        <f>IF(A1724="","",MONTH(A1724))</f>
        <v/>
      </c>
      <c r="I1724" s="33">
        <f>IF(A1724="","",YEAR(A1724))</f>
        <v/>
      </c>
    </row>
    <row r="1725" ht="15" customHeight="1" s="21">
      <c r="A1725" s="34" t="n"/>
      <c r="B1725" s="30" t="n"/>
      <c r="C1725" s="30" t="n"/>
      <c r="D1725" s="30" t="n"/>
      <c r="E1725" s="33">
        <f>IF(B1725="","",IFERROR(INDEX(Productos!$B$2:$B$501,MATCH(B1725,Productos!$A$2:$A$501,0)),"¿Código?"))</f>
        <v/>
      </c>
      <c r="F1725" s="32">
        <f>IF(C1725&lt;&gt;"Venta","",D1725*IFERROR(INDEX(Productos!$D$2:$D$501,MATCH(B1725,Productos!$A$2:$A$501,0)),0))</f>
        <v/>
      </c>
      <c r="G1725" s="32">
        <f>IF(C1725&lt;&gt;"Venta","",D1725*IFERROR(INDEX(Productos!$E$2:$E$501,MATCH(B1725,Productos!$A$2:$A$501,0)),0))</f>
        <v/>
      </c>
      <c r="H1725" s="33">
        <f>IF(A1725="","",MONTH(A1725))</f>
        <v/>
      </c>
      <c r="I1725" s="33">
        <f>IF(A1725="","",YEAR(A1725))</f>
        <v/>
      </c>
    </row>
    <row r="1726" ht="15" customHeight="1" s="21">
      <c r="A1726" s="34" t="n"/>
      <c r="B1726" s="30" t="n"/>
      <c r="C1726" s="30" t="n"/>
      <c r="D1726" s="30" t="n"/>
      <c r="E1726" s="33">
        <f>IF(B1726="","",IFERROR(INDEX(Productos!$B$2:$B$501,MATCH(B1726,Productos!$A$2:$A$501,0)),"¿Código?"))</f>
        <v/>
      </c>
      <c r="F1726" s="32">
        <f>IF(C1726&lt;&gt;"Venta","",D1726*IFERROR(INDEX(Productos!$D$2:$D$501,MATCH(B1726,Productos!$A$2:$A$501,0)),0))</f>
        <v/>
      </c>
      <c r="G1726" s="32">
        <f>IF(C1726&lt;&gt;"Venta","",D1726*IFERROR(INDEX(Productos!$E$2:$E$501,MATCH(B1726,Productos!$A$2:$A$501,0)),0))</f>
        <v/>
      </c>
      <c r="H1726" s="33">
        <f>IF(A1726="","",MONTH(A1726))</f>
        <v/>
      </c>
      <c r="I1726" s="33">
        <f>IF(A1726="","",YEAR(A1726))</f>
        <v/>
      </c>
    </row>
    <row r="1727" ht="15" customHeight="1" s="21">
      <c r="A1727" s="34" t="n"/>
      <c r="B1727" s="30" t="n"/>
      <c r="C1727" s="30" t="n"/>
      <c r="D1727" s="30" t="n"/>
      <c r="E1727" s="33">
        <f>IF(B1727="","",IFERROR(INDEX(Productos!$B$2:$B$501,MATCH(B1727,Productos!$A$2:$A$501,0)),"¿Código?"))</f>
        <v/>
      </c>
      <c r="F1727" s="32">
        <f>IF(C1727&lt;&gt;"Venta","",D1727*IFERROR(INDEX(Productos!$D$2:$D$501,MATCH(B1727,Productos!$A$2:$A$501,0)),0))</f>
        <v/>
      </c>
      <c r="G1727" s="32">
        <f>IF(C1727&lt;&gt;"Venta","",D1727*IFERROR(INDEX(Productos!$E$2:$E$501,MATCH(B1727,Productos!$A$2:$A$501,0)),0))</f>
        <v/>
      </c>
      <c r="H1727" s="33">
        <f>IF(A1727="","",MONTH(A1727))</f>
        <v/>
      </c>
      <c r="I1727" s="33">
        <f>IF(A1727="","",YEAR(A1727))</f>
        <v/>
      </c>
    </row>
    <row r="1728" ht="15" customHeight="1" s="21">
      <c r="A1728" s="34" t="n"/>
      <c r="B1728" s="30" t="n"/>
      <c r="C1728" s="30" t="n"/>
      <c r="D1728" s="30" t="n"/>
      <c r="E1728" s="33">
        <f>IF(B1728="","",IFERROR(INDEX(Productos!$B$2:$B$501,MATCH(B1728,Productos!$A$2:$A$501,0)),"¿Código?"))</f>
        <v/>
      </c>
      <c r="F1728" s="32">
        <f>IF(C1728&lt;&gt;"Venta","",D1728*IFERROR(INDEX(Productos!$D$2:$D$501,MATCH(B1728,Productos!$A$2:$A$501,0)),0))</f>
        <v/>
      </c>
      <c r="G1728" s="32">
        <f>IF(C1728&lt;&gt;"Venta","",D1728*IFERROR(INDEX(Productos!$E$2:$E$501,MATCH(B1728,Productos!$A$2:$A$501,0)),0))</f>
        <v/>
      </c>
      <c r="H1728" s="33">
        <f>IF(A1728="","",MONTH(A1728))</f>
        <v/>
      </c>
      <c r="I1728" s="33">
        <f>IF(A1728="","",YEAR(A1728))</f>
        <v/>
      </c>
    </row>
    <row r="1729" ht="15" customHeight="1" s="21">
      <c r="A1729" s="34" t="n"/>
      <c r="B1729" s="30" t="n"/>
      <c r="C1729" s="30" t="n"/>
      <c r="D1729" s="30" t="n"/>
      <c r="E1729" s="33">
        <f>IF(B1729="","",IFERROR(INDEX(Productos!$B$2:$B$501,MATCH(B1729,Productos!$A$2:$A$501,0)),"¿Código?"))</f>
        <v/>
      </c>
      <c r="F1729" s="32">
        <f>IF(C1729&lt;&gt;"Venta","",D1729*IFERROR(INDEX(Productos!$D$2:$D$501,MATCH(B1729,Productos!$A$2:$A$501,0)),0))</f>
        <v/>
      </c>
      <c r="G1729" s="32">
        <f>IF(C1729&lt;&gt;"Venta","",D1729*IFERROR(INDEX(Productos!$E$2:$E$501,MATCH(B1729,Productos!$A$2:$A$501,0)),0))</f>
        <v/>
      </c>
      <c r="H1729" s="33">
        <f>IF(A1729="","",MONTH(A1729))</f>
        <v/>
      </c>
      <c r="I1729" s="33">
        <f>IF(A1729="","",YEAR(A1729))</f>
        <v/>
      </c>
    </row>
    <row r="1730" ht="15" customHeight="1" s="21">
      <c r="A1730" s="34" t="n"/>
      <c r="B1730" s="30" t="n"/>
      <c r="C1730" s="30" t="n"/>
      <c r="D1730" s="30" t="n"/>
      <c r="E1730" s="33">
        <f>IF(B1730="","",IFERROR(INDEX(Productos!$B$2:$B$501,MATCH(B1730,Productos!$A$2:$A$501,0)),"¿Código?"))</f>
        <v/>
      </c>
      <c r="F1730" s="32">
        <f>IF(C1730&lt;&gt;"Venta","",D1730*IFERROR(INDEX(Productos!$D$2:$D$501,MATCH(B1730,Productos!$A$2:$A$501,0)),0))</f>
        <v/>
      </c>
      <c r="G1730" s="32">
        <f>IF(C1730&lt;&gt;"Venta","",D1730*IFERROR(INDEX(Productos!$E$2:$E$501,MATCH(B1730,Productos!$A$2:$A$501,0)),0))</f>
        <v/>
      </c>
      <c r="H1730" s="33">
        <f>IF(A1730="","",MONTH(A1730))</f>
        <v/>
      </c>
      <c r="I1730" s="33">
        <f>IF(A1730="","",YEAR(A1730))</f>
        <v/>
      </c>
    </row>
    <row r="1731" ht="15" customHeight="1" s="21">
      <c r="A1731" s="34" t="n"/>
      <c r="B1731" s="30" t="n"/>
      <c r="C1731" s="30" t="n"/>
      <c r="D1731" s="30" t="n"/>
      <c r="E1731" s="33">
        <f>IF(B1731="","",IFERROR(INDEX(Productos!$B$2:$B$501,MATCH(B1731,Productos!$A$2:$A$501,0)),"¿Código?"))</f>
        <v/>
      </c>
      <c r="F1731" s="32">
        <f>IF(C1731&lt;&gt;"Venta","",D1731*IFERROR(INDEX(Productos!$D$2:$D$501,MATCH(B1731,Productos!$A$2:$A$501,0)),0))</f>
        <v/>
      </c>
      <c r="G1731" s="32">
        <f>IF(C1731&lt;&gt;"Venta","",D1731*IFERROR(INDEX(Productos!$E$2:$E$501,MATCH(B1731,Productos!$A$2:$A$501,0)),0))</f>
        <v/>
      </c>
      <c r="H1731" s="33">
        <f>IF(A1731="","",MONTH(A1731))</f>
        <v/>
      </c>
      <c r="I1731" s="33">
        <f>IF(A1731="","",YEAR(A1731))</f>
        <v/>
      </c>
    </row>
    <row r="1732" ht="15" customHeight="1" s="21">
      <c r="A1732" s="34" t="n"/>
      <c r="B1732" s="30" t="n"/>
      <c r="C1732" s="30" t="n"/>
      <c r="D1732" s="30" t="n"/>
      <c r="E1732" s="33">
        <f>IF(B1732="","",IFERROR(INDEX(Productos!$B$2:$B$501,MATCH(B1732,Productos!$A$2:$A$501,0)),"¿Código?"))</f>
        <v/>
      </c>
      <c r="F1732" s="32">
        <f>IF(C1732&lt;&gt;"Venta","",D1732*IFERROR(INDEX(Productos!$D$2:$D$501,MATCH(B1732,Productos!$A$2:$A$501,0)),0))</f>
        <v/>
      </c>
      <c r="G1732" s="32">
        <f>IF(C1732&lt;&gt;"Venta","",D1732*IFERROR(INDEX(Productos!$E$2:$E$501,MATCH(B1732,Productos!$A$2:$A$501,0)),0))</f>
        <v/>
      </c>
      <c r="H1732" s="33">
        <f>IF(A1732="","",MONTH(A1732))</f>
        <v/>
      </c>
      <c r="I1732" s="33">
        <f>IF(A1732="","",YEAR(A1732))</f>
        <v/>
      </c>
    </row>
    <row r="1733" ht="15" customHeight="1" s="21">
      <c r="A1733" s="34" t="n"/>
      <c r="B1733" s="30" t="n"/>
      <c r="C1733" s="30" t="n"/>
      <c r="D1733" s="30" t="n"/>
      <c r="E1733" s="33">
        <f>IF(B1733="","",IFERROR(INDEX(Productos!$B$2:$B$501,MATCH(B1733,Productos!$A$2:$A$501,0)),"¿Código?"))</f>
        <v/>
      </c>
      <c r="F1733" s="32">
        <f>IF(C1733&lt;&gt;"Venta","",D1733*IFERROR(INDEX(Productos!$D$2:$D$501,MATCH(B1733,Productos!$A$2:$A$501,0)),0))</f>
        <v/>
      </c>
      <c r="G1733" s="32">
        <f>IF(C1733&lt;&gt;"Venta","",D1733*IFERROR(INDEX(Productos!$E$2:$E$501,MATCH(B1733,Productos!$A$2:$A$501,0)),0))</f>
        <v/>
      </c>
      <c r="H1733" s="33">
        <f>IF(A1733="","",MONTH(A1733))</f>
        <v/>
      </c>
      <c r="I1733" s="33">
        <f>IF(A1733="","",YEAR(A1733))</f>
        <v/>
      </c>
    </row>
    <row r="1734" ht="15" customHeight="1" s="21">
      <c r="A1734" s="34" t="n"/>
      <c r="B1734" s="30" t="n"/>
      <c r="C1734" s="30" t="n"/>
      <c r="D1734" s="30" t="n"/>
      <c r="E1734" s="33">
        <f>IF(B1734="","",IFERROR(INDEX(Productos!$B$2:$B$501,MATCH(B1734,Productos!$A$2:$A$501,0)),"¿Código?"))</f>
        <v/>
      </c>
      <c r="F1734" s="32">
        <f>IF(C1734&lt;&gt;"Venta","",D1734*IFERROR(INDEX(Productos!$D$2:$D$501,MATCH(B1734,Productos!$A$2:$A$501,0)),0))</f>
        <v/>
      </c>
      <c r="G1734" s="32">
        <f>IF(C1734&lt;&gt;"Venta","",D1734*IFERROR(INDEX(Productos!$E$2:$E$501,MATCH(B1734,Productos!$A$2:$A$501,0)),0))</f>
        <v/>
      </c>
      <c r="H1734" s="33">
        <f>IF(A1734="","",MONTH(A1734))</f>
        <v/>
      </c>
      <c r="I1734" s="33">
        <f>IF(A1734="","",YEAR(A1734))</f>
        <v/>
      </c>
    </row>
    <row r="1735" ht="15" customHeight="1" s="21">
      <c r="A1735" s="34" t="n"/>
      <c r="B1735" s="30" t="n"/>
      <c r="C1735" s="30" t="n"/>
      <c r="D1735" s="30" t="n"/>
      <c r="E1735" s="33">
        <f>IF(B1735="","",IFERROR(INDEX(Productos!$B$2:$B$501,MATCH(B1735,Productos!$A$2:$A$501,0)),"¿Código?"))</f>
        <v/>
      </c>
      <c r="F1735" s="32">
        <f>IF(C1735&lt;&gt;"Venta","",D1735*IFERROR(INDEX(Productos!$D$2:$D$501,MATCH(B1735,Productos!$A$2:$A$501,0)),0))</f>
        <v/>
      </c>
      <c r="G1735" s="32">
        <f>IF(C1735&lt;&gt;"Venta","",D1735*IFERROR(INDEX(Productos!$E$2:$E$501,MATCH(B1735,Productos!$A$2:$A$501,0)),0))</f>
        <v/>
      </c>
      <c r="H1735" s="33">
        <f>IF(A1735="","",MONTH(A1735))</f>
        <v/>
      </c>
      <c r="I1735" s="33">
        <f>IF(A1735="","",YEAR(A1735))</f>
        <v/>
      </c>
    </row>
    <row r="1736" ht="15" customHeight="1" s="21">
      <c r="A1736" s="34" t="n"/>
      <c r="B1736" s="30" t="n"/>
      <c r="C1736" s="30" t="n"/>
      <c r="D1736" s="30" t="n"/>
      <c r="E1736" s="33">
        <f>IF(B1736="","",IFERROR(INDEX(Productos!$B$2:$B$501,MATCH(B1736,Productos!$A$2:$A$501,0)),"¿Código?"))</f>
        <v/>
      </c>
      <c r="F1736" s="32">
        <f>IF(C1736&lt;&gt;"Venta","",D1736*IFERROR(INDEX(Productos!$D$2:$D$501,MATCH(B1736,Productos!$A$2:$A$501,0)),0))</f>
        <v/>
      </c>
      <c r="G1736" s="32">
        <f>IF(C1736&lt;&gt;"Venta","",D1736*IFERROR(INDEX(Productos!$E$2:$E$501,MATCH(B1736,Productos!$A$2:$A$501,0)),0))</f>
        <v/>
      </c>
      <c r="H1736" s="33">
        <f>IF(A1736="","",MONTH(A1736))</f>
        <v/>
      </c>
      <c r="I1736" s="33">
        <f>IF(A1736="","",YEAR(A1736))</f>
        <v/>
      </c>
    </row>
    <row r="1737" ht="15" customHeight="1" s="21">
      <c r="A1737" s="34" t="n"/>
      <c r="B1737" s="30" t="n"/>
      <c r="C1737" s="30" t="n"/>
      <c r="D1737" s="30" t="n"/>
      <c r="E1737" s="33">
        <f>IF(B1737="","",IFERROR(INDEX(Productos!$B$2:$B$501,MATCH(B1737,Productos!$A$2:$A$501,0)),"¿Código?"))</f>
        <v/>
      </c>
      <c r="F1737" s="32">
        <f>IF(C1737&lt;&gt;"Venta","",D1737*IFERROR(INDEX(Productos!$D$2:$D$501,MATCH(B1737,Productos!$A$2:$A$501,0)),0))</f>
        <v/>
      </c>
      <c r="G1737" s="32">
        <f>IF(C1737&lt;&gt;"Venta","",D1737*IFERROR(INDEX(Productos!$E$2:$E$501,MATCH(B1737,Productos!$A$2:$A$501,0)),0))</f>
        <v/>
      </c>
      <c r="H1737" s="33">
        <f>IF(A1737="","",MONTH(A1737))</f>
        <v/>
      </c>
      <c r="I1737" s="33">
        <f>IF(A1737="","",YEAR(A1737))</f>
        <v/>
      </c>
    </row>
    <row r="1738" ht="15" customHeight="1" s="21">
      <c r="A1738" s="34" t="n"/>
      <c r="B1738" s="30" t="n"/>
      <c r="C1738" s="30" t="n"/>
      <c r="D1738" s="30" t="n"/>
      <c r="E1738" s="33">
        <f>IF(B1738="","",IFERROR(INDEX(Productos!$B$2:$B$501,MATCH(B1738,Productos!$A$2:$A$501,0)),"¿Código?"))</f>
        <v/>
      </c>
      <c r="F1738" s="32">
        <f>IF(C1738&lt;&gt;"Venta","",D1738*IFERROR(INDEX(Productos!$D$2:$D$501,MATCH(B1738,Productos!$A$2:$A$501,0)),0))</f>
        <v/>
      </c>
      <c r="G1738" s="32">
        <f>IF(C1738&lt;&gt;"Venta","",D1738*IFERROR(INDEX(Productos!$E$2:$E$501,MATCH(B1738,Productos!$A$2:$A$501,0)),0))</f>
        <v/>
      </c>
      <c r="H1738" s="33">
        <f>IF(A1738="","",MONTH(A1738))</f>
        <v/>
      </c>
      <c r="I1738" s="33">
        <f>IF(A1738="","",YEAR(A1738))</f>
        <v/>
      </c>
    </row>
    <row r="1739" ht="15" customHeight="1" s="21">
      <c r="A1739" s="34" t="n"/>
      <c r="B1739" s="30" t="n"/>
      <c r="C1739" s="30" t="n"/>
      <c r="D1739" s="30" t="n"/>
      <c r="E1739" s="33">
        <f>IF(B1739="","",IFERROR(INDEX(Productos!$B$2:$B$501,MATCH(B1739,Productos!$A$2:$A$501,0)),"¿Código?"))</f>
        <v/>
      </c>
      <c r="F1739" s="32">
        <f>IF(C1739&lt;&gt;"Venta","",D1739*IFERROR(INDEX(Productos!$D$2:$D$501,MATCH(B1739,Productos!$A$2:$A$501,0)),0))</f>
        <v/>
      </c>
      <c r="G1739" s="32">
        <f>IF(C1739&lt;&gt;"Venta","",D1739*IFERROR(INDEX(Productos!$E$2:$E$501,MATCH(B1739,Productos!$A$2:$A$501,0)),0))</f>
        <v/>
      </c>
      <c r="H1739" s="33">
        <f>IF(A1739="","",MONTH(A1739))</f>
        <v/>
      </c>
      <c r="I1739" s="33">
        <f>IF(A1739="","",YEAR(A1739))</f>
        <v/>
      </c>
    </row>
    <row r="1740" ht="15" customHeight="1" s="21">
      <c r="A1740" s="34" t="n"/>
      <c r="B1740" s="30" t="n"/>
      <c r="C1740" s="30" t="n"/>
      <c r="D1740" s="30" t="n"/>
      <c r="E1740" s="33">
        <f>IF(B1740="","",IFERROR(INDEX(Productos!$B$2:$B$501,MATCH(B1740,Productos!$A$2:$A$501,0)),"¿Código?"))</f>
        <v/>
      </c>
      <c r="F1740" s="32">
        <f>IF(C1740&lt;&gt;"Venta","",D1740*IFERROR(INDEX(Productos!$D$2:$D$501,MATCH(B1740,Productos!$A$2:$A$501,0)),0))</f>
        <v/>
      </c>
      <c r="G1740" s="32">
        <f>IF(C1740&lt;&gt;"Venta","",D1740*IFERROR(INDEX(Productos!$E$2:$E$501,MATCH(B1740,Productos!$A$2:$A$501,0)),0))</f>
        <v/>
      </c>
      <c r="H1740" s="33">
        <f>IF(A1740="","",MONTH(A1740))</f>
        <v/>
      </c>
      <c r="I1740" s="33">
        <f>IF(A1740="","",YEAR(A1740))</f>
        <v/>
      </c>
    </row>
    <row r="1741" ht="15" customHeight="1" s="21">
      <c r="A1741" s="34" t="n"/>
      <c r="B1741" s="30" t="n"/>
      <c r="C1741" s="30" t="n"/>
      <c r="D1741" s="30" t="n"/>
      <c r="E1741" s="33">
        <f>IF(B1741="","",IFERROR(INDEX(Productos!$B$2:$B$501,MATCH(B1741,Productos!$A$2:$A$501,0)),"¿Código?"))</f>
        <v/>
      </c>
      <c r="F1741" s="32">
        <f>IF(C1741&lt;&gt;"Venta","",D1741*IFERROR(INDEX(Productos!$D$2:$D$501,MATCH(B1741,Productos!$A$2:$A$501,0)),0))</f>
        <v/>
      </c>
      <c r="G1741" s="32">
        <f>IF(C1741&lt;&gt;"Venta","",D1741*IFERROR(INDEX(Productos!$E$2:$E$501,MATCH(B1741,Productos!$A$2:$A$501,0)),0))</f>
        <v/>
      </c>
      <c r="H1741" s="33">
        <f>IF(A1741="","",MONTH(A1741))</f>
        <v/>
      </c>
      <c r="I1741" s="33">
        <f>IF(A1741="","",YEAR(A1741))</f>
        <v/>
      </c>
    </row>
    <row r="1742" ht="15" customHeight="1" s="21">
      <c r="A1742" s="34" t="n"/>
      <c r="B1742" s="30" t="n"/>
      <c r="C1742" s="30" t="n"/>
      <c r="D1742" s="30" t="n"/>
      <c r="E1742" s="33">
        <f>IF(B1742="","",IFERROR(INDEX(Productos!$B$2:$B$501,MATCH(B1742,Productos!$A$2:$A$501,0)),"¿Código?"))</f>
        <v/>
      </c>
      <c r="F1742" s="32">
        <f>IF(C1742&lt;&gt;"Venta","",D1742*IFERROR(INDEX(Productos!$D$2:$D$501,MATCH(B1742,Productos!$A$2:$A$501,0)),0))</f>
        <v/>
      </c>
      <c r="G1742" s="32">
        <f>IF(C1742&lt;&gt;"Venta","",D1742*IFERROR(INDEX(Productos!$E$2:$E$501,MATCH(B1742,Productos!$A$2:$A$501,0)),0))</f>
        <v/>
      </c>
      <c r="H1742" s="33">
        <f>IF(A1742="","",MONTH(A1742))</f>
        <v/>
      </c>
      <c r="I1742" s="33">
        <f>IF(A1742="","",YEAR(A1742))</f>
        <v/>
      </c>
    </row>
    <row r="1743" ht="15" customHeight="1" s="21">
      <c r="A1743" s="34" t="n"/>
      <c r="B1743" s="30" t="n"/>
      <c r="C1743" s="30" t="n"/>
      <c r="D1743" s="30" t="n"/>
      <c r="E1743" s="33">
        <f>IF(B1743="","",IFERROR(INDEX(Productos!$B$2:$B$501,MATCH(B1743,Productos!$A$2:$A$501,0)),"¿Código?"))</f>
        <v/>
      </c>
      <c r="F1743" s="32">
        <f>IF(C1743&lt;&gt;"Venta","",D1743*IFERROR(INDEX(Productos!$D$2:$D$501,MATCH(B1743,Productos!$A$2:$A$501,0)),0))</f>
        <v/>
      </c>
      <c r="G1743" s="32">
        <f>IF(C1743&lt;&gt;"Venta","",D1743*IFERROR(INDEX(Productos!$E$2:$E$501,MATCH(B1743,Productos!$A$2:$A$501,0)),0))</f>
        <v/>
      </c>
      <c r="H1743" s="33">
        <f>IF(A1743="","",MONTH(A1743))</f>
        <v/>
      </c>
      <c r="I1743" s="33">
        <f>IF(A1743="","",YEAR(A1743))</f>
        <v/>
      </c>
    </row>
    <row r="1744" ht="15" customHeight="1" s="21">
      <c r="A1744" s="34" t="n"/>
      <c r="B1744" s="30" t="n"/>
      <c r="C1744" s="30" t="n"/>
      <c r="D1744" s="30" t="n"/>
      <c r="E1744" s="33">
        <f>IF(B1744="","",IFERROR(INDEX(Productos!$B$2:$B$501,MATCH(B1744,Productos!$A$2:$A$501,0)),"¿Código?"))</f>
        <v/>
      </c>
      <c r="F1744" s="32">
        <f>IF(C1744&lt;&gt;"Venta","",D1744*IFERROR(INDEX(Productos!$D$2:$D$501,MATCH(B1744,Productos!$A$2:$A$501,0)),0))</f>
        <v/>
      </c>
      <c r="G1744" s="32">
        <f>IF(C1744&lt;&gt;"Venta","",D1744*IFERROR(INDEX(Productos!$E$2:$E$501,MATCH(B1744,Productos!$A$2:$A$501,0)),0))</f>
        <v/>
      </c>
      <c r="H1744" s="33">
        <f>IF(A1744="","",MONTH(A1744))</f>
        <v/>
      </c>
      <c r="I1744" s="33">
        <f>IF(A1744="","",YEAR(A1744))</f>
        <v/>
      </c>
    </row>
    <row r="1745" ht="15" customHeight="1" s="21">
      <c r="A1745" s="34" t="n"/>
      <c r="B1745" s="30" t="n"/>
      <c r="C1745" s="30" t="n"/>
      <c r="D1745" s="30" t="n"/>
      <c r="E1745" s="33">
        <f>IF(B1745="","",IFERROR(INDEX(Productos!$B$2:$B$501,MATCH(B1745,Productos!$A$2:$A$501,0)),"¿Código?"))</f>
        <v/>
      </c>
      <c r="F1745" s="32">
        <f>IF(C1745&lt;&gt;"Venta","",D1745*IFERROR(INDEX(Productos!$D$2:$D$501,MATCH(B1745,Productos!$A$2:$A$501,0)),0))</f>
        <v/>
      </c>
      <c r="G1745" s="32">
        <f>IF(C1745&lt;&gt;"Venta","",D1745*IFERROR(INDEX(Productos!$E$2:$E$501,MATCH(B1745,Productos!$A$2:$A$501,0)),0))</f>
        <v/>
      </c>
      <c r="H1745" s="33">
        <f>IF(A1745="","",MONTH(A1745))</f>
        <v/>
      </c>
      <c r="I1745" s="33">
        <f>IF(A1745="","",YEAR(A1745))</f>
        <v/>
      </c>
    </row>
    <row r="1746" ht="15" customHeight="1" s="21">
      <c r="A1746" s="34" t="n"/>
      <c r="B1746" s="30" t="n"/>
      <c r="C1746" s="30" t="n"/>
      <c r="D1746" s="30" t="n"/>
      <c r="E1746" s="33">
        <f>IF(B1746="","",IFERROR(INDEX(Productos!$B$2:$B$501,MATCH(B1746,Productos!$A$2:$A$501,0)),"¿Código?"))</f>
        <v/>
      </c>
      <c r="F1746" s="32">
        <f>IF(C1746&lt;&gt;"Venta","",D1746*IFERROR(INDEX(Productos!$D$2:$D$501,MATCH(B1746,Productos!$A$2:$A$501,0)),0))</f>
        <v/>
      </c>
      <c r="G1746" s="32">
        <f>IF(C1746&lt;&gt;"Venta","",D1746*IFERROR(INDEX(Productos!$E$2:$E$501,MATCH(B1746,Productos!$A$2:$A$501,0)),0))</f>
        <v/>
      </c>
      <c r="H1746" s="33">
        <f>IF(A1746="","",MONTH(A1746))</f>
        <v/>
      </c>
      <c r="I1746" s="33">
        <f>IF(A1746="","",YEAR(A1746))</f>
        <v/>
      </c>
    </row>
    <row r="1747" ht="15" customHeight="1" s="21">
      <c r="A1747" s="34" t="n"/>
      <c r="B1747" s="30" t="n"/>
      <c r="C1747" s="30" t="n"/>
      <c r="D1747" s="30" t="n"/>
      <c r="E1747" s="33">
        <f>IF(B1747="","",IFERROR(INDEX(Productos!$B$2:$B$501,MATCH(B1747,Productos!$A$2:$A$501,0)),"¿Código?"))</f>
        <v/>
      </c>
      <c r="F1747" s="32">
        <f>IF(C1747&lt;&gt;"Venta","",D1747*IFERROR(INDEX(Productos!$D$2:$D$501,MATCH(B1747,Productos!$A$2:$A$501,0)),0))</f>
        <v/>
      </c>
      <c r="G1747" s="32">
        <f>IF(C1747&lt;&gt;"Venta","",D1747*IFERROR(INDEX(Productos!$E$2:$E$501,MATCH(B1747,Productos!$A$2:$A$501,0)),0))</f>
        <v/>
      </c>
      <c r="H1747" s="33">
        <f>IF(A1747="","",MONTH(A1747))</f>
        <v/>
      </c>
      <c r="I1747" s="33">
        <f>IF(A1747="","",YEAR(A1747))</f>
        <v/>
      </c>
    </row>
    <row r="1748" ht="15" customHeight="1" s="21">
      <c r="A1748" s="34" t="n"/>
      <c r="B1748" s="30" t="n"/>
      <c r="C1748" s="30" t="n"/>
      <c r="D1748" s="30" t="n"/>
      <c r="E1748" s="33">
        <f>IF(B1748="","",IFERROR(INDEX(Productos!$B$2:$B$501,MATCH(B1748,Productos!$A$2:$A$501,0)),"¿Código?"))</f>
        <v/>
      </c>
      <c r="F1748" s="32">
        <f>IF(C1748&lt;&gt;"Venta","",D1748*IFERROR(INDEX(Productos!$D$2:$D$501,MATCH(B1748,Productos!$A$2:$A$501,0)),0))</f>
        <v/>
      </c>
      <c r="G1748" s="32">
        <f>IF(C1748&lt;&gt;"Venta","",D1748*IFERROR(INDEX(Productos!$E$2:$E$501,MATCH(B1748,Productos!$A$2:$A$501,0)),0))</f>
        <v/>
      </c>
      <c r="H1748" s="33">
        <f>IF(A1748="","",MONTH(A1748))</f>
        <v/>
      </c>
      <c r="I1748" s="33">
        <f>IF(A1748="","",YEAR(A1748))</f>
        <v/>
      </c>
    </row>
    <row r="1749" ht="15" customHeight="1" s="21">
      <c r="A1749" s="34" t="n"/>
      <c r="B1749" s="30" t="n"/>
      <c r="C1749" s="30" t="n"/>
      <c r="D1749" s="30" t="n"/>
      <c r="E1749" s="33">
        <f>IF(B1749="","",IFERROR(INDEX(Productos!$B$2:$B$501,MATCH(B1749,Productos!$A$2:$A$501,0)),"¿Código?"))</f>
        <v/>
      </c>
      <c r="F1749" s="32">
        <f>IF(C1749&lt;&gt;"Venta","",D1749*IFERROR(INDEX(Productos!$D$2:$D$501,MATCH(B1749,Productos!$A$2:$A$501,0)),0))</f>
        <v/>
      </c>
      <c r="G1749" s="32">
        <f>IF(C1749&lt;&gt;"Venta","",D1749*IFERROR(INDEX(Productos!$E$2:$E$501,MATCH(B1749,Productos!$A$2:$A$501,0)),0))</f>
        <v/>
      </c>
      <c r="H1749" s="33">
        <f>IF(A1749="","",MONTH(A1749))</f>
        <v/>
      </c>
      <c r="I1749" s="33">
        <f>IF(A1749="","",YEAR(A1749))</f>
        <v/>
      </c>
    </row>
    <row r="1750" ht="15" customHeight="1" s="21">
      <c r="A1750" s="34" t="n"/>
      <c r="B1750" s="30" t="n"/>
      <c r="C1750" s="30" t="n"/>
      <c r="D1750" s="30" t="n"/>
      <c r="E1750" s="33">
        <f>IF(B1750="","",IFERROR(INDEX(Productos!$B$2:$B$501,MATCH(B1750,Productos!$A$2:$A$501,0)),"¿Código?"))</f>
        <v/>
      </c>
      <c r="F1750" s="32">
        <f>IF(C1750&lt;&gt;"Venta","",D1750*IFERROR(INDEX(Productos!$D$2:$D$501,MATCH(B1750,Productos!$A$2:$A$501,0)),0))</f>
        <v/>
      </c>
      <c r="G1750" s="32">
        <f>IF(C1750&lt;&gt;"Venta","",D1750*IFERROR(INDEX(Productos!$E$2:$E$501,MATCH(B1750,Productos!$A$2:$A$501,0)),0))</f>
        <v/>
      </c>
      <c r="H1750" s="33">
        <f>IF(A1750="","",MONTH(A1750))</f>
        <v/>
      </c>
      <c r="I1750" s="33">
        <f>IF(A1750="","",YEAR(A1750))</f>
        <v/>
      </c>
    </row>
    <row r="1751" ht="15" customHeight="1" s="21">
      <c r="A1751" s="34" t="n"/>
      <c r="B1751" s="30" t="n"/>
      <c r="C1751" s="30" t="n"/>
      <c r="D1751" s="30" t="n"/>
      <c r="E1751" s="33">
        <f>IF(B1751="","",IFERROR(INDEX(Productos!$B$2:$B$501,MATCH(B1751,Productos!$A$2:$A$501,0)),"¿Código?"))</f>
        <v/>
      </c>
      <c r="F1751" s="32">
        <f>IF(C1751&lt;&gt;"Venta","",D1751*IFERROR(INDEX(Productos!$D$2:$D$501,MATCH(B1751,Productos!$A$2:$A$501,0)),0))</f>
        <v/>
      </c>
      <c r="G1751" s="32">
        <f>IF(C1751&lt;&gt;"Venta","",D1751*IFERROR(INDEX(Productos!$E$2:$E$501,MATCH(B1751,Productos!$A$2:$A$501,0)),0))</f>
        <v/>
      </c>
      <c r="H1751" s="33">
        <f>IF(A1751="","",MONTH(A1751))</f>
        <v/>
      </c>
      <c r="I1751" s="33">
        <f>IF(A1751="","",YEAR(A1751))</f>
        <v/>
      </c>
    </row>
    <row r="1752" ht="15" customHeight="1" s="21">
      <c r="A1752" s="34" t="n"/>
      <c r="B1752" s="30" t="n"/>
      <c r="C1752" s="30" t="n"/>
      <c r="D1752" s="30" t="n"/>
      <c r="E1752" s="33">
        <f>IF(B1752="","",IFERROR(INDEX(Productos!$B$2:$B$501,MATCH(B1752,Productos!$A$2:$A$501,0)),"¿Código?"))</f>
        <v/>
      </c>
      <c r="F1752" s="32">
        <f>IF(C1752&lt;&gt;"Venta","",D1752*IFERROR(INDEX(Productos!$D$2:$D$501,MATCH(B1752,Productos!$A$2:$A$501,0)),0))</f>
        <v/>
      </c>
      <c r="G1752" s="32">
        <f>IF(C1752&lt;&gt;"Venta","",D1752*IFERROR(INDEX(Productos!$E$2:$E$501,MATCH(B1752,Productos!$A$2:$A$501,0)),0))</f>
        <v/>
      </c>
      <c r="H1752" s="33">
        <f>IF(A1752="","",MONTH(A1752))</f>
        <v/>
      </c>
      <c r="I1752" s="33">
        <f>IF(A1752="","",YEAR(A1752))</f>
        <v/>
      </c>
    </row>
    <row r="1753" ht="15" customHeight="1" s="21">
      <c r="A1753" s="34" t="n"/>
      <c r="B1753" s="30" t="n"/>
      <c r="C1753" s="30" t="n"/>
      <c r="D1753" s="30" t="n"/>
      <c r="E1753" s="33">
        <f>IF(B1753="","",IFERROR(INDEX(Productos!$B$2:$B$501,MATCH(B1753,Productos!$A$2:$A$501,0)),"¿Código?"))</f>
        <v/>
      </c>
      <c r="F1753" s="32">
        <f>IF(C1753&lt;&gt;"Venta","",D1753*IFERROR(INDEX(Productos!$D$2:$D$501,MATCH(B1753,Productos!$A$2:$A$501,0)),0))</f>
        <v/>
      </c>
      <c r="G1753" s="32">
        <f>IF(C1753&lt;&gt;"Venta","",D1753*IFERROR(INDEX(Productos!$E$2:$E$501,MATCH(B1753,Productos!$A$2:$A$501,0)),0))</f>
        <v/>
      </c>
      <c r="H1753" s="33">
        <f>IF(A1753="","",MONTH(A1753))</f>
        <v/>
      </c>
      <c r="I1753" s="33">
        <f>IF(A1753="","",YEAR(A1753))</f>
        <v/>
      </c>
    </row>
    <row r="1754" ht="15" customHeight="1" s="21">
      <c r="A1754" s="34" t="n"/>
      <c r="B1754" s="30" t="n"/>
      <c r="C1754" s="30" t="n"/>
      <c r="D1754" s="30" t="n"/>
      <c r="E1754" s="33">
        <f>IF(B1754="","",IFERROR(INDEX(Productos!$B$2:$B$501,MATCH(B1754,Productos!$A$2:$A$501,0)),"¿Código?"))</f>
        <v/>
      </c>
      <c r="F1754" s="32">
        <f>IF(C1754&lt;&gt;"Venta","",D1754*IFERROR(INDEX(Productos!$D$2:$D$501,MATCH(B1754,Productos!$A$2:$A$501,0)),0))</f>
        <v/>
      </c>
      <c r="G1754" s="32">
        <f>IF(C1754&lt;&gt;"Venta","",D1754*IFERROR(INDEX(Productos!$E$2:$E$501,MATCH(B1754,Productos!$A$2:$A$501,0)),0))</f>
        <v/>
      </c>
      <c r="H1754" s="33">
        <f>IF(A1754="","",MONTH(A1754))</f>
        <v/>
      </c>
      <c r="I1754" s="33">
        <f>IF(A1754="","",YEAR(A1754))</f>
        <v/>
      </c>
    </row>
    <row r="1755" ht="15" customHeight="1" s="21">
      <c r="A1755" s="34" t="n"/>
      <c r="B1755" s="30" t="n"/>
      <c r="C1755" s="30" t="n"/>
      <c r="D1755" s="30" t="n"/>
      <c r="E1755" s="33">
        <f>IF(B1755="","",IFERROR(INDEX(Productos!$B$2:$B$501,MATCH(B1755,Productos!$A$2:$A$501,0)),"¿Código?"))</f>
        <v/>
      </c>
      <c r="F1755" s="32">
        <f>IF(C1755&lt;&gt;"Venta","",D1755*IFERROR(INDEX(Productos!$D$2:$D$501,MATCH(B1755,Productos!$A$2:$A$501,0)),0))</f>
        <v/>
      </c>
      <c r="G1755" s="32">
        <f>IF(C1755&lt;&gt;"Venta","",D1755*IFERROR(INDEX(Productos!$E$2:$E$501,MATCH(B1755,Productos!$A$2:$A$501,0)),0))</f>
        <v/>
      </c>
      <c r="H1755" s="33">
        <f>IF(A1755="","",MONTH(A1755))</f>
        <v/>
      </c>
      <c r="I1755" s="33">
        <f>IF(A1755="","",YEAR(A1755))</f>
        <v/>
      </c>
    </row>
    <row r="1756" ht="15" customHeight="1" s="21">
      <c r="A1756" s="34" t="n"/>
      <c r="B1756" s="30" t="n"/>
      <c r="C1756" s="30" t="n"/>
      <c r="D1756" s="30" t="n"/>
      <c r="E1756" s="33">
        <f>IF(B1756="","",IFERROR(INDEX(Productos!$B$2:$B$501,MATCH(B1756,Productos!$A$2:$A$501,0)),"¿Código?"))</f>
        <v/>
      </c>
      <c r="F1756" s="32">
        <f>IF(C1756&lt;&gt;"Venta","",D1756*IFERROR(INDEX(Productos!$D$2:$D$501,MATCH(B1756,Productos!$A$2:$A$501,0)),0))</f>
        <v/>
      </c>
      <c r="G1756" s="32">
        <f>IF(C1756&lt;&gt;"Venta","",D1756*IFERROR(INDEX(Productos!$E$2:$E$501,MATCH(B1756,Productos!$A$2:$A$501,0)),0))</f>
        <v/>
      </c>
      <c r="H1756" s="33">
        <f>IF(A1756="","",MONTH(A1756))</f>
        <v/>
      </c>
      <c r="I1756" s="33">
        <f>IF(A1756="","",YEAR(A1756))</f>
        <v/>
      </c>
    </row>
    <row r="1757" ht="15" customHeight="1" s="21">
      <c r="A1757" s="34" t="n"/>
      <c r="B1757" s="30" t="n"/>
      <c r="C1757" s="30" t="n"/>
      <c r="D1757" s="30" t="n"/>
      <c r="E1757" s="33">
        <f>IF(B1757="","",IFERROR(INDEX(Productos!$B$2:$B$501,MATCH(B1757,Productos!$A$2:$A$501,0)),"¿Código?"))</f>
        <v/>
      </c>
      <c r="F1757" s="32">
        <f>IF(C1757&lt;&gt;"Venta","",D1757*IFERROR(INDEX(Productos!$D$2:$D$501,MATCH(B1757,Productos!$A$2:$A$501,0)),0))</f>
        <v/>
      </c>
      <c r="G1757" s="32">
        <f>IF(C1757&lt;&gt;"Venta","",D1757*IFERROR(INDEX(Productos!$E$2:$E$501,MATCH(B1757,Productos!$A$2:$A$501,0)),0))</f>
        <v/>
      </c>
      <c r="H1757" s="33">
        <f>IF(A1757="","",MONTH(A1757))</f>
        <v/>
      </c>
      <c r="I1757" s="33">
        <f>IF(A1757="","",YEAR(A1757))</f>
        <v/>
      </c>
    </row>
    <row r="1758" ht="15" customHeight="1" s="21">
      <c r="A1758" s="34" t="n"/>
      <c r="B1758" s="30" t="n"/>
      <c r="C1758" s="30" t="n"/>
      <c r="D1758" s="30" t="n"/>
      <c r="E1758" s="33">
        <f>IF(B1758="","",IFERROR(INDEX(Productos!$B$2:$B$501,MATCH(B1758,Productos!$A$2:$A$501,0)),"¿Código?"))</f>
        <v/>
      </c>
      <c r="F1758" s="32">
        <f>IF(C1758&lt;&gt;"Venta","",D1758*IFERROR(INDEX(Productos!$D$2:$D$501,MATCH(B1758,Productos!$A$2:$A$501,0)),0))</f>
        <v/>
      </c>
      <c r="G1758" s="32">
        <f>IF(C1758&lt;&gt;"Venta","",D1758*IFERROR(INDEX(Productos!$E$2:$E$501,MATCH(B1758,Productos!$A$2:$A$501,0)),0))</f>
        <v/>
      </c>
      <c r="H1758" s="33">
        <f>IF(A1758="","",MONTH(A1758))</f>
        <v/>
      </c>
      <c r="I1758" s="33">
        <f>IF(A1758="","",YEAR(A1758))</f>
        <v/>
      </c>
    </row>
    <row r="1759" ht="15" customHeight="1" s="21">
      <c r="A1759" s="34" t="n"/>
      <c r="B1759" s="30" t="n"/>
      <c r="C1759" s="30" t="n"/>
      <c r="D1759" s="30" t="n"/>
      <c r="E1759" s="33">
        <f>IF(B1759="","",IFERROR(INDEX(Productos!$B$2:$B$501,MATCH(B1759,Productos!$A$2:$A$501,0)),"¿Código?"))</f>
        <v/>
      </c>
      <c r="F1759" s="32">
        <f>IF(C1759&lt;&gt;"Venta","",D1759*IFERROR(INDEX(Productos!$D$2:$D$501,MATCH(B1759,Productos!$A$2:$A$501,0)),0))</f>
        <v/>
      </c>
      <c r="G1759" s="32">
        <f>IF(C1759&lt;&gt;"Venta","",D1759*IFERROR(INDEX(Productos!$E$2:$E$501,MATCH(B1759,Productos!$A$2:$A$501,0)),0))</f>
        <v/>
      </c>
      <c r="H1759" s="33">
        <f>IF(A1759="","",MONTH(A1759))</f>
        <v/>
      </c>
      <c r="I1759" s="33">
        <f>IF(A1759="","",YEAR(A1759))</f>
        <v/>
      </c>
    </row>
    <row r="1760" ht="15" customHeight="1" s="21">
      <c r="A1760" s="34" t="n"/>
      <c r="B1760" s="30" t="n"/>
      <c r="C1760" s="30" t="n"/>
      <c r="D1760" s="30" t="n"/>
      <c r="E1760" s="33">
        <f>IF(B1760="","",IFERROR(INDEX(Productos!$B$2:$B$501,MATCH(B1760,Productos!$A$2:$A$501,0)),"¿Código?"))</f>
        <v/>
      </c>
      <c r="F1760" s="32">
        <f>IF(C1760&lt;&gt;"Venta","",D1760*IFERROR(INDEX(Productos!$D$2:$D$501,MATCH(B1760,Productos!$A$2:$A$501,0)),0))</f>
        <v/>
      </c>
      <c r="G1760" s="32">
        <f>IF(C1760&lt;&gt;"Venta","",D1760*IFERROR(INDEX(Productos!$E$2:$E$501,MATCH(B1760,Productos!$A$2:$A$501,0)),0))</f>
        <v/>
      </c>
      <c r="H1760" s="33">
        <f>IF(A1760="","",MONTH(A1760))</f>
        <v/>
      </c>
      <c r="I1760" s="33">
        <f>IF(A1760="","",YEAR(A1760))</f>
        <v/>
      </c>
    </row>
    <row r="1761" ht="15" customHeight="1" s="21">
      <c r="A1761" s="34" t="n"/>
      <c r="B1761" s="30" t="n"/>
      <c r="C1761" s="30" t="n"/>
      <c r="D1761" s="30" t="n"/>
      <c r="E1761" s="33">
        <f>IF(B1761="","",IFERROR(INDEX(Productos!$B$2:$B$501,MATCH(B1761,Productos!$A$2:$A$501,0)),"¿Código?"))</f>
        <v/>
      </c>
      <c r="F1761" s="32">
        <f>IF(C1761&lt;&gt;"Venta","",D1761*IFERROR(INDEX(Productos!$D$2:$D$501,MATCH(B1761,Productos!$A$2:$A$501,0)),0))</f>
        <v/>
      </c>
      <c r="G1761" s="32">
        <f>IF(C1761&lt;&gt;"Venta","",D1761*IFERROR(INDEX(Productos!$E$2:$E$501,MATCH(B1761,Productos!$A$2:$A$501,0)),0))</f>
        <v/>
      </c>
      <c r="H1761" s="33">
        <f>IF(A1761="","",MONTH(A1761))</f>
        <v/>
      </c>
      <c r="I1761" s="33">
        <f>IF(A1761="","",YEAR(A1761))</f>
        <v/>
      </c>
    </row>
    <row r="1762" ht="15" customHeight="1" s="21">
      <c r="A1762" s="34" t="n"/>
      <c r="B1762" s="30" t="n"/>
      <c r="C1762" s="30" t="n"/>
      <c r="D1762" s="30" t="n"/>
      <c r="E1762" s="33">
        <f>IF(B1762="","",IFERROR(INDEX(Productos!$B$2:$B$501,MATCH(B1762,Productos!$A$2:$A$501,0)),"¿Código?"))</f>
        <v/>
      </c>
      <c r="F1762" s="32">
        <f>IF(C1762&lt;&gt;"Venta","",D1762*IFERROR(INDEX(Productos!$D$2:$D$501,MATCH(B1762,Productos!$A$2:$A$501,0)),0))</f>
        <v/>
      </c>
      <c r="G1762" s="32">
        <f>IF(C1762&lt;&gt;"Venta","",D1762*IFERROR(INDEX(Productos!$E$2:$E$501,MATCH(B1762,Productos!$A$2:$A$501,0)),0))</f>
        <v/>
      </c>
      <c r="H1762" s="33">
        <f>IF(A1762="","",MONTH(A1762))</f>
        <v/>
      </c>
      <c r="I1762" s="33">
        <f>IF(A1762="","",YEAR(A1762))</f>
        <v/>
      </c>
    </row>
    <row r="1763" ht="15" customHeight="1" s="21">
      <c r="A1763" s="34" t="n"/>
      <c r="B1763" s="30" t="n"/>
      <c r="C1763" s="30" t="n"/>
      <c r="D1763" s="30" t="n"/>
      <c r="E1763" s="33">
        <f>IF(B1763="","",IFERROR(INDEX(Productos!$B$2:$B$501,MATCH(B1763,Productos!$A$2:$A$501,0)),"¿Código?"))</f>
        <v/>
      </c>
      <c r="F1763" s="32">
        <f>IF(C1763&lt;&gt;"Venta","",D1763*IFERROR(INDEX(Productos!$D$2:$D$501,MATCH(B1763,Productos!$A$2:$A$501,0)),0))</f>
        <v/>
      </c>
      <c r="G1763" s="32">
        <f>IF(C1763&lt;&gt;"Venta","",D1763*IFERROR(INDEX(Productos!$E$2:$E$501,MATCH(B1763,Productos!$A$2:$A$501,0)),0))</f>
        <v/>
      </c>
      <c r="H1763" s="33">
        <f>IF(A1763="","",MONTH(A1763))</f>
        <v/>
      </c>
      <c r="I1763" s="33">
        <f>IF(A1763="","",YEAR(A1763))</f>
        <v/>
      </c>
    </row>
    <row r="1764" ht="15" customHeight="1" s="21">
      <c r="A1764" s="34" t="n"/>
      <c r="B1764" s="30" t="n"/>
      <c r="C1764" s="30" t="n"/>
      <c r="D1764" s="30" t="n"/>
      <c r="E1764" s="33">
        <f>IF(B1764="","",IFERROR(INDEX(Productos!$B$2:$B$501,MATCH(B1764,Productos!$A$2:$A$501,0)),"¿Código?"))</f>
        <v/>
      </c>
      <c r="F1764" s="32">
        <f>IF(C1764&lt;&gt;"Venta","",D1764*IFERROR(INDEX(Productos!$D$2:$D$501,MATCH(B1764,Productos!$A$2:$A$501,0)),0))</f>
        <v/>
      </c>
      <c r="G1764" s="32">
        <f>IF(C1764&lt;&gt;"Venta","",D1764*IFERROR(INDEX(Productos!$E$2:$E$501,MATCH(B1764,Productos!$A$2:$A$501,0)),0))</f>
        <v/>
      </c>
      <c r="H1764" s="33">
        <f>IF(A1764="","",MONTH(A1764))</f>
        <v/>
      </c>
      <c r="I1764" s="33">
        <f>IF(A1764="","",YEAR(A1764))</f>
        <v/>
      </c>
    </row>
    <row r="1765" ht="15" customHeight="1" s="21">
      <c r="A1765" s="34" t="n"/>
      <c r="B1765" s="30" t="n"/>
      <c r="C1765" s="30" t="n"/>
      <c r="D1765" s="30" t="n"/>
      <c r="E1765" s="33">
        <f>IF(B1765="","",IFERROR(INDEX(Productos!$B$2:$B$501,MATCH(B1765,Productos!$A$2:$A$501,0)),"¿Código?"))</f>
        <v/>
      </c>
      <c r="F1765" s="32">
        <f>IF(C1765&lt;&gt;"Venta","",D1765*IFERROR(INDEX(Productos!$D$2:$D$501,MATCH(B1765,Productos!$A$2:$A$501,0)),0))</f>
        <v/>
      </c>
      <c r="G1765" s="32">
        <f>IF(C1765&lt;&gt;"Venta","",D1765*IFERROR(INDEX(Productos!$E$2:$E$501,MATCH(B1765,Productos!$A$2:$A$501,0)),0))</f>
        <v/>
      </c>
      <c r="H1765" s="33">
        <f>IF(A1765="","",MONTH(A1765))</f>
        <v/>
      </c>
      <c r="I1765" s="33">
        <f>IF(A1765="","",YEAR(A1765))</f>
        <v/>
      </c>
    </row>
    <row r="1766" ht="15" customHeight="1" s="21">
      <c r="A1766" s="34" t="n"/>
      <c r="B1766" s="30" t="n"/>
      <c r="C1766" s="30" t="n"/>
      <c r="D1766" s="30" t="n"/>
      <c r="E1766" s="33">
        <f>IF(B1766="","",IFERROR(INDEX(Productos!$B$2:$B$501,MATCH(B1766,Productos!$A$2:$A$501,0)),"¿Código?"))</f>
        <v/>
      </c>
      <c r="F1766" s="32">
        <f>IF(C1766&lt;&gt;"Venta","",D1766*IFERROR(INDEX(Productos!$D$2:$D$501,MATCH(B1766,Productos!$A$2:$A$501,0)),0))</f>
        <v/>
      </c>
      <c r="G1766" s="32">
        <f>IF(C1766&lt;&gt;"Venta","",D1766*IFERROR(INDEX(Productos!$E$2:$E$501,MATCH(B1766,Productos!$A$2:$A$501,0)),0))</f>
        <v/>
      </c>
      <c r="H1766" s="33">
        <f>IF(A1766="","",MONTH(A1766))</f>
        <v/>
      </c>
      <c r="I1766" s="33">
        <f>IF(A1766="","",YEAR(A1766))</f>
        <v/>
      </c>
    </row>
    <row r="1767" ht="15" customHeight="1" s="21">
      <c r="A1767" s="34" t="n"/>
      <c r="B1767" s="30" t="n"/>
      <c r="C1767" s="30" t="n"/>
      <c r="D1767" s="30" t="n"/>
      <c r="E1767" s="33">
        <f>IF(B1767="","",IFERROR(INDEX(Productos!$B$2:$B$501,MATCH(B1767,Productos!$A$2:$A$501,0)),"¿Código?"))</f>
        <v/>
      </c>
      <c r="F1767" s="32">
        <f>IF(C1767&lt;&gt;"Venta","",D1767*IFERROR(INDEX(Productos!$D$2:$D$501,MATCH(B1767,Productos!$A$2:$A$501,0)),0))</f>
        <v/>
      </c>
      <c r="G1767" s="32">
        <f>IF(C1767&lt;&gt;"Venta","",D1767*IFERROR(INDEX(Productos!$E$2:$E$501,MATCH(B1767,Productos!$A$2:$A$501,0)),0))</f>
        <v/>
      </c>
      <c r="H1767" s="33">
        <f>IF(A1767="","",MONTH(A1767))</f>
        <v/>
      </c>
      <c r="I1767" s="33">
        <f>IF(A1767="","",YEAR(A1767))</f>
        <v/>
      </c>
    </row>
    <row r="1768" ht="15" customHeight="1" s="21">
      <c r="A1768" s="34" t="n"/>
      <c r="B1768" s="30" t="n"/>
      <c r="C1768" s="30" t="n"/>
      <c r="D1768" s="30" t="n"/>
      <c r="E1768" s="33">
        <f>IF(B1768="","",IFERROR(INDEX(Productos!$B$2:$B$501,MATCH(B1768,Productos!$A$2:$A$501,0)),"¿Código?"))</f>
        <v/>
      </c>
      <c r="F1768" s="32">
        <f>IF(C1768&lt;&gt;"Venta","",D1768*IFERROR(INDEX(Productos!$D$2:$D$501,MATCH(B1768,Productos!$A$2:$A$501,0)),0))</f>
        <v/>
      </c>
      <c r="G1768" s="32">
        <f>IF(C1768&lt;&gt;"Venta","",D1768*IFERROR(INDEX(Productos!$E$2:$E$501,MATCH(B1768,Productos!$A$2:$A$501,0)),0))</f>
        <v/>
      </c>
      <c r="H1768" s="33">
        <f>IF(A1768="","",MONTH(A1768))</f>
        <v/>
      </c>
      <c r="I1768" s="33">
        <f>IF(A1768="","",YEAR(A1768))</f>
        <v/>
      </c>
    </row>
    <row r="1769" ht="15" customHeight="1" s="21">
      <c r="A1769" s="34" t="n"/>
      <c r="B1769" s="30" t="n"/>
      <c r="C1769" s="30" t="n"/>
      <c r="D1769" s="30" t="n"/>
      <c r="E1769" s="33">
        <f>IF(B1769="","",IFERROR(INDEX(Productos!$B$2:$B$501,MATCH(B1769,Productos!$A$2:$A$501,0)),"¿Código?"))</f>
        <v/>
      </c>
      <c r="F1769" s="32">
        <f>IF(C1769&lt;&gt;"Venta","",D1769*IFERROR(INDEX(Productos!$D$2:$D$501,MATCH(B1769,Productos!$A$2:$A$501,0)),0))</f>
        <v/>
      </c>
      <c r="G1769" s="32">
        <f>IF(C1769&lt;&gt;"Venta","",D1769*IFERROR(INDEX(Productos!$E$2:$E$501,MATCH(B1769,Productos!$A$2:$A$501,0)),0))</f>
        <v/>
      </c>
      <c r="H1769" s="33">
        <f>IF(A1769="","",MONTH(A1769))</f>
        <v/>
      </c>
      <c r="I1769" s="33">
        <f>IF(A1769="","",YEAR(A1769))</f>
        <v/>
      </c>
    </row>
    <row r="1770" ht="15" customHeight="1" s="21">
      <c r="A1770" s="34" t="n"/>
      <c r="B1770" s="30" t="n"/>
      <c r="C1770" s="30" t="n"/>
      <c r="D1770" s="30" t="n"/>
      <c r="E1770" s="33">
        <f>IF(B1770="","",IFERROR(INDEX(Productos!$B$2:$B$501,MATCH(B1770,Productos!$A$2:$A$501,0)),"¿Código?"))</f>
        <v/>
      </c>
      <c r="F1770" s="32">
        <f>IF(C1770&lt;&gt;"Venta","",D1770*IFERROR(INDEX(Productos!$D$2:$D$501,MATCH(B1770,Productos!$A$2:$A$501,0)),0))</f>
        <v/>
      </c>
      <c r="G1770" s="32">
        <f>IF(C1770&lt;&gt;"Venta","",D1770*IFERROR(INDEX(Productos!$E$2:$E$501,MATCH(B1770,Productos!$A$2:$A$501,0)),0))</f>
        <v/>
      </c>
      <c r="H1770" s="33">
        <f>IF(A1770="","",MONTH(A1770))</f>
        <v/>
      </c>
      <c r="I1770" s="33">
        <f>IF(A1770="","",YEAR(A1770))</f>
        <v/>
      </c>
    </row>
    <row r="1771" ht="15" customHeight="1" s="21">
      <c r="A1771" s="34" t="n"/>
      <c r="B1771" s="30" t="n"/>
      <c r="C1771" s="30" t="n"/>
      <c r="D1771" s="30" t="n"/>
      <c r="E1771" s="33">
        <f>IF(B1771="","",IFERROR(INDEX(Productos!$B$2:$B$501,MATCH(B1771,Productos!$A$2:$A$501,0)),"¿Código?"))</f>
        <v/>
      </c>
      <c r="F1771" s="32">
        <f>IF(C1771&lt;&gt;"Venta","",D1771*IFERROR(INDEX(Productos!$D$2:$D$501,MATCH(B1771,Productos!$A$2:$A$501,0)),0))</f>
        <v/>
      </c>
      <c r="G1771" s="32">
        <f>IF(C1771&lt;&gt;"Venta","",D1771*IFERROR(INDEX(Productos!$E$2:$E$501,MATCH(B1771,Productos!$A$2:$A$501,0)),0))</f>
        <v/>
      </c>
      <c r="H1771" s="33">
        <f>IF(A1771="","",MONTH(A1771))</f>
        <v/>
      </c>
      <c r="I1771" s="33">
        <f>IF(A1771="","",YEAR(A1771))</f>
        <v/>
      </c>
    </row>
    <row r="1772" ht="15" customHeight="1" s="21">
      <c r="A1772" s="34" t="n"/>
      <c r="B1772" s="30" t="n"/>
      <c r="C1772" s="30" t="n"/>
      <c r="D1772" s="30" t="n"/>
      <c r="E1772" s="33">
        <f>IF(B1772="","",IFERROR(INDEX(Productos!$B$2:$B$501,MATCH(B1772,Productos!$A$2:$A$501,0)),"¿Código?"))</f>
        <v/>
      </c>
      <c r="F1772" s="32">
        <f>IF(C1772&lt;&gt;"Venta","",D1772*IFERROR(INDEX(Productos!$D$2:$D$501,MATCH(B1772,Productos!$A$2:$A$501,0)),0))</f>
        <v/>
      </c>
      <c r="G1772" s="32">
        <f>IF(C1772&lt;&gt;"Venta","",D1772*IFERROR(INDEX(Productos!$E$2:$E$501,MATCH(B1772,Productos!$A$2:$A$501,0)),0))</f>
        <v/>
      </c>
      <c r="H1772" s="33">
        <f>IF(A1772="","",MONTH(A1772))</f>
        <v/>
      </c>
      <c r="I1772" s="33">
        <f>IF(A1772="","",YEAR(A1772))</f>
        <v/>
      </c>
    </row>
    <row r="1773" ht="15" customHeight="1" s="21">
      <c r="A1773" s="34" t="n"/>
      <c r="B1773" s="30" t="n"/>
      <c r="C1773" s="30" t="n"/>
      <c r="D1773" s="30" t="n"/>
      <c r="E1773" s="33">
        <f>IF(B1773="","",IFERROR(INDEX(Productos!$B$2:$B$501,MATCH(B1773,Productos!$A$2:$A$501,0)),"¿Código?"))</f>
        <v/>
      </c>
      <c r="F1773" s="32">
        <f>IF(C1773&lt;&gt;"Venta","",D1773*IFERROR(INDEX(Productos!$D$2:$D$501,MATCH(B1773,Productos!$A$2:$A$501,0)),0))</f>
        <v/>
      </c>
      <c r="G1773" s="32">
        <f>IF(C1773&lt;&gt;"Venta","",D1773*IFERROR(INDEX(Productos!$E$2:$E$501,MATCH(B1773,Productos!$A$2:$A$501,0)),0))</f>
        <v/>
      </c>
      <c r="H1773" s="33">
        <f>IF(A1773="","",MONTH(A1773))</f>
        <v/>
      </c>
      <c r="I1773" s="33">
        <f>IF(A1773="","",YEAR(A1773))</f>
        <v/>
      </c>
    </row>
    <row r="1774" ht="15" customHeight="1" s="21">
      <c r="A1774" s="34" t="n"/>
      <c r="B1774" s="30" t="n"/>
      <c r="C1774" s="30" t="n"/>
      <c r="D1774" s="30" t="n"/>
      <c r="E1774" s="33">
        <f>IF(B1774="","",IFERROR(INDEX(Productos!$B$2:$B$501,MATCH(B1774,Productos!$A$2:$A$501,0)),"¿Código?"))</f>
        <v/>
      </c>
      <c r="F1774" s="32">
        <f>IF(C1774&lt;&gt;"Venta","",D1774*IFERROR(INDEX(Productos!$D$2:$D$501,MATCH(B1774,Productos!$A$2:$A$501,0)),0))</f>
        <v/>
      </c>
      <c r="G1774" s="32">
        <f>IF(C1774&lt;&gt;"Venta","",D1774*IFERROR(INDEX(Productos!$E$2:$E$501,MATCH(B1774,Productos!$A$2:$A$501,0)),0))</f>
        <v/>
      </c>
      <c r="H1774" s="33">
        <f>IF(A1774="","",MONTH(A1774))</f>
        <v/>
      </c>
      <c r="I1774" s="33">
        <f>IF(A1774="","",YEAR(A1774))</f>
        <v/>
      </c>
    </row>
    <row r="1775" ht="15" customHeight="1" s="21">
      <c r="A1775" s="34" t="n"/>
      <c r="B1775" s="30" t="n"/>
      <c r="C1775" s="30" t="n"/>
      <c r="D1775" s="30" t="n"/>
      <c r="E1775" s="33">
        <f>IF(B1775="","",IFERROR(INDEX(Productos!$B$2:$B$501,MATCH(B1775,Productos!$A$2:$A$501,0)),"¿Código?"))</f>
        <v/>
      </c>
      <c r="F1775" s="32">
        <f>IF(C1775&lt;&gt;"Venta","",D1775*IFERROR(INDEX(Productos!$D$2:$D$501,MATCH(B1775,Productos!$A$2:$A$501,0)),0))</f>
        <v/>
      </c>
      <c r="G1775" s="32">
        <f>IF(C1775&lt;&gt;"Venta","",D1775*IFERROR(INDEX(Productos!$E$2:$E$501,MATCH(B1775,Productos!$A$2:$A$501,0)),0))</f>
        <v/>
      </c>
      <c r="H1775" s="33">
        <f>IF(A1775="","",MONTH(A1775))</f>
        <v/>
      </c>
      <c r="I1775" s="33">
        <f>IF(A1775="","",YEAR(A1775))</f>
        <v/>
      </c>
    </row>
    <row r="1776" ht="15" customHeight="1" s="21">
      <c r="A1776" s="34" t="n"/>
      <c r="B1776" s="30" t="n"/>
      <c r="C1776" s="30" t="n"/>
      <c r="D1776" s="30" t="n"/>
      <c r="E1776" s="33">
        <f>IF(B1776="","",IFERROR(INDEX(Productos!$B$2:$B$501,MATCH(B1776,Productos!$A$2:$A$501,0)),"¿Código?"))</f>
        <v/>
      </c>
      <c r="F1776" s="32">
        <f>IF(C1776&lt;&gt;"Venta","",D1776*IFERROR(INDEX(Productos!$D$2:$D$501,MATCH(B1776,Productos!$A$2:$A$501,0)),0))</f>
        <v/>
      </c>
      <c r="G1776" s="32">
        <f>IF(C1776&lt;&gt;"Venta","",D1776*IFERROR(INDEX(Productos!$E$2:$E$501,MATCH(B1776,Productos!$A$2:$A$501,0)),0))</f>
        <v/>
      </c>
      <c r="H1776" s="33">
        <f>IF(A1776="","",MONTH(A1776))</f>
        <v/>
      </c>
      <c r="I1776" s="33">
        <f>IF(A1776="","",YEAR(A1776))</f>
        <v/>
      </c>
    </row>
    <row r="1777" ht="15" customHeight="1" s="21">
      <c r="A1777" s="34" t="n"/>
      <c r="B1777" s="30" t="n"/>
      <c r="C1777" s="30" t="n"/>
      <c r="D1777" s="30" t="n"/>
      <c r="E1777" s="33">
        <f>IF(B1777="","",IFERROR(INDEX(Productos!$B$2:$B$501,MATCH(B1777,Productos!$A$2:$A$501,0)),"¿Código?"))</f>
        <v/>
      </c>
      <c r="F1777" s="32">
        <f>IF(C1777&lt;&gt;"Venta","",D1777*IFERROR(INDEX(Productos!$D$2:$D$501,MATCH(B1777,Productos!$A$2:$A$501,0)),0))</f>
        <v/>
      </c>
      <c r="G1777" s="32">
        <f>IF(C1777&lt;&gt;"Venta","",D1777*IFERROR(INDEX(Productos!$E$2:$E$501,MATCH(B1777,Productos!$A$2:$A$501,0)),0))</f>
        <v/>
      </c>
      <c r="H1777" s="33">
        <f>IF(A1777="","",MONTH(A1777))</f>
        <v/>
      </c>
      <c r="I1777" s="33">
        <f>IF(A1777="","",YEAR(A1777))</f>
        <v/>
      </c>
    </row>
    <row r="1778" ht="15" customHeight="1" s="21">
      <c r="A1778" s="34" t="n"/>
      <c r="B1778" s="30" t="n"/>
      <c r="C1778" s="30" t="n"/>
      <c r="D1778" s="30" t="n"/>
      <c r="E1778" s="33">
        <f>IF(B1778="","",IFERROR(INDEX(Productos!$B$2:$B$501,MATCH(B1778,Productos!$A$2:$A$501,0)),"¿Código?"))</f>
        <v/>
      </c>
      <c r="F1778" s="32">
        <f>IF(C1778&lt;&gt;"Venta","",D1778*IFERROR(INDEX(Productos!$D$2:$D$501,MATCH(B1778,Productos!$A$2:$A$501,0)),0))</f>
        <v/>
      </c>
      <c r="G1778" s="32">
        <f>IF(C1778&lt;&gt;"Venta","",D1778*IFERROR(INDEX(Productos!$E$2:$E$501,MATCH(B1778,Productos!$A$2:$A$501,0)),0))</f>
        <v/>
      </c>
      <c r="H1778" s="33">
        <f>IF(A1778="","",MONTH(A1778))</f>
        <v/>
      </c>
      <c r="I1778" s="33">
        <f>IF(A1778="","",YEAR(A1778))</f>
        <v/>
      </c>
    </row>
    <row r="1779" ht="15" customHeight="1" s="21">
      <c r="A1779" s="34" t="n"/>
      <c r="B1779" s="30" t="n"/>
      <c r="C1779" s="30" t="n"/>
      <c r="D1779" s="30" t="n"/>
      <c r="E1779" s="33">
        <f>IF(B1779="","",IFERROR(INDEX(Productos!$B$2:$B$501,MATCH(B1779,Productos!$A$2:$A$501,0)),"¿Código?"))</f>
        <v/>
      </c>
      <c r="F1779" s="32">
        <f>IF(C1779&lt;&gt;"Venta","",D1779*IFERROR(INDEX(Productos!$D$2:$D$501,MATCH(B1779,Productos!$A$2:$A$501,0)),0))</f>
        <v/>
      </c>
      <c r="G1779" s="32">
        <f>IF(C1779&lt;&gt;"Venta","",D1779*IFERROR(INDEX(Productos!$E$2:$E$501,MATCH(B1779,Productos!$A$2:$A$501,0)),0))</f>
        <v/>
      </c>
      <c r="H1779" s="33">
        <f>IF(A1779="","",MONTH(A1779))</f>
        <v/>
      </c>
      <c r="I1779" s="33">
        <f>IF(A1779="","",YEAR(A1779))</f>
        <v/>
      </c>
    </row>
    <row r="1780" ht="15" customHeight="1" s="21">
      <c r="A1780" s="34" t="n"/>
      <c r="B1780" s="30" t="n"/>
      <c r="C1780" s="30" t="n"/>
      <c r="D1780" s="30" t="n"/>
      <c r="E1780" s="33">
        <f>IF(B1780="","",IFERROR(INDEX(Productos!$B$2:$B$501,MATCH(B1780,Productos!$A$2:$A$501,0)),"¿Código?"))</f>
        <v/>
      </c>
      <c r="F1780" s="32">
        <f>IF(C1780&lt;&gt;"Venta","",D1780*IFERROR(INDEX(Productos!$D$2:$D$501,MATCH(B1780,Productos!$A$2:$A$501,0)),0))</f>
        <v/>
      </c>
      <c r="G1780" s="32">
        <f>IF(C1780&lt;&gt;"Venta","",D1780*IFERROR(INDEX(Productos!$E$2:$E$501,MATCH(B1780,Productos!$A$2:$A$501,0)),0))</f>
        <v/>
      </c>
      <c r="H1780" s="33">
        <f>IF(A1780="","",MONTH(A1780))</f>
        <v/>
      </c>
      <c r="I1780" s="33">
        <f>IF(A1780="","",YEAR(A1780))</f>
        <v/>
      </c>
    </row>
    <row r="1781" ht="15" customHeight="1" s="21">
      <c r="A1781" s="34" t="n"/>
      <c r="B1781" s="30" t="n"/>
      <c r="C1781" s="30" t="n"/>
      <c r="D1781" s="30" t="n"/>
      <c r="E1781" s="33">
        <f>IF(B1781="","",IFERROR(INDEX(Productos!$B$2:$B$501,MATCH(B1781,Productos!$A$2:$A$501,0)),"¿Código?"))</f>
        <v/>
      </c>
      <c r="F1781" s="32">
        <f>IF(C1781&lt;&gt;"Venta","",D1781*IFERROR(INDEX(Productos!$D$2:$D$501,MATCH(B1781,Productos!$A$2:$A$501,0)),0))</f>
        <v/>
      </c>
      <c r="G1781" s="32">
        <f>IF(C1781&lt;&gt;"Venta","",D1781*IFERROR(INDEX(Productos!$E$2:$E$501,MATCH(B1781,Productos!$A$2:$A$501,0)),0))</f>
        <v/>
      </c>
      <c r="H1781" s="33">
        <f>IF(A1781="","",MONTH(A1781))</f>
        <v/>
      </c>
      <c r="I1781" s="33">
        <f>IF(A1781="","",YEAR(A1781))</f>
        <v/>
      </c>
    </row>
    <row r="1782" ht="15" customHeight="1" s="21">
      <c r="A1782" s="34" t="n"/>
      <c r="B1782" s="30" t="n"/>
      <c r="C1782" s="30" t="n"/>
      <c r="D1782" s="30" t="n"/>
      <c r="E1782" s="33">
        <f>IF(B1782="","",IFERROR(INDEX(Productos!$B$2:$B$501,MATCH(B1782,Productos!$A$2:$A$501,0)),"¿Código?"))</f>
        <v/>
      </c>
      <c r="F1782" s="32">
        <f>IF(C1782&lt;&gt;"Venta","",D1782*IFERROR(INDEX(Productos!$D$2:$D$501,MATCH(B1782,Productos!$A$2:$A$501,0)),0))</f>
        <v/>
      </c>
      <c r="G1782" s="32">
        <f>IF(C1782&lt;&gt;"Venta","",D1782*IFERROR(INDEX(Productos!$E$2:$E$501,MATCH(B1782,Productos!$A$2:$A$501,0)),0))</f>
        <v/>
      </c>
      <c r="H1782" s="33">
        <f>IF(A1782="","",MONTH(A1782))</f>
        <v/>
      </c>
      <c r="I1782" s="33">
        <f>IF(A1782="","",YEAR(A1782))</f>
        <v/>
      </c>
    </row>
    <row r="1783" ht="15" customHeight="1" s="21">
      <c r="A1783" s="34" t="n"/>
      <c r="B1783" s="30" t="n"/>
      <c r="C1783" s="30" t="n"/>
      <c r="D1783" s="30" t="n"/>
      <c r="E1783" s="33">
        <f>IF(B1783="","",IFERROR(INDEX(Productos!$B$2:$B$501,MATCH(B1783,Productos!$A$2:$A$501,0)),"¿Código?"))</f>
        <v/>
      </c>
      <c r="F1783" s="32">
        <f>IF(C1783&lt;&gt;"Venta","",D1783*IFERROR(INDEX(Productos!$D$2:$D$501,MATCH(B1783,Productos!$A$2:$A$501,0)),0))</f>
        <v/>
      </c>
      <c r="G1783" s="32">
        <f>IF(C1783&lt;&gt;"Venta","",D1783*IFERROR(INDEX(Productos!$E$2:$E$501,MATCH(B1783,Productos!$A$2:$A$501,0)),0))</f>
        <v/>
      </c>
      <c r="H1783" s="33">
        <f>IF(A1783="","",MONTH(A1783))</f>
        <v/>
      </c>
      <c r="I1783" s="33">
        <f>IF(A1783="","",YEAR(A1783))</f>
        <v/>
      </c>
    </row>
    <row r="1784" ht="15" customHeight="1" s="21">
      <c r="A1784" s="34" t="n"/>
      <c r="B1784" s="30" t="n"/>
      <c r="C1784" s="30" t="n"/>
      <c r="D1784" s="30" t="n"/>
      <c r="E1784" s="33">
        <f>IF(B1784="","",IFERROR(INDEX(Productos!$B$2:$B$501,MATCH(B1784,Productos!$A$2:$A$501,0)),"¿Código?"))</f>
        <v/>
      </c>
      <c r="F1784" s="32">
        <f>IF(C1784&lt;&gt;"Venta","",D1784*IFERROR(INDEX(Productos!$D$2:$D$501,MATCH(B1784,Productos!$A$2:$A$501,0)),0))</f>
        <v/>
      </c>
      <c r="G1784" s="32">
        <f>IF(C1784&lt;&gt;"Venta","",D1784*IFERROR(INDEX(Productos!$E$2:$E$501,MATCH(B1784,Productos!$A$2:$A$501,0)),0))</f>
        <v/>
      </c>
      <c r="H1784" s="33">
        <f>IF(A1784="","",MONTH(A1784))</f>
        <v/>
      </c>
      <c r="I1784" s="33">
        <f>IF(A1784="","",YEAR(A1784))</f>
        <v/>
      </c>
    </row>
    <row r="1785" ht="15" customHeight="1" s="21">
      <c r="A1785" s="34" t="n"/>
      <c r="B1785" s="30" t="n"/>
      <c r="C1785" s="30" t="n"/>
      <c r="D1785" s="30" t="n"/>
      <c r="E1785" s="33">
        <f>IF(B1785="","",IFERROR(INDEX(Productos!$B$2:$B$501,MATCH(B1785,Productos!$A$2:$A$501,0)),"¿Código?"))</f>
        <v/>
      </c>
      <c r="F1785" s="32">
        <f>IF(C1785&lt;&gt;"Venta","",D1785*IFERROR(INDEX(Productos!$D$2:$D$501,MATCH(B1785,Productos!$A$2:$A$501,0)),0))</f>
        <v/>
      </c>
      <c r="G1785" s="32">
        <f>IF(C1785&lt;&gt;"Venta","",D1785*IFERROR(INDEX(Productos!$E$2:$E$501,MATCH(B1785,Productos!$A$2:$A$501,0)),0))</f>
        <v/>
      </c>
      <c r="H1785" s="33">
        <f>IF(A1785="","",MONTH(A1785))</f>
        <v/>
      </c>
      <c r="I1785" s="33">
        <f>IF(A1785="","",YEAR(A1785))</f>
        <v/>
      </c>
    </row>
    <row r="1786" ht="15" customHeight="1" s="21">
      <c r="A1786" s="34" t="n"/>
      <c r="B1786" s="30" t="n"/>
      <c r="C1786" s="30" t="n"/>
      <c r="D1786" s="30" t="n"/>
      <c r="E1786" s="33">
        <f>IF(B1786="","",IFERROR(INDEX(Productos!$B$2:$B$501,MATCH(B1786,Productos!$A$2:$A$501,0)),"¿Código?"))</f>
        <v/>
      </c>
      <c r="F1786" s="32">
        <f>IF(C1786&lt;&gt;"Venta","",D1786*IFERROR(INDEX(Productos!$D$2:$D$501,MATCH(B1786,Productos!$A$2:$A$501,0)),0))</f>
        <v/>
      </c>
      <c r="G1786" s="32">
        <f>IF(C1786&lt;&gt;"Venta","",D1786*IFERROR(INDEX(Productos!$E$2:$E$501,MATCH(B1786,Productos!$A$2:$A$501,0)),0))</f>
        <v/>
      </c>
      <c r="H1786" s="33">
        <f>IF(A1786="","",MONTH(A1786))</f>
        <v/>
      </c>
      <c r="I1786" s="33">
        <f>IF(A1786="","",YEAR(A1786))</f>
        <v/>
      </c>
    </row>
    <row r="1787" ht="15" customHeight="1" s="21">
      <c r="A1787" s="34" t="n"/>
      <c r="B1787" s="30" t="n"/>
      <c r="C1787" s="30" t="n"/>
      <c r="D1787" s="30" t="n"/>
      <c r="E1787" s="33">
        <f>IF(B1787="","",IFERROR(INDEX(Productos!$B$2:$B$501,MATCH(B1787,Productos!$A$2:$A$501,0)),"¿Código?"))</f>
        <v/>
      </c>
      <c r="F1787" s="32">
        <f>IF(C1787&lt;&gt;"Venta","",D1787*IFERROR(INDEX(Productos!$D$2:$D$501,MATCH(B1787,Productos!$A$2:$A$501,0)),0))</f>
        <v/>
      </c>
      <c r="G1787" s="32">
        <f>IF(C1787&lt;&gt;"Venta","",D1787*IFERROR(INDEX(Productos!$E$2:$E$501,MATCH(B1787,Productos!$A$2:$A$501,0)),0))</f>
        <v/>
      </c>
      <c r="H1787" s="33">
        <f>IF(A1787="","",MONTH(A1787))</f>
        <v/>
      </c>
      <c r="I1787" s="33">
        <f>IF(A1787="","",YEAR(A1787))</f>
        <v/>
      </c>
    </row>
    <row r="1788" ht="15" customHeight="1" s="21">
      <c r="A1788" s="34" t="n"/>
      <c r="B1788" s="30" t="n"/>
      <c r="C1788" s="30" t="n"/>
      <c r="D1788" s="30" t="n"/>
      <c r="E1788" s="33">
        <f>IF(B1788="","",IFERROR(INDEX(Productos!$B$2:$B$501,MATCH(B1788,Productos!$A$2:$A$501,0)),"¿Código?"))</f>
        <v/>
      </c>
      <c r="F1788" s="32">
        <f>IF(C1788&lt;&gt;"Venta","",D1788*IFERROR(INDEX(Productos!$D$2:$D$501,MATCH(B1788,Productos!$A$2:$A$501,0)),0))</f>
        <v/>
      </c>
      <c r="G1788" s="32">
        <f>IF(C1788&lt;&gt;"Venta","",D1788*IFERROR(INDEX(Productos!$E$2:$E$501,MATCH(B1788,Productos!$A$2:$A$501,0)),0))</f>
        <v/>
      </c>
      <c r="H1788" s="33">
        <f>IF(A1788="","",MONTH(A1788))</f>
        <v/>
      </c>
      <c r="I1788" s="33">
        <f>IF(A1788="","",YEAR(A1788))</f>
        <v/>
      </c>
    </row>
    <row r="1789" ht="15" customHeight="1" s="21">
      <c r="A1789" s="34" t="n"/>
      <c r="B1789" s="30" t="n"/>
      <c r="C1789" s="30" t="n"/>
      <c r="D1789" s="30" t="n"/>
      <c r="E1789" s="33">
        <f>IF(B1789="","",IFERROR(INDEX(Productos!$B$2:$B$501,MATCH(B1789,Productos!$A$2:$A$501,0)),"¿Código?"))</f>
        <v/>
      </c>
      <c r="F1789" s="32">
        <f>IF(C1789&lt;&gt;"Venta","",D1789*IFERROR(INDEX(Productos!$D$2:$D$501,MATCH(B1789,Productos!$A$2:$A$501,0)),0))</f>
        <v/>
      </c>
      <c r="G1789" s="32">
        <f>IF(C1789&lt;&gt;"Venta","",D1789*IFERROR(INDEX(Productos!$E$2:$E$501,MATCH(B1789,Productos!$A$2:$A$501,0)),0))</f>
        <v/>
      </c>
      <c r="H1789" s="33">
        <f>IF(A1789="","",MONTH(A1789))</f>
        <v/>
      </c>
      <c r="I1789" s="33">
        <f>IF(A1789="","",YEAR(A1789))</f>
        <v/>
      </c>
    </row>
    <row r="1790" ht="15" customHeight="1" s="21">
      <c r="A1790" s="34" t="n"/>
      <c r="B1790" s="30" t="n"/>
      <c r="C1790" s="30" t="n"/>
      <c r="D1790" s="30" t="n"/>
      <c r="E1790" s="33">
        <f>IF(B1790="","",IFERROR(INDEX(Productos!$B$2:$B$501,MATCH(B1790,Productos!$A$2:$A$501,0)),"¿Código?"))</f>
        <v/>
      </c>
      <c r="F1790" s="32">
        <f>IF(C1790&lt;&gt;"Venta","",D1790*IFERROR(INDEX(Productos!$D$2:$D$501,MATCH(B1790,Productos!$A$2:$A$501,0)),0))</f>
        <v/>
      </c>
      <c r="G1790" s="32">
        <f>IF(C1790&lt;&gt;"Venta","",D1790*IFERROR(INDEX(Productos!$E$2:$E$501,MATCH(B1790,Productos!$A$2:$A$501,0)),0))</f>
        <v/>
      </c>
      <c r="H1790" s="33">
        <f>IF(A1790="","",MONTH(A1790))</f>
        <v/>
      </c>
      <c r="I1790" s="33">
        <f>IF(A1790="","",YEAR(A1790))</f>
        <v/>
      </c>
    </row>
    <row r="1791" ht="15" customHeight="1" s="21">
      <c r="A1791" s="34" t="n"/>
      <c r="B1791" s="30" t="n"/>
      <c r="C1791" s="30" t="n"/>
      <c r="D1791" s="30" t="n"/>
      <c r="E1791" s="33">
        <f>IF(B1791="","",IFERROR(INDEX(Productos!$B$2:$B$501,MATCH(B1791,Productos!$A$2:$A$501,0)),"¿Código?"))</f>
        <v/>
      </c>
      <c r="F1791" s="32">
        <f>IF(C1791&lt;&gt;"Venta","",D1791*IFERROR(INDEX(Productos!$D$2:$D$501,MATCH(B1791,Productos!$A$2:$A$501,0)),0))</f>
        <v/>
      </c>
      <c r="G1791" s="32">
        <f>IF(C1791&lt;&gt;"Venta","",D1791*IFERROR(INDEX(Productos!$E$2:$E$501,MATCH(B1791,Productos!$A$2:$A$501,0)),0))</f>
        <v/>
      </c>
      <c r="H1791" s="33">
        <f>IF(A1791="","",MONTH(A1791))</f>
        <v/>
      </c>
      <c r="I1791" s="33">
        <f>IF(A1791="","",YEAR(A1791))</f>
        <v/>
      </c>
    </row>
    <row r="1792" ht="15" customHeight="1" s="21">
      <c r="A1792" s="34" t="n"/>
      <c r="B1792" s="30" t="n"/>
      <c r="C1792" s="30" t="n"/>
      <c r="D1792" s="30" t="n"/>
      <c r="E1792" s="33">
        <f>IF(B1792="","",IFERROR(INDEX(Productos!$B$2:$B$501,MATCH(B1792,Productos!$A$2:$A$501,0)),"¿Código?"))</f>
        <v/>
      </c>
      <c r="F1792" s="32">
        <f>IF(C1792&lt;&gt;"Venta","",D1792*IFERROR(INDEX(Productos!$D$2:$D$501,MATCH(B1792,Productos!$A$2:$A$501,0)),0))</f>
        <v/>
      </c>
      <c r="G1792" s="32">
        <f>IF(C1792&lt;&gt;"Venta","",D1792*IFERROR(INDEX(Productos!$E$2:$E$501,MATCH(B1792,Productos!$A$2:$A$501,0)),0))</f>
        <v/>
      </c>
      <c r="H1792" s="33">
        <f>IF(A1792="","",MONTH(A1792))</f>
        <v/>
      </c>
      <c r="I1792" s="33">
        <f>IF(A1792="","",YEAR(A1792))</f>
        <v/>
      </c>
    </row>
    <row r="1793" ht="15" customHeight="1" s="21">
      <c r="A1793" s="34" t="n"/>
      <c r="B1793" s="30" t="n"/>
      <c r="C1793" s="30" t="n"/>
      <c r="D1793" s="30" t="n"/>
      <c r="E1793" s="33">
        <f>IF(B1793="","",IFERROR(INDEX(Productos!$B$2:$B$501,MATCH(B1793,Productos!$A$2:$A$501,0)),"¿Código?"))</f>
        <v/>
      </c>
      <c r="F1793" s="32">
        <f>IF(C1793&lt;&gt;"Venta","",D1793*IFERROR(INDEX(Productos!$D$2:$D$501,MATCH(B1793,Productos!$A$2:$A$501,0)),0))</f>
        <v/>
      </c>
      <c r="G1793" s="32">
        <f>IF(C1793&lt;&gt;"Venta","",D1793*IFERROR(INDEX(Productos!$E$2:$E$501,MATCH(B1793,Productos!$A$2:$A$501,0)),0))</f>
        <v/>
      </c>
      <c r="H1793" s="33">
        <f>IF(A1793="","",MONTH(A1793))</f>
        <v/>
      </c>
      <c r="I1793" s="33">
        <f>IF(A1793="","",YEAR(A1793))</f>
        <v/>
      </c>
    </row>
    <row r="1794" ht="15" customHeight="1" s="21">
      <c r="A1794" s="34" t="n"/>
      <c r="B1794" s="30" t="n"/>
      <c r="C1794" s="30" t="n"/>
      <c r="D1794" s="30" t="n"/>
      <c r="E1794" s="33">
        <f>IF(B1794="","",IFERROR(INDEX(Productos!$B$2:$B$501,MATCH(B1794,Productos!$A$2:$A$501,0)),"¿Código?"))</f>
        <v/>
      </c>
      <c r="F1794" s="32">
        <f>IF(C1794&lt;&gt;"Venta","",D1794*IFERROR(INDEX(Productos!$D$2:$D$501,MATCH(B1794,Productos!$A$2:$A$501,0)),0))</f>
        <v/>
      </c>
      <c r="G1794" s="32">
        <f>IF(C1794&lt;&gt;"Venta","",D1794*IFERROR(INDEX(Productos!$E$2:$E$501,MATCH(B1794,Productos!$A$2:$A$501,0)),0))</f>
        <v/>
      </c>
      <c r="H1794" s="33">
        <f>IF(A1794="","",MONTH(A1794))</f>
        <v/>
      </c>
      <c r="I1794" s="33">
        <f>IF(A1794="","",YEAR(A1794))</f>
        <v/>
      </c>
    </row>
    <row r="1795" ht="15" customHeight="1" s="21">
      <c r="A1795" s="34" t="n"/>
      <c r="B1795" s="30" t="n"/>
      <c r="C1795" s="30" t="n"/>
      <c r="D1795" s="30" t="n"/>
      <c r="E1795" s="33">
        <f>IF(B1795="","",IFERROR(INDEX(Productos!$B$2:$B$501,MATCH(B1795,Productos!$A$2:$A$501,0)),"¿Código?"))</f>
        <v/>
      </c>
      <c r="F1795" s="32">
        <f>IF(C1795&lt;&gt;"Venta","",D1795*IFERROR(INDEX(Productos!$D$2:$D$501,MATCH(B1795,Productos!$A$2:$A$501,0)),0))</f>
        <v/>
      </c>
      <c r="G1795" s="32">
        <f>IF(C1795&lt;&gt;"Venta","",D1795*IFERROR(INDEX(Productos!$E$2:$E$501,MATCH(B1795,Productos!$A$2:$A$501,0)),0))</f>
        <v/>
      </c>
      <c r="H1795" s="33">
        <f>IF(A1795="","",MONTH(A1795))</f>
        <v/>
      </c>
      <c r="I1795" s="33">
        <f>IF(A1795="","",YEAR(A1795))</f>
        <v/>
      </c>
    </row>
    <row r="1796" ht="15" customHeight="1" s="21">
      <c r="A1796" s="34" t="n"/>
      <c r="B1796" s="30" t="n"/>
      <c r="C1796" s="30" t="n"/>
      <c r="D1796" s="30" t="n"/>
      <c r="E1796" s="33">
        <f>IF(B1796="","",IFERROR(INDEX(Productos!$B$2:$B$501,MATCH(B1796,Productos!$A$2:$A$501,0)),"¿Código?"))</f>
        <v/>
      </c>
      <c r="F1796" s="32">
        <f>IF(C1796&lt;&gt;"Venta","",D1796*IFERROR(INDEX(Productos!$D$2:$D$501,MATCH(B1796,Productos!$A$2:$A$501,0)),0))</f>
        <v/>
      </c>
      <c r="G1796" s="32">
        <f>IF(C1796&lt;&gt;"Venta","",D1796*IFERROR(INDEX(Productos!$E$2:$E$501,MATCH(B1796,Productos!$A$2:$A$501,0)),0))</f>
        <v/>
      </c>
      <c r="H1796" s="33">
        <f>IF(A1796="","",MONTH(A1796))</f>
        <v/>
      </c>
      <c r="I1796" s="33">
        <f>IF(A1796="","",YEAR(A1796))</f>
        <v/>
      </c>
    </row>
    <row r="1797" ht="15" customHeight="1" s="21">
      <c r="A1797" s="34" t="n"/>
      <c r="B1797" s="30" t="n"/>
      <c r="C1797" s="30" t="n"/>
      <c r="D1797" s="30" t="n"/>
      <c r="E1797" s="33">
        <f>IF(B1797="","",IFERROR(INDEX(Productos!$B$2:$B$501,MATCH(B1797,Productos!$A$2:$A$501,0)),"¿Código?"))</f>
        <v/>
      </c>
      <c r="F1797" s="32">
        <f>IF(C1797&lt;&gt;"Venta","",D1797*IFERROR(INDEX(Productos!$D$2:$D$501,MATCH(B1797,Productos!$A$2:$A$501,0)),0))</f>
        <v/>
      </c>
      <c r="G1797" s="32">
        <f>IF(C1797&lt;&gt;"Venta","",D1797*IFERROR(INDEX(Productos!$E$2:$E$501,MATCH(B1797,Productos!$A$2:$A$501,0)),0))</f>
        <v/>
      </c>
      <c r="H1797" s="33">
        <f>IF(A1797="","",MONTH(A1797))</f>
        <v/>
      </c>
      <c r="I1797" s="33">
        <f>IF(A1797="","",YEAR(A1797))</f>
        <v/>
      </c>
    </row>
    <row r="1798" ht="15" customHeight="1" s="21">
      <c r="A1798" s="34" t="n"/>
      <c r="B1798" s="30" t="n"/>
      <c r="C1798" s="30" t="n"/>
      <c r="D1798" s="30" t="n"/>
      <c r="E1798" s="33">
        <f>IF(B1798="","",IFERROR(INDEX(Productos!$B$2:$B$501,MATCH(B1798,Productos!$A$2:$A$501,0)),"¿Código?"))</f>
        <v/>
      </c>
      <c r="F1798" s="32">
        <f>IF(C1798&lt;&gt;"Venta","",D1798*IFERROR(INDEX(Productos!$D$2:$D$501,MATCH(B1798,Productos!$A$2:$A$501,0)),0))</f>
        <v/>
      </c>
      <c r="G1798" s="32">
        <f>IF(C1798&lt;&gt;"Venta","",D1798*IFERROR(INDEX(Productos!$E$2:$E$501,MATCH(B1798,Productos!$A$2:$A$501,0)),0))</f>
        <v/>
      </c>
      <c r="H1798" s="33">
        <f>IF(A1798="","",MONTH(A1798))</f>
        <v/>
      </c>
      <c r="I1798" s="33">
        <f>IF(A1798="","",YEAR(A1798))</f>
        <v/>
      </c>
    </row>
    <row r="1799" ht="15" customHeight="1" s="21">
      <c r="A1799" s="34" t="n"/>
      <c r="B1799" s="30" t="n"/>
      <c r="C1799" s="30" t="n"/>
      <c r="D1799" s="30" t="n"/>
      <c r="E1799" s="33">
        <f>IF(B1799="","",IFERROR(INDEX(Productos!$B$2:$B$501,MATCH(B1799,Productos!$A$2:$A$501,0)),"¿Código?"))</f>
        <v/>
      </c>
      <c r="F1799" s="32">
        <f>IF(C1799&lt;&gt;"Venta","",D1799*IFERROR(INDEX(Productos!$D$2:$D$501,MATCH(B1799,Productos!$A$2:$A$501,0)),0))</f>
        <v/>
      </c>
      <c r="G1799" s="32">
        <f>IF(C1799&lt;&gt;"Venta","",D1799*IFERROR(INDEX(Productos!$E$2:$E$501,MATCH(B1799,Productos!$A$2:$A$501,0)),0))</f>
        <v/>
      </c>
      <c r="H1799" s="33">
        <f>IF(A1799="","",MONTH(A1799))</f>
        <v/>
      </c>
      <c r="I1799" s="33">
        <f>IF(A1799="","",YEAR(A1799))</f>
        <v/>
      </c>
    </row>
    <row r="1800" ht="15" customHeight="1" s="21">
      <c r="A1800" s="34" t="n"/>
      <c r="B1800" s="30" t="n"/>
      <c r="C1800" s="30" t="n"/>
      <c r="D1800" s="30" t="n"/>
      <c r="E1800" s="33">
        <f>IF(B1800="","",IFERROR(INDEX(Productos!$B$2:$B$501,MATCH(B1800,Productos!$A$2:$A$501,0)),"¿Código?"))</f>
        <v/>
      </c>
      <c r="F1800" s="32">
        <f>IF(C1800&lt;&gt;"Venta","",D1800*IFERROR(INDEX(Productos!$D$2:$D$501,MATCH(B1800,Productos!$A$2:$A$501,0)),0))</f>
        <v/>
      </c>
      <c r="G1800" s="32">
        <f>IF(C1800&lt;&gt;"Venta","",D1800*IFERROR(INDEX(Productos!$E$2:$E$501,MATCH(B1800,Productos!$A$2:$A$501,0)),0))</f>
        <v/>
      </c>
      <c r="H1800" s="33">
        <f>IF(A1800="","",MONTH(A1800))</f>
        <v/>
      </c>
      <c r="I1800" s="33">
        <f>IF(A1800="","",YEAR(A1800))</f>
        <v/>
      </c>
    </row>
    <row r="1801" ht="15" customHeight="1" s="21">
      <c r="A1801" s="34" t="n"/>
      <c r="B1801" s="30" t="n"/>
      <c r="C1801" s="30" t="n"/>
      <c r="D1801" s="30" t="n"/>
      <c r="E1801" s="33">
        <f>IF(B1801="","",IFERROR(INDEX(Productos!$B$2:$B$501,MATCH(B1801,Productos!$A$2:$A$501,0)),"¿Código?"))</f>
        <v/>
      </c>
      <c r="F1801" s="32">
        <f>IF(C1801&lt;&gt;"Venta","",D1801*IFERROR(INDEX(Productos!$D$2:$D$501,MATCH(B1801,Productos!$A$2:$A$501,0)),0))</f>
        <v/>
      </c>
      <c r="G1801" s="32">
        <f>IF(C1801&lt;&gt;"Venta","",D1801*IFERROR(INDEX(Productos!$E$2:$E$501,MATCH(B1801,Productos!$A$2:$A$501,0)),0))</f>
        <v/>
      </c>
      <c r="H1801" s="33">
        <f>IF(A1801="","",MONTH(A1801))</f>
        <v/>
      </c>
      <c r="I1801" s="33">
        <f>IF(A1801="","",YEAR(A1801))</f>
        <v/>
      </c>
    </row>
    <row r="1802" ht="15" customHeight="1" s="21">
      <c r="A1802" s="34" t="n"/>
      <c r="B1802" s="30" t="n"/>
      <c r="C1802" s="30" t="n"/>
      <c r="D1802" s="30" t="n"/>
      <c r="E1802" s="33">
        <f>IF(B1802="","",IFERROR(INDEX(Productos!$B$2:$B$501,MATCH(B1802,Productos!$A$2:$A$501,0)),"¿Código?"))</f>
        <v/>
      </c>
      <c r="F1802" s="32">
        <f>IF(C1802&lt;&gt;"Venta","",D1802*IFERROR(INDEX(Productos!$D$2:$D$501,MATCH(B1802,Productos!$A$2:$A$501,0)),0))</f>
        <v/>
      </c>
      <c r="G1802" s="32">
        <f>IF(C1802&lt;&gt;"Venta","",D1802*IFERROR(INDEX(Productos!$E$2:$E$501,MATCH(B1802,Productos!$A$2:$A$501,0)),0))</f>
        <v/>
      </c>
      <c r="H1802" s="33">
        <f>IF(A1802="","",MONTH(A1802))</f>
        <v/>
      </c>
      <c r="I1802" s="33">
        <f>IF(A1802="","",YEAR(A1802))</f>
        <v/>
      </c>
    </row>
    <row r="1803" ht="15" customHeight="1" s="21">
      <c r="A1803" s="34" t="n"/>
      <c r="B1803" s="30" t="n"/>
      <c r="C1803" s="30" t="n"/>
      <c r="D1803" s="30" t="n"/>
      <c r="E1803" s="33">
        <f>IF(B1803="","",IFERROR(INDEX(Productos!$B$2:$B$501,MATCH(B1803,Productos!$A$2:$A$501,0)),"¿Código?"))</f>
        <v/>
      </c>
      <c r="F1803" s="32">
        <f>IF(C1803&lt;&gt;"Venta","",D1803*IFERROR(INDEX(Productos!$D$2:$D$501,MATCH(B1803,Productos!$A$2:$A$501,0)),0))</f>
        <v/>
      </c>
      <c r="G1803" s="32">
        <f>IF(C1803&lt;&gt;"Venta","",D1803*IFERROR(INDEX(Productos!$E$2:$E$501,MATCH(B1803,Productos!$A$2:$A$501,0)),0))</f>
        <v/>
      </c>
      <c r="H1803" s="33">
        <f>IF(A1803="","",MONTH(A1803))</f>
        <v/>
      </c>
      <c r="I1803" s="33">
        <f>IF(A1803="","",YEAR(A1803))</f>
        <v/>
      </c>
    </row>
    <row r="1804" ht="15" customHeight="1" s="21">
      <c r="A1804" s="34" t="n"/>
      <c r="B1804" s="30" t="n"/>
      <c r="C1804" s="30" t="n"/>
      <c r="D1804" s="30" t="n"/>
      <c r="E1804" s="33">
        <f>IF(B1804="","",IFERROR(INDEX(Productos!$B$2:$B$501,MATCH(B1804,Productos!$A$2:$A$501,0)),"¿Código?"))</f>
        <v/>
      </c>
      <c r="F1804" s="32">
        <f>IF(C1804&lt;&gt;"Venta","",D1804*IFERROR(INDEX(Productos!$D$2:$D$501,MATCH(B1804,Productos!$A$2:$A$501,0)),0))</f>
        <v/>
      </c>
      <c r="G1804" s="32">
        <f>IF(C1804&lt;&gt;"Venta","",D1804*IFERROR(INDEX(Productos!$E$2:$E$501,MATCH(B1804,Productos!$A$2:$A$501,0)),0))</f>
        <v/>
      </c>
      <c r="H1804" s="33">
        <f>IF(A1804="","",MONTH(A1804))</f>
        <v/>
      </c>
      <c r="I1804" s="33">
        <f>IF(A1804="","",YEAR(A1804))</f>
        <v/>
      </c>
    </row>
    <row r="1805" ht="15" customHeight="1" s="21">
      <c r="A1805" s="34" t="n"/>
      <c r="B1805" s="30" t="n"/>
      <c r="C1805" s="30" t="n"/>
      <c r="D1805" s="30" t="n"/>
      <c r="E1805" s="33">
        <f>IF(B1805="","",IFERROR(INDEX(Productos!$B$2:$B$501,MATCH(B1805,Productos!$A$2:$A$501,0)),"¿Código?"))</f>
        <v/>
      </c>
      <c r="F1805" s="32">
        <f>IF(C1805&lt;&gt;"Venta","",D1805*IFERROR(INDEX(Productos!$D$2:$D$501,MATCH(B1805,Productos!$A$2:$A$501,0)),0))</f>
        <v/>
      </c>
      <c r="G1805" s="32">
        <f>IF(C1805&lt;&gt;"Venta","",D1805*IFERROR(INDEX(Productos!$E$2:$E$501,MATCH(B1805,Productos!$A$2:$A$501,0)),0))</f>
        <v/>
      </c>
      <c r="H1805" s="33">
        <f>IF(A1805="","",MONTH(A1805))</f>
        <v/>
      </c>
      <c r="I1805" s="33">
        <f>IF(A1805="","",YEAR(A1805))</f>
        <v/>
      </c>
    </row>
    <row r="1806" ht="15" customHeight="1" s="21">
      <c r="A1806" s="34" t="n"/>
      <c r="B1806" s="30" t="n"/>
      <c r="C1806" s="30" t="n"/>
      <c r="D1806" s="30" t="n"/>
      <c r="E1806" s="33">
        <f>IF(B1806="","",IFERROR(INDEX(Productos!$B$2:$B$501,MATCH(B1806,Productos!$A$2:$A$501,0)),"¿Código?"))</f>
        <v/>
      </c>
      <c r="F1806" s="32">
        <f>IF(C1806&lt;&gt;"Venta","",D1806*IFERROR(INDEX(Productos!$D$2:$D$501,MATCH(B1806,Productos!$A$2:$A$501,0)),0))</f>
        <v/>
      </c>
      <c r="G1806" s="32">
        <f>IF(C1806&lt;&gt;"Venta","",D1806*IFERROR(INDEX(Productos!$E$2:$E$501,MATCH(B1806,Productos!$A$2:$A$501,0)),0))</f>
        <v/>
      </c>
      <c r="H1806" s="33">
        <f>IF(A1806="","",MONTH(A1806))</f>
        <v/>
      </c>
      <c r="I1806" s="33">
        <f>IF(A1806="","",YEAR(A1806))</f>
        <v/>
      </c>
    </row>
    <row r="1807" ht="15" customHeight="1" s="21">
      <c r="A1807" s="34" t="n"/>
      <c r="B1807" s="30" t="n"/>
      <c r="C1807" s="30" t="n"/>
      <c r="D1807" s="30" t="n"/>
      <c r="E1807" s="33">
        <f>IF(B1807="","",IFERROR(INDEX(Productos!$B$2:$B$501,MATCH(B1807,Productos!$A$2:$A$501,0)),"¿Código?"))</f>
        <v/>
      </c>
      <c r="F1807" s="32">
        <f>IF(C1807&lt;&gt;"Venta","",D1807*IFERROR(INDEX(Productos!$D$2:$D$501,MATCH(B1807,Productos!$A$2:$A$501,0)),0))</f>
        <v/>
      </c>
      <c r="G1807" s="32">
        <f>IF(C1807&lt;&gt;"Venta","",D1807*IFERROR(INDEX(Productos!$E$2:$E$501,MATCH(B1807,Productos!$A$2:$A$501,0)),0))</f>
        <v/>
      </c>
      <c r="H1807" s="33">
        <f>IF(A1807="","",MONTH(A1807))</f>
        <v/>
      </c>
      <c r="I1807" s="33">
        <f>IF(A1807="","",YEAR(A1807))</f>
        <v/>
      </c>
    </row>
    <row r="1808" ht="15" customHeight="1" s="21">
      <c r="A1808" s="34" t="n"/>
      <c r="B1808" s="30" t="n"/>
      <c r="C1808" s="30" t="n"/>
      <c r="D1808" s="30" t="n"/>
      <c r="E1808" s="33">
        <f>IF(B1808="","",IFERROR(INDEX(Productos!$B$2:$B$501,MATCH(B1808,Productos!$A$2:$A$501,0)),"¿Código?"))</f>
        <v/>
      </c>
      <c r="F1808" s="32">
        <f>IF(C1808&lt;&gt;"Venta","",D1808*IFERROR(INDEX(Productos!$D$2:$D$501,MATCH(B1808,Productos!$A$2:$A$501,0)),0))</f>
        <v/>
      </c>
      <c r="G1808" s="32">
        <f>IF(C1808&lt;&gt;"Venta","",D1808*IFERROR(INDEX(Productos!$E$2:$E$501,MATCH(B1808,Productos!$A$2:$A$501,0)),0))</f>
        <v/>
      </c>
      <c r="H1808" s="33">
        <f>IF(A1808="","",MONTH(A1808))</f>
        <v/>
      </c>
      <c r="I1808" s="33">
        <f>IF(A1808="","",YEAR(A1808))</f>
        <v/>
      </c>
    </row>
    <row r="1809" ht="15" customHeight="1" s="21">
      <c r="A1809" s="34" t="n"/>
      <c r="B1809" s="30" t="n"/>
      <c r="C1809" s="30" t="n"/>
      <c r="D1809" s="30" t="n"/>
      <c r="E1809" s="33">
        <f>IF(B1809="","",IFERROR(INDEX(Productos!$B$2:$B$501,MATCH(B1809,Productos!$A$2:$A$501,0)),"¿Código?"))</f>
        <v/>
      </c>
      <c r="F1809" s="32">
        <f>IF(C1809&lt;&gt;"Venta","",D1809*IFERROR(INDEX(Productos!$D$2:$D$501,MATCH(B1809,Productos!$A$2:$A$501,0)),0))</f>
        <v/>
      </c>
      <c r="G1809" s="32">
        <f>IF(C1809&lt;&gt;"Venta","",D1809*IFERROR(INDEX(Productos!$E$2:$E$501,MATCH(B1809,Productos!$A$2:$A$501,0)),0))</f>
        <v/>
      </c>
      <c r="H1809" s="33">
        <f>IF(A1809="","",MONTH(A1809))</f>
        <v/>
      </c>
      <c r="I1809" s="33">
        <f>IF(A1809="","",YEAR(A1809))</f>
        <v/>
      </c>
    </row>
    <row r="1810" ht="15" customHeight="1" s="21">
      <c r="A1810" s="34" t="n"/>
      <c r="B1810" s="30" t="n"/>
      <c r="C1810" s="30" t="n"/>
      <c r="D1810" s="30" t="n"/>
      <c r="E1810" s="33">
        <f>IF(B1810="","",IFERROR(INDEX(Productos!$B$2:$B$501,MATCH(B1810,Productos!$A$2:$A$501,0)),"¿Código?"))</f>
        <v/>
      </c>
      <c r="F1810" s="32">
        <f>IF(C1810&lt;&gt;"Venta","",D1810*IFERROR(INDEX(Productos!$D$2:$D$501,MATCH(B1810,Productos!$A$2:$A$501,0)),0))</f>
        <v/>
      </c>
      <c r="G1810" s="32">
        <f>IF(C1810&lt;&gt;"Venta","",D1810*IFERROR(INDEX(Productos!$E$2:$E$501,MATCH(B1810,Productos!$A$2:$A$501,0)),0))</f>
        <v/>
      </c>
      <c r="H1810" s="33">
        <f>IF(A1810="","",MONTH(A1810))</f>
        <v/>
      </c>
      <c r="I1810" s="33">
        <f>IF(A1810="","",YEAR(A1810))</f>
        <v/>
      </c>
    </row>
    <row r="1811" ht="15" customHeight="1" s="21">
      <c r="A1811" s="34" t="n"/>
      <c r="B1811" s="30" t="n"/>
      <c r="C1811" s="30" t="n"/>
      <c r="D1811" s="30" t="n"/>
      <c r="E1811" s="33">
        <f>IF(B1811="","",IFERROR(INDEX(Productos!$B$2:$B$501,MATCH(B1811,Productos!$A$2:$A$501,0)),"¿Código?"))</f>
        <v/>
      </c>
      <c r="F1811" s="32">
        <f>IF(C1811&lt;&gt;"Venta","",D1811*IFERROR(INDEX(Productos!$D$2:$D$501,MATCH(B1811,Productos!$A$2:$A$501,0)),0))</f>
        <v/>
      </c>
      <c r="G1811" s="32">
        <f>IF(C1811&lt;&gt;"Venta","",D1811*IFERROR(INDEX(Productos!$E$2:$E$501,MATCH(B1811,Productos!$A$2:$A$501,0)),0))</f>
        <v/>
      </c>
      <c r="H1811" s="33">
        <f>IF(A1811="","",MONTH(A1811))</f>
        <v/>
      </c>
      <c r="I1811" s="33">
        <f>IF(A1811="","",YEAR(A1811))</f>
        <v/>
      </c>
    </row>
    <row r="1812" ht="15" customHeight="1" s="21">
      <c r="A1812" s="34" t="n"/>
      <c r="B1812" s="30" t="n"/>
      <c r="C1812" s="30" t="n"/>
      <c r="D1812" s="30" t="n"/>
      <c r="E1812" s="33">
        <f>IF(B1812="","",IFERROR(INDEX(Productos!$B$2:$B$501,MATCH(B1812,Productos!$A$2:$A$501,0)),"¿Código?"))</f>
        <v/>
      </c>
      <c r="F1812" s="32">
        <f>IF(C1812&lt;&gt;"Venta","",D1812*IFERROR(INDEX(Productos!$D$2:$D$501,MATCH(B1812,Productos!$A$2:$A$501,0)),0))</f>
        <v/>
      </c>
      <c r="G1812" s="32">
        <f>IF(C1812&lt;&gt;"Venta","",D1812*IFERROR(INDEX(Productos!$E$2:$E$501,MATCH(B1812,Productos!$A$2:$A$501,0)),0))</f>
        <v/>
      </c>
      <c r="H1812" s="33">
        <f>IF(A1812="","",MONTH(A1812))</f>
        <v/>
      </c>
      <c r="I1812" s="33">
        <f>IF(A1812="","",YEAR(A1812))</f>
        <v/>
      </c>
    </row>
    <row r="1813" ht="15" customHeight="1" s="21">
      <c r="A1813" s="34" t="n"/>
      <c r="B1813" s="30" t="n"/>
      <c r="C1813" s="30" t="n"/>
      <c r="D1813" s="30" t="n"/>
      <c r="E1813" s="33">
        <f>IF(B1813="","",IFERROR(INDEX(Productos!$B$2:$B$501,MATCH(B1813,Productos!$A$2:$A$501,0)),"¿Código?"))</f>
        <v/>
      </c>
      <c r="F1813" s="32">
        <f>IF(C1813&lt;&gt;"Venta","",D1813*IFERROR(INDEX(Productos!$D$2:$D$501,MATCH(B1813,Productos!$A$2:$A$501,0)),0))</f>
        <v/>
      </c>
      <c r="G1813" s="32">
        <f>IF(C1813&lt;&gt;"Venta","",D1813*IFERROR(INDEX(Productos!$E$2:$E$501,MATCH(B1813,Productos!$A$2:$A$501,0)),0))</f>
        <v/>
      </c>
      <c r="H1813" s="33">
        <f>IF(A1813="","",MONTH(A1813))</f>
        <v/>
      </c>
      <c r="I1813" s="33">
        <f>IF(A1813="","",YEAR(A1813))</f>
        <v/>
      </c>
    </row>
    <row r="1814" ht="15" customHeight="1" s="21">
      <c r="A1814" s="34" t="n"/>
      <c r="B1814" s="30" t="n"/>
      <c r="C1814" s="30" t="n"/>
      <c r="D1814" s="30" t="n"/>
      <c r="E1814" s="33">
        <f>IF(B1814="","",IFERROR(INDEX(Productos!$B$2:$B$501,MATCH(B1814,Productos!$A$2:$A$501,0)),"¿Código?"))</f>
        <v/>
      </c>
      <c r="F1814" s="32">
        <f>IF(C1814&lt;&gt;"Venta","",D1814*IFERROR(INDEX(Productos!$D$2:$D$501,MATCH(B1814,Productos!$A$2:$A$501,0)),0))</f>
        <v/>
      </c>
      <c r="G1814" s="32">
        <f>IF(C1814&lt;&gt;"Venta","",D1814*IFERROR(INDEX(Productos!$E$2:$E$501,MATCH(B1814,Productos!$A$2:$A$501,0)),0))</f>
        <v/>
      </c>
      <c r="H1814" s="33">
        <f>IF(A1814="","",MONTH(A1814))</f>
        <v/>
      </c>
      <c r="I1814" s="33">
        <f>IF(A1814="","",YEAR(A1814))</f>
        <v/>
      </c>
    </row>
    <row r="1815" ht="15" customHeight="1" s="21">
      <c r="A1815" s="34" t="n"/>
      <c r="B1815" s="30" t="n"/>
      <c r="C1815" s="30" t="n"/>
      <c r="D1815" s="30" t="n"/>
      <c r="E1815" s="33">
        <f>IF(B1815="","",IFERROR(INDEX(Productos!$B$2:$B$501,MATCH(B1815,Productos!$A$2:$A$501,0)),"¿Código?"))</f>
        <v/>
      </c>
      <c r="F1815" s="32">
        <f>IF(C1815&lt;&gt;"Venta","",D1815*IFERROR(INDEX(Productos!$D$2:$D$501,MATCH(B1815,Productos!$A$2:$A$501,0)),0))</f>
        <v/>
      </c>
      <c r="G1815" s="32">
        <f>IF(C1815&lt;&gt;"Venta","",D1815*IFERROR(INDEX(Productos!$E$2:$E$501,MATCH(B1815,Productos!$A$2:$A$501,0)),0))</f>
        <v/>
      </c>
      <c r="H1815" s="33">
        <f>IF(A1815="","",MONTH(A1815))</f>
        <v/>
      </c>
      <c r="I1815" s="33">
        <f>IF(A1815="","",YEAR(A1815))</f>
        <v/>
      </c>
    </row>
    <row r="1816" ht="15" customHeight="1" s="21">
      <c r="A1816" s="34" t="n"/>
      <c r="B1816" s="30" t="n"/>
      <c r="C1816" s="30" t="n"/>
      <c r="D1816" s="30" t="n"/>
      <c r="E1816" s="33">
        <f>IF(B1816="","",IFERROR(INDEX(Productos!$B$2:$B$501,MATCH(B1816,Productos!$A$2:$A$501,0)),"¿Código?"))</f>
        <v/>
      </c>
      <c r="F1816" s="32">
        <f>IF(C1816&lt;&gt;"Venta","",D1816*IFERROR(INDEX(Productos!$D$2:$D$501,MATCH(B1816,Productos!$A$2:$A$501,0)),0))</f>
        <v/>
      </c>
      <c r="G1816" s="32">
        <f>IF(C1816&lt;&gt;"Venta","",D1816*IFERROR(INDEX(Productos!$E$2:$E$501,MATCH(B1816,Productos!$A$2:$A$501,0)),0))</f>
        <v/>
      </c>
      <c r="H1816" s="33">
        <f>IF(A1816="","",MONTH(A1816))</f>
        <v/>
      </c>
      <c r="I1816" s="33">
        <f>IF(A1816="","",YEAR(A1816))</f>
        <v/>
      </c>
    </row>
    <row r="1817" ht="15" customHeight="1" s="21">
      <c r="A1817" s="34" t="n"/>
      <c r="B1817" s="30" t="n"/>
      <c r="C1817" s="30" t="n"/>
      <c r="D1817" s="30" t="n"/>
      <c r="E1817" s="33">
        <f>IF(B1817="","",IFERROR(INDEX(Productos!$B$2:$B$501,MATCH(B1817,Productos!$A$2:$A$501,0)),"¿Código?"))</f>
        <v/>
      </c>
      <c r="F1817" s="32">
        <f>IF(C1817&lt;&gt;"Venta","",D1817*IFERROR(INDEX(Productos!$D$2:$D$501,MATCH(B1817,Productos!$A$2:$A$501,0)),0))</f>
        <v/>
      </c>
      <c r="G1817" s="32">
        <f>IF(C1817&lt;&gt;"Venta","",D1817*IFERROR(INDEX(Productos!$E$2:$E$501,MATCH(B1817,Productos!$A$2:$A$501,0)),0))</f>
        <v/>
      </c>
      <c r="H1817" s="33">
        <f>IF(A1817="","",MONTH(A1817))</f>
        <v/>
      </c>
      <c r="I1817" s="33">
        <f>IF(A1817="","",YEAR(A1817))</f>
        <v/>
      </c>
    </row>
    <row r="1818" ht="15" customHeight="1" s="21">
      <c r="A1818" s="34" t="n"/>
      <c r="B1818" s="30" t="n"/>
      <c r="C1818" s="30" t="n"/>
      <c r="D1818" s="30" t="n"/>
      <c r="E1818" s="33">
        <f>IF(B1818="","",IFERROR(INDEX(Productos!$B$2:$B$501,MATCH(B1818,Productos!$A$2:$A$501,0)),"¿Código?"))</f>
        <v/>
      </c>
      <c r="F1818" s="32">
        <f>IF(C1818&lt;&gt;"Venta","",D1818*IFERROR(INDEX(Productos!$D$2:$D$501,MATCH(B1818,Productos!$A$2:$A$501,0)),0))</f>
        <v/>
      </c>
      <c r="G1818" s="32">
        <f>IF(C1818&lt;&gt;"Venta","",D1818*IFERROR(INDEX(Productos!$E$2:$E$501,MATCH(B1818,Productos!$A$2:$A$501,0)),0))</f>
        <v/>
      </c>
      <c r="H1818" s="33">
        <f>IF(A1818="","",MONTH(A1818))</f>
        <v/>
      </c>
      <c r="I1818" s="33">
        <f>IF(A1818="","",YEAR(A1818))</f>
        <v/>
      </c>
    </row>
    <row r="1819" ht="15" customHeight="1" s="21">
      <c r="A1819" s="34" t="n"/>
      <c r="B1819" s="30" t="n"/>
      <c r="C1819" s="30" t="n"/>
      <c r="D1819" s="30" t="n"/>
      <c r="E1819" s="33">
        <f>IF(B1819="","",IFERROR(INDEX(Productos!$B$2:$B$501,MATCH(B1819,Productos!$A$2:$A$501,0)),"¿Código?"))</f>
        <v/>
      </c>
      <c r="F1819" s="32">
        <f>IF(C1819&lt;&gt;"Venta","",D1819*IFERROR(INDEX(Productos!$D$2:$D$501,MATCH(B1819,Productos!$A$2:$A$501,0)),0))</f>
        <v/>
      </c>
      <c r="G1819" s="32">
        <f>IF(C1819&lt;&gt;"Venta","",D1819*IFERROR(INDEX(Productos!$E$2:$E$501,MATCH(B1819,Productos!$A$2:$A$501,0)),0))</f>
        <v/>
      </c>
      <c r="H1819" s="33">
        <f>IF(A1819="","",MONTH(A1819))</f>
        <v/>
      </c>
      <c r="I1819" s="33">
        <f>IF(A1819="","",YEAR(A1819))</f>
        <v/>
      </c>
    </row>
    <row r="1820" ht="15" customHeight="1" s="21">
      <c r="A1820" s="34" t="n"/>
      <c r="B1820" s="30" t="n"/>
      <c r="C1820" s="30" t="n"/>
      <c r="D1820" s="30" t="n"/>
      <c r="E1820" s="33">
        <f>IF(B1820="","",IFERROR(INDEX(Productos!$B$2:$B$501,MATCH(B1820,Productos!$A$2:$A$501,0)),"¿Código?"))</f>
        <v/>
      </c>
      <c r="F1820" s="32">
        <f>IF(C1820&lt;&gt;"Venta","",D1820*IFERROR(INDEX(Productos!$D$2:$D$501,MATCH(B1820,Productos!$A$2:$A$501,0)),0))</f>
        <v/>
      </c>
      <c r="G1820" s="32">
        <f>IF(C1820&lt;&gt;"Venta","",D1820*IFERROR(INDEX(Productos!$E$2:$E$501,MATCH(B1820,Productos!$A$2:$A$501,0)),0))</f>
        <v/>
      </c>
      <c r="H1820" s="33">
        <f>IF(A1820="","",MONTH(A1820))</f>
        <v/>
      </c>
      <c r="I1820" s="33">
        <f>IF(A1820="","",YEAR(A1820))</f>
        <v/>
      </c>
    </row>
    <row r="1821" ht="15" customHeight="1" s="21">
      <c r="A1821" s="34" t="n"/>
      <c r="B1821" s="30" t="n"/>
      <c r="C1821" s="30" t="n"/>
      <c r="D1821" s="30" t="n"/>
      <c r="E1821" s="33">
        <f>IF(B1821="","",IFERROR(INDEX(Productos!$B$2:$B$501,MATCH(B1821,Productos!$A$2:$A$501,0)),"¿Código?"))</f>
        <v/>
      </c>
      <c r="F1821" s="32">
        <f>IF(C1821&lt;&gt;"Venta","",D1821*IFERROR(INDEX(Productos!$D$2:$D$501,MATCH(B1821,Productos!$A$2:$A$501,0)),0))</f>
        <v/>
      </c>
      <c r="G1821" s="32">
        <f>IF(C1821&lt;&gt;"Venta","",D1821*IFERROR(INDEX(Productos!$E$2:$E$501,MATCH(B1821,Productos!$A$2:$A$501,0)),0))</f>
        <v/>
      </c>
      <c r="H1821" s="33">
        <f>IF(A1821="","",MONTH(A1821))</f>
        <v/>
      </c>
      <c r="I1821" s="33">
        <f>IF(A1821="","",YEAR(A1821))</f>
        <v/>
      </c>
    </row>
    <row r="1822" ht="15" customHeight="1" s="21">
      <c r="A1822" s="34" t="n"/>
      <c r="B1822" s="30" t="n"/>
      <c r="C1822" s="30" t="n"/>
      <c r="D1822" s="30" t="n"/>
      <c r="E1822" s="33">
        <f>IF(B1822="","",IFERROR(INDEX(Productos!$B$2:$B$501,MATCH(B1822,Productos!$A$2:$A$501,0)),"¿Código?"))</f>
        <v/>
      </c>
      <c r="F1822" s="32">
        <f>IF(C1822&lt;&gt;"Venta","",D1822*IFERROR(INDEX(Productos!$D$2:$D$501,MATCH(B1822,Productos!$A$2:$A$501,0)),0))</f>
        <v/>
      </c>
      <c r="G1822" s="32">
        <f>IF(C1822&lt;&gt;"Venta","",D1822*IFERROR(INDEX(Productos!$E$2:$E$501,MATCH(B1822,Productos!$A$2:$A$501,0)),0))</f>
        <v/>
      </c>
      <c r="H1822" s="33">
        <f>IF(A1822="","",MONTH(A1822))</f>
        <v/>
      </c>
      <c r="I1822" s="33">
        <f>IF(A1822="","",YEAR(A1822))</f>
        <v/>
      </c>
    </row>
    <row r="1823" ht="15" customHeight="1" s="21">
      <c r="A1823" s="34" t="n"/>
      <c r="B1823" s="30" t="n"/>
      <c r="C1823" s="30" t="n"/>
      <c r="D1823" s="30" t="n"/>
      <c r="E1823" s="33">
        <f>IF(B1823="","",IFERROR(INDEX(Productos!$B$2:$B$501,MATCH(B1823,Productos!$A$2:$A$501,0)),"¿Código?"))</f>
        <v/>
      </c>
      <c r="F1823" s="32">
        <f>IF(C1823&lt;&gt;"Venta","",D1823*IFERROR(INDEX(Productos!$D$2:$D$501,MATCH(B1823,Productos!$A$2:$A$501,0)),0))</f>
        <v/>
      </c>
      <c r="G1823" s="32">
        <f>IF(C1823&lt;&gt;"Venta","",D1823*IFERROR(INDEX(Productos!$E$2:$E$501,MATCH(B1823,Productos!$A$2:$A$501,0)),0))</f>
        <v/>
      </c>
      <c r="H1823" s="33">
        <f>IF(A1823="","",MONTH(A1823))</f>
        <v/>
      </c>
      <c r="I1823" s="33">
        <f>IF(A1823="","",YEAR(A1823))</f>
        <v/>
      </c>
    </row>
    <row r="1824" ht="15" customHeight="1" s="21">
      <c r="A1824" s="34" t="n"/>
      <c r="B1824" s="30" t="n"/>
      <c r="C1824" s="30" t="n"/>
      <c r="D1824" s="30" t="n"/>
      <c r="E1824" s="33">
        <f>IF(B1824="","",IFERROR(INDEX(Productos!$B$2:$B$501,MATCH(B1824,Productos!$A$2:$A$501,0)),"¿Código?"))</f>
        <v/>
      </c>
      <c r="F1824" s="32">
        <f>IF(C1824&lt;&gt;"Venta","",D1824*IFERROR(INDEX(Productos!$D$2:$D$501,MATCH(B1824,Productos!$A$2:$A$501,0)),0))</f>
        <v/>
      </c>
      <c r="G1824" s="32">
        <f>IF(C1824&lt;&gt;"Venta","",D1824*IFERROR(INDEX(Productos!$E$2:$E$501,MATCH(B1824,Productos!$A$2:$A$501,0)),0))</f>
        <v/>
      </c>
      <c r="H1824" s="33">
        <f>IF(A1824="","",MONTH(A1824))</f>
        <v/>
      </c>
      <c r="I1824" s="33">
        <f>IF(A1824="","",YEAR(A1824))</f>
        <v/>
      </c>
    </row>
    <row r="1825" ht="15" customHeight="1" s="21">
      <c r="A1825" s="34" t="n"/>
      <c r="B1825" s="30" t="n"/>
      <c r="C1825" s="30" t="n"/>
      <c r="D1825" s="30" t="n"/>
      <c r="E1825" s="33">
        <f>IF(B1825="","",IFERROR(INDEX(Productos!$B$2:$B$501,MATCH(B1825,Productos!$A$2:$A$501,0)),"¿Código?"))</f>
        <v/>
      </c>
      <c r="F1825" s="32">
        <f>IF(C1825&lt;&gt;"Venta","",D1825*IFERROR(INDEX(Productos!$D$2:$D$501,MATCH(B1825,Productos!$A$2:$A$501,0)),0))</f>
        <v/>
      </c>
      <c r="G1825" s="32">
        <f>IF(C1825&lt;&gt;"Venta","",D1825*IFERROR(INDEX(Productos!$E$2:$E$501,MATCH(B1825,Productos!$A$2:$A$501,0)),0))</f>
        <v/>
      </c>
      <c r="H1825" s="33">
        <f>IF(A1825="","",MONTH(A1825))</f>
        <v/>
      </c>
      <c r="I1825" s="33">
        <f>IF(A1825="","",YEAR(A1825))</f>
        <v/>
      </c>
    </row>
    <row r="1826" ht="15" customHeight="1" s="21">
      <c r="A1826" s="34" t="n"/>
      <c r="B1826" s="30" t="n"/>
      <c r="C1826" s="30" t="n"/>
      <c r="D1826" s="30" t="n"/>
      <c r="E1826" s="33">
        <f>IF(B1826="","",IFERROR(INDEX(Productos!$B$2:$B$501,MATCH(B1826,Productos!$A$2:$A$501,0)),"¿Código?"))</f>
        <v/>
      </c>
      <c r="F1826" s="32">
        <f>IF(C1826&lt;&gt;"Venta","",D1826*IFERROR(INDEX(Productos!$D$2:$D$501,MATCH(B1826,Productos!$A$2:$A$501,0)),0))</f>
        <v/>
      </c>
      <c r="G1826" s="32">
        <f>IF(C1826&lt;&gt;"Venta","",D1826*IFERROR(INDEX(Productos!$E$2:$E$501,MATCH(B1826,Productos!$A$2:$A$501,0)),0))</f>
        <v/>
      </c>
      <c r="H1826" s="33">
        <f>IF(A1826="","",MONTH(A1826))</f>
        <v/>
      </c>
      <c r="I1826" s="33">
        <f>IF(A1826="","",YEAR(A1826))</f>
        <v/>
      </c>
    </row>
    <row r="1827" ht="15" customHeight="1" s="21">
      <c r="A1827" s="34" t="n"/>
      <c r="B1827" s="30" t="n"/>
      <c r="C1827" s="30" t="n"/>
      <c r="D1827" s="30" t="n"/>
      <c r="E1827" s="33">
        <f>IF(B1827="","",IFERROR(INDEX(Productos!$B$2:$B$501,MATCH(B1827,Productos!$A$2:$A$501,0)),"¿Código?"))</f>
        <v/>
      </c>
      <c r="F1827" s="32">
        <f>IF(C1827&lt;&gt;"Venta","",D1827*IFERROR(INDEX(Productos!$D$2:$D$501,MATCH(B1827,Productos!$A$2:$A$501,0)),0))</f>
        <v/>
      </c>
      <c r="G1827" s="32">
        <f>IF(C1827&lt;&gt;"Venta","",D1827*IFERROR(INDEX(Productos!$E$2:$E$501,MATCH(B1827,Productos!$A$2:$A$501,0)),0))</f>
        <v/>
      </c>
      <c r="H1827" s="33">
        <f>IF(A1827="","",MONTH(A1827))</f>
        <v/>
      </c>
      <c r="I1827" s="33">
        <f>IF(A1827="","",YEAR(A1827))</f>
        <v/>
      </c>
    </row>
    <row r="1828" ht="15" customHeight="1" s="21">
      <c r="A1828" s="34" t="n"/>
      <c r="B1828" s="30" t="n"/>
      <c r="C1828" s="30" t="n"/>
      <c r="D1828" s="30" t="n"/>
      <c r="E1828" s="33">
        <f>IF(B1828="","",IFERROR(INDEX(Productos!$B$2:$B$501,MATCH(B1828,Productos!$A$2:$A$501,0)),"¿Código?"))</f>
        <v/>
      </c>
      <c r="F1828" s="32">
        <f>IF(C1828&lt;&gt;"Venta","",D1828*IFERROR(INDEX(Productos!$D$2:$D$501,MATCH(B1828,Productos!$A$2:$A$501,0)),0))</f>
        <v/>
      </c>
      <c r="G1828" s="32">
        <f>IF(C1828&lt;&gt;"Venta","",D1828*IFERROR(INDEX(Productos!$E$2:$E$501,MATCH(B1828,Productos!$A$2:$A$501,0)),0))</f>
        <v/>
      </c>
      <c r="H1828" s="33">
        <f>IF(A1828="","",MONTH(A1828))</f>
        <v/>
      </c>
      <c r="I1828" s="33">
        <f>IF(A1828="","",YEAR(A1828))</f>
        <v/>
      </c>
    </row>
    <row r="1829" ht="15" customHeight="1" s="21">
      <c r="A1829" s="34" t="n"/>
      <c r="B1829" s="30" t="n"/>
      <c r="C1829" s="30" t="n"/>
      <c r="D1829" s="30" t="n"/>
      <c r="E1829" s="33">
        <f>IF(B1829="","",IFERROR(INDEX(Productos!$B$2:$B$501,MATCH(B1829,Productos!$A$2:$A$501,0)),"¿Código?"))</f>
        <v/>
      </c>
      <c r="F1829" s="32">
        <f>IF(C1829&lt;&gt;"Venta","",D1829*IFERROR(INDEX(Productos!$D$2:$D$501,MATCH(B1829,Productos!$A$2:$A$501,0)),0))</f>
        <v/>
      </c>
      <c r="G1829" s="32">
        <f>IF(C1829&lt;&gt;"Venta","",D1829*IFERROR(INDEX(Productos!$E$2:$E$501,MATCH(B1829,Productos!$A$2:$A$501,0)),0))</f>
        <v/>
      </c>
      <c r="H1829" s="33">
        <f>IF(A1829="","",MONTH(A1829))</f>
        <v/>
      </c>
      <c r="I1829" s="33">
        <f>IF(A1829="","",YEAR(A1829))</f>
        <v/>
      </c>
    </row>
    <row r="1830" ht="15" customHeight="1" s="21">
      <c r="A1830" s="34" t="n"/>
      <c r="B1830" s="30" t="n"/>
      <c r="C1830" s="30" t="n"/>
      <c r="D1830" s="30" t="n"/>
      <c r="E1830" s="33">
        <f>IF(B1830="","",IFERROR(INDEX(Productos!$B$2:$B$501,MATCH(B1830,Productos!$A$2:$A$501,0)),"¿Código?"))</f>
        <v/>
      </c>
      <c r="F1830" s="32">
        <f>IF(C1830&lt;&gt;"Venta","",D1830*IFERROR(INDEX(Productos!$D$2:$D$501,MATCH(B1830,Productos!$A$2:$A$501,0)),0))</f>
        <v/>
      </c>
      <c r="G1830" s="32">
        <f>IF(C1830&lt;&gt;"Venta","",D1830*IFERROR(INDEX(Productos!$E$2:$E$501,MATCH(B1830,Productos!$A$2:$A$501,0)),0))</f>
        <v/>
      </c>
      <c r="H1830" s="33">
        <f>IF(A1830="","",MONTH(A1830))</f>
        <v/>
      </c>
      <c r="I1830" s="33">
        <f>IF(A1830="","",YEAR(A1830))</f>
        <v/>
      </c>
    </row>
    <row r="1831" ht="15" customHeight="1" s="21">
      <c r="A1831" s="34" t="n"/>
      <c r="B1831" s="30" t="n"/>
      <c r="C1831" s="30" t="n"/>
      <c r="D1831" s="30" t="n"/>
      <c r="E1831" s="33">
        <f>IF(B1831="","",IFERROR(INDEX(Productos!$B$2:$B$501,MATCH(B1831,Productos!$A$2:$A$501,0)),"¿Código?"))</f>
        <v/>
      </c>
      <c r="F1831" s="32">
        <f>IF(C1831&lt;&gt;"Venta","",D1831*IFERROR(INDEX(Productos!$D$2:$D$501,MATCH(B1831,Productos!$A$2:$A$501,0)),0))</f>
        <v/>
      </c>
      <c r="G1831" s="32">
        <f>IF(C1831&lt;&gt;"Venta","",D1831*IFERROR(INDEX(Productos!$E$2:$E$501,MATCH(B1831,Productos!$A$2:$A$501,0)),0))</f>
        <v/>
      </c>
      <c r="H1831" s="33">
        <f>IF(A1831="","",MONTH(A1831))</f>
        <v/>
      </c>
      <c r="I1831" s="33">
        <f>IF(A1831="","",YEAR(A1831))</f>
        <v/>
      </c>
    </row>
    <row r="1832" ht="15" customHeight="1" s="21">
      <c r="A1832" s="34" t="n"/>
      <c r="B1832" s="30" t="n"/>
      <c r="C1832" s="30" t="n"/>
      <c r="D1832" s="30" t="n"/>
      <c r="E1832" s="33">
        <f>IF(B1832="","",IFERROR(INDEX(Productos!$B$2:$B$501,MATCH(B1832,Productos!$A$2:$A$501,0)),"¿Código?"))</f>
        <v/>
      </c>
      <c r="F1832" s="32">
        <f>IF(C1832&lt;&gt;"Venta","",D1832*IFERROR(INDEX(Productos!$D$2:$D$501,MATCH(B1832,Productos!$A$2:$A$501,0)),0))</f>
        <v/>
      </c>
      <c r="G1832" s="32">
        <f>IF(C1832&lt;&gt;"Venta","",D1832*IFERROR(INDEX(Productos!$E$2:$E$501,MATCH(B1832,Productos!$A$2:$A$501,0)),0))</f>
        <v/>
      </c>
      <c r="H1832" s="33">
        <f>IF(A1832="","",MONTH(A1832))</f>
        <v/>
      </c>
      <c r="I1832" s="33">
        <f>IF(A1832="","",YEAR(A1832))</f>
        <v/>
      </c>
    </row>
    <row r="1833" ht="15" customHeight="1" s="21">
      <c r="A1833" s="34" t="n"/>
      <c r="B1833" s="30" t="n"/>
      <c r="C1833" s="30" t="n"/>
      <c r="D1833" s="30" t="n"/>
      <c r="E1833" s="33">
        <f>IF(B1833="","",IFERROR(INDEX(Productos!$B$2:$B$501,MATCH(B1833,Productos!$A$2:$A$501,0)),"¿Código?"))</f>
        <v/>
      </c>
      <c r="F1833" s="32">
        <f>IF(C1833&lt;&gt;"Venta","",D1833*IFERROR(INDEX(Productos!$D$2:$D$501,MATCH(B1833,Productos!$A$2:$A$501,0)),0))</f>
        <v/>
      </c>
      <c r="G1833" s="32">
        <f>IF(C1833&lt;&gt;"Venta","",D1833*IFERROR(INDEX(Productos!$E$2:$E$501,MATCH(B1833,Productos!$A$2:$A$501,0)),0))</f>
        <v/>
      </c>
      <c r="H1833" s="33">
        <f>IF(A1833="","",MONTH(A1833))</f>
        <v/>
      </c>
      <c r="I1833" s="33">
        <f>IF(A1833="","",YEAR(A1833))</f>
        <v/>
      </c>
    </row>
    <row r="1834" ht="15" customHeight="1" s="21">
      <c r="A1834" s="34" t="n"/>
      <c r="B1834" s="30" t="n"/>
      <c r="C1834" s="30" t="n"/>
      <c r="D1834" s="30" t="n"/>
      <c r="E1834" s="33">
        <f>IF(B1834="","",IFERROR(INDEX(Productos!$B$2:$B$501,MATCH(B1834,Productos!$A$2:$A$501,0)),"¿Código?"))</f>
        <v/>
      </c>
      <c r="F1834" s="32">
        <f>IF(C1834&lt;&gt;"Venta","",D1834*IFERROR(INDEX(Productos!$D$2:$D$501,MATCH(B1834,Productos!$A$2:$A$501,0)),0))</f>
        <v/>
      </c>
      <c r="G1834" s="32">
        <f>IF(C1834&lt;&gt;"Venta","",D1834*IFERROR(INDEX(Productos!$E$2:$E$501,MATCH(B1834,Productos!$A$2:$A$501,0)),0))</f>
        <v/>
      </c>
      <c r="H1834" s="33">
        <f>IF(A1834="","",MONTH(A1834))</f>
        <v/>
      </c>
      <c r="I1834" s="33">
        <f>IF(A1834="","",YEAR(A1834))</f>
        <v/>
      </c>
    </row>
    <row r="1835" ht="15" customHeight="1" s="21">
      <c r="A1835" s="34" t="n"/>
      <c r="B1835" s="30" t="n"/>
      <c r="C1835" s="30" t="n"/>
      <c r="D1835" s="30" t="n"/>
      <c r="E1835" s="33">
        <f>IF(B1835="","",IFERROR(INDEX(Productos!$B$2:$B$501,MATCH(B1835,Productos!$A$2:$A$501,0)),"¿Código?"))</f>
        <v/>
      </c>
      <c r="F1835" s="32">
        <f>IF(C1835&lt;&gt;"Venta","",D1835*IFERROR(INDEX(Productos!$D$2:$D$501,MATCH(B1835,Productos!$A$2:$A$501,0)),0))</f>
        <v/>
      </c>
      <c r="G1835" s="32">
        <f>IF(C1835&lt;&gt;"Venta","",D1835*IFERROR(INDEX(Productos!$E$2:$E$501,MATCH(B1835,Productos!$A$2:$A$501,0)),0))</f>
        <v/>
      </c>
      <c r="H1835" s="33">
        <f>IF(A1835="","",MONTH(A1835))</f>
        <v/>
      </c>
      <c r="I1835" s="33">
        <f>IF(A1835="","",YEAR(A1835))</f>
        <v/>
      </c>
    </row>
    <row r="1836" ht="15" customHeight="1" s="21">
      <c r="A1836" s="34" t="n"/>
      <c r="B1836" s="30" t="n"/>
      <c r="C1836" s="30" t="n"/>
      <c r="D1836" s="30" t="n"/>
      <c r="E1836" s="33">
        <f>IF(B1836="","",IFERROR(INDEX(Productos!$B$2:$B$501,MATCH(B1836,Productos!$A$2:$A$501,0)),"¿Código?"))</f>
        <v/>
      </c>
      <c r="F1836" s="32">
        <f>IF(C1836&lt;&gt;"Venta","",D1836*IFERROR(INDEX(Productos!$D$2:$D$501,MATCH(B1836,Productos!$A$2:$A$501,0)),0))</f>
        <v/>
      </c>
      <c r="G1836" s="32">
        <f>IF(C1836&lt;&gt;"Venta","",D1836*IFERROR(INDEX(Productos!$E$2:$E$501,MATCH(B1836,Productos!$A$2:$A$501,0)),0))</f>
        <v/>
      </c>
      <c r="H1836" s="33">
        <f>IF(A1836="","",MONTH(A1836))</f>
        <v/>
      </c>
      <c r="I1836" s="33">
        <f>IF(A1836="","",YEAR(A1836))</f>
        <v/>
      </c>
    </row>
    <row r="1837" ht="15" customHeight="1" s="21">
      <c r="A1837" s="34" t="n"/>
      <c r="B1837" s="30" t="n"/>
      <c r="C1837" s="30" t="n"/>
      <c r="D1837" s="30" t="n"/>
      <c r="E1837" s="33">
        <f>IF(B1837="","",IFERROR(INDEX(Productos!$B$2:$B$501,MATCH(B1837,Productos!$A$2:$A$501,0)),"¿Código?"))</f>
        <v/>
      </c>
      <c r="F1837" s="32">
        <f>IF(C1837&lt;&gt;"Venta","",D1837*IFERROR(INDEX(Productos!$D$2:$D$501,MATCH(B1837,Productos!$A$2:$A$501,0)),0))</f>
        <v/>
      </c>
      <c r="G1837" s="32">
        <f>IF(C1837&lt;&gt;"Venta","",D1837*IFERROR(INDEX(Productos!$E$2:$E$501,MATCH(B1837,Productos!$A$2:$A$501,0)),0))</f>
        <v/>
      </c>
      <c r="H1837" s="33">
        <f>IF(A1837="","",MONTH(A1837))</f>
        <v/>
      </c>
      <c r="I1837" s="33">
        <f>IF(A1837="","",YEAR(A1837))</f>
        <v/>
      </c>
    </row>
    <row r="1838" ht="15" customHeight="1" s="21">
      <c r="A1838" s="34" t="n"/>
      <c r="B1838" s="30" t="n"/>
      <c r="C1838" s="30" t="n"/>
      <c r="D1838" s="30" t="n"/>
      <c r="E1838" s="33">
        <f>IF(B1838="","",IFERROR(INDEX(Productos!$B$2:$B$501,MATCH(B1838,Productos!$A$2:$A$501,0)),"¿Código?"))</f>
        <v/>
      </c>
      <c r="F1838" s="32">
        <f>IF(C1838&lt;&gt;"Venta","",D1838*IFERROR(INDEX(Productos!$D$2:$D$501,MATCH(B1838,Productos!$A$2:$A$501,0)),0))</f>
        <v/>
      </c>
      <c r="G1838" s="32">
        <f>IF(C1838&lt;&gt;"Venta","",D1838*IFERROR(INDEX(Productos!$E$2:$E$501,MATCH(B1838,Productos!$A$2:$A$501,0)),0))</f>
        <v/>
      </c>
      <c r="H1838" s="33">
        <f>IF(A1838="","",MONTH(A1838))</f>
        <v/>
      </c>
      <c r="I1838" s="33">
        <f>IF(A1838="","",YEAR(A1838))</f>
        <v/>
      </c>
    </row>
    <row r="1839" ht="15" customHeight="1" s="21">
      <c r="A1839" s="34" t="n"/>
      <c r="B1839" s="30" t="n"/>
      <c r="C1839" s="30" t="n"/>
      <c r="D1839" s="30" t="n"/>
      <c r="E1839" s="33">
        <f>IF(B1839="","",IFERROR(INDEX(Productos!$B$2:$B$501,MATCH(B1839,Productos!$A$2:$A$501,0)),"¿Código?"))</f>
        <v/>
      </c>
      <c r="F1839" s="32">
        <f>IF(C1839&lt;&gt;"Venta","",D1839*IFERROR(INDEX(Productos!$D$2:$D$501,MATCH(B1839,Productos!$A$2:$A$501,0)),0))</f>
        <v/>
      </c>
      <c r="G1839" s="32">
        <f>IF(C1839&lt;&gt;"Venta","",D1839*IFERROR(INDEX(Productos!$E$2:$E$501,MATCH(B1839,Productos!$A$2:$A$501,0)),0))</f>
        <v/>
      </c>
      <c r="H1839" s="33">
        <f>IF(A1839="","",MONTH(A1839))</f>
        <v/>
      </c>
      <c r="I1839" s="33">
        <f>IF(A1839="","",YEAR(A1839))</f>
        <v/>
      </c>
    </row>
    <row r="1840" ht="15" customHeight="1" s="21">
      <c r="A1840" s="34" t="n"/>
      <c r="B1840" s="30" t="n"/>
      <c r="C1840" s="30" t="n"/>
      <c r="D1840" s="30" t="n"/>
      <c r="E1840" s="33">
        <f>IF(B1840="","",IFERROR(INDEX(Productos!$B$2:$B$501,MATCH(B1840,Productos!$A$2:$A$501,0)),"¿Código?"))</f>
        <v/>
      </c>
      <c r="F1840" s="32">
        <f>IF(C1840&lt;&gt;"Venta","",D1840*IFERROR(INDEX(Productos!$D$2:$D$501,MATCH(B1840,Productos!$A$2:$A$501,0)),0))</f>
        <v/>
      </c>
      <c r="G1840" s="32">
        <f>IF(C1840&lt;&gt;"Venta","",D1840*IFERROR(INDEX(Productos!$E$2:$E$501,MATCH(B1840,Productos!$A$2:$A$501,0)),0))</f>
        <v/>
      </c>
      <c r="H1840" s="33">
        <f>IF(A1840="","",MONTH(A1840))</f>
        <v/>
      </c>
      <c r="I1840" s="33">
        <f>IF(A1840="","",YEAR(A1840))</f>
        <v/>
      </c>
    </row>
    <row r="1841" ht="15" customHeight="1" s="21">
      <c r="A1841" s="34" t="n"/>
      <c r="B1841" s="30" t="n"/>
      <c r="C1841" s="30" t="n"/>
      <c r="D1841" s="30" t="n"/>
      <c r="E1841" s="33">
        <f>IF(B1841="","",IFERROR(INDEX(Productos!$B$2:$B$501,MATCH(B1841,Productos!$A$2:$A$501,0)),"¿Código?"))</f>
        <v/>
      </c>
      <c r="F1841" s="32">
        <f>IF(C1841&lt;&gt;"Venta","",D1841*IFERROR(INDEX(Productos!$D$2:$D$501,MATCH(B1841,Productos!$A$2:$A$501,0)),0))</f>
        <v/>
      </c>
      <c r="G1841" s="32">
        <f>IF(C1841&lt;&gt;"Venta","",D1841*IFERROR(INDEX(Productos!$E$2:$E$501,MATCH(B1841,Productos!$A$2:$A$501,0)),0))</f>
        <v/>
      </c>
      <c r="H1841" s="33">
        <f>IF(A1841="","",MONTH(A1841))</f>
        <v/>
      </c>
      <c r="I1841" s="33">
        <f>IF(A1841="","",YEAR(A1841))</f>
        <v/>
      </c>
    </row>
    <row r="1842" ht="15" customHeight="1" s="21">
      <c r="A1842" s="34" t="n"/>
      <c r="B1842" s="30" t="n"/>
      <c r="C1842" s="30" t="n"/>
      <c r="D1842" s="30" t="n"/>
      <c r="E1842" s="33">
        <f>IF(B1842="","",IFERROR(INDEX(Productos!$B$2:$B$501,MATCH(B1842,Productos!$A$2:$A$501,0)),"¿Código?"))</f>
        <v/>
      </c>
      <c r="F1842" s="32">
        <f>IF(C1842&lt;&gt;"Venta","",D1842*IFERROR(INDEX(Productos!$D$2:$D$501,MATCH(B1842,Productos!$A$2:$A$501,0)),0))</f>
        <v/>
      </c>
      <c r="G1842" s="32">
        <f>IF(C1842&lt;&gt;"Venta","",D1842*IFERROR(INDEX(Productos!$E$2:$E$501,MATCH(B1842,Productos!$A$2:$A$501,0)),0))</f>
        <v/>
      </c>
      <c r="H1842" s="33">
        <f>IF(A1842="","",MONTH(A1842))</f>
        <v/>
      </c>
      <c r="I1842" s="33">
        <f>IF(A1842="","",YEAR(A1842))</f>
        <v/>
      </c>
    </row>
    <row r="1843" ht="15" customHeight="1" s="21">
      <c r="A1843" s="34" t="n"/>
      <c r="B1843" s="30" t="n"/>
      <c r="C1843" s="30" t="n"/>
      <c r="D1843" s="30" t="n"/>
      <c r="E1843" s="33">
        <f>IF(B1843="","",IFERROR(INDEX(Productos!$B$2:$B$501,MATCH(B1843,Productos!$A$2:$A$501,0)),"¿Código?"))</f>
        <v/>
      </c>
      <c r="F1843" s="32">
        <f>IF(C1843&lt;&gt;"Venta","",D1843*IFERROR(INDEX(Productos!$D$2:$D$501,MATCH(B1843,Productos!$A$2:$A$501,0)),0))</f>
        <v/>
      </c>
      <c r="G1843" s="32">
        <f>IF(C1843&lt;&gt;"Venta","",D1843*IFERROR(INDEX(Productos!$E$2:$E$501,MATCH(B1843,Productos!$A$2:$A$501,0)),0))</f>
        <v/>
      </c>
      <c r="H1843" s="33">
        <f>IF(A1843="","",MONTH(A1843))</f>
        <v/>
      </c>
      <c r="I1843" s="33">
        <f>IF(A1843="","",YEAR(A1843))</f>
        <v/>
      </c>
    </row>
    <row r="1844" ht="15" customHeight="1" s="21">
      <c r="A1844" s="34" t="n"/>
      <c r="B1844" s="30" t="n"/>
      <c r="C1844" s="30" t="n"/>
      <c r="D1844" s="30" t="n"/>
      <c r="E1844" s="33">
        <f>IF(B1844="","",IFERROR(INDEX(Productos!$B$2:$B$501,MATCH(B1844,Productos!$A$2:$A$501,0)),"¿Código?"))</f>
        <v/>
      </c>
      <c r="F1844" s="32">
        <f>IF(C1844&lt;&gt;"Venta","",D1844*IFERROR(INDEX(Productos!$D$2:$D$501,MATCH(B1844,Productos!$A$2:$A$501,0)),0))</f>
        <v/>
      </c>
      <c r="G1844" s="32">
        <f>IF(C1844&lt;&gt;"Venta","",D1844*IFERROR(INDEX(Productos!$E$2:$E$501,MATCH(B1844,Productos!$A$2:$A$501,0)),0))</f>
        <v/>
      </c>
      <c r="H1844" s="33">
        <f>IF(A1844="","",MONTH(A1844))</f>
        <v/>
      </c>
      <c r="I1844" s="33">
        <f>IF(A1844="","",YEAR(A1844))</f>
        <v/>
      </c>
    </row>
    <row r="1845" ht="15" customHeight="1" s="21">
      <c r="A1845" s="34" t="n"/>
      <c r="B1845" s="30" t="n"/>
      <c r="C1845" s="30" t="n"/>
      <c r="D1845" s="30" t="n"/>
      <c r="E1845" s="33">
        <f>IF(B1845="","",IFERROR(INDEX(Productos!$B$2:$B$501,MATCH(B1845,Productos!$A$2:$A$501,0)),"¿Código?"))</f>
        <v/>
      </c>
      <c r="F1845" s="32">
        <f>IF(C1845&lt;&gt;"Venta","",D1845*IFERROR(INDEX(Productos!$D$2:$D$501,MATCH(B1845,Productos!$A$2:$A$501,0)),0))</f>
        <v/>
      </c>
      <c r="G1845" s="32">
        <f>IF(C1845&lt;&gt;"Venta","",D1845*IFERROR(INDEX(Productos!$E$2:$E$501,MATCH(B1845,Productos!$A$2:$A$501,0)),0))</f>
        <v/>
      </c>
      <c r="H1845" s="33">
        <f>IF(A1845="","",MONTH(A1845))</f>
        <v/>
      </c>
      <c r="I1845" s="33">
        <f>IF(A1845="","",YEAR(A1845))</f>
        <v/>
      </c>
    </row>
    <row r="1846" ht="15" customHeight="1" s="21">
      <c r="A1846" s="34" t="n"/>
      <c r="B1846" s="30" t="n"/>
      <c r="C1846" s="30" t="n"/>
      <c r="D1846" s="30" t="n"/>
      <c r="E1846" s="33">
        <f>IF(B1846="","",IFERROR(INDEX(Productos!$B$2:$B$501,MATCH(B1846,Productos!$A$2:$A$501,0)),"¿Código?"))</f>
        <v/>
      </c>
      <c r="F1846" s="32">
        <f>IF(C1846&lt;&gt;"Venta","",D1846*IFERROR(INDEX(Productos!$D$2:$D$501,MATCH(B1846,Productos!$A$2:$A$501,0)),0))</f>
        <v/>
      </c>
      <c r="G1846" s="32">
        <f>IF(C1846&lt;&gt;"Venta","",D1846*IFERROR(INDEX(Productos!$E$2:$E$501,MATCH(B1846,Productos!$A$2:$A$501,0)),0))</f>
        <v/>
      </c>
      <c r="H1846" s="33">
        <f>IF(A1846="","",MONTH(A1846))</f>
        <v/>
      </c>
      <c r="I1846" s="33">
        <f>IF(A1846="","",YEAR(A1846))</f>
        <v/>
      </c>
    </row>
    <row r="1847" ht="15" customHeight="1" s="21">
      <c r="A1847" s="34" t="n"/>
      <c r="B1847" s="30" t="n"/>
      <c r="C1847" s="30" t="n"/>
      <c r="D1847" s="30" t="n"/>
      <c r="E1847" s="33">
        <f>IF(B1847="","",IFERROR(INDEX(Productos!$B$2:$B$501,MATCH(B1847,Productos!$A$2:$A$501,0)),"¿Código?"))</f>
        <v/>
      </c>
      <c r="F1847" s="32">
        <f>IF(C1847&lt;&gt;"Venta","",D1847*IFERROR(INDEX(Productos!$D$2:$D$501,MATCH(B1847,Productos!$A$2:$A$501,0)),0))</f>
        <v/>
      </c>
      <c r="G1847" s="32">
        <f>IF(C1847&lt;&gt;"Venta","",D1847*IFERROR(INDEX(Productos!$E$2:$E$501,MATCH(B1847,Productos!$A$2:$A$501,0)),0))</f>
        <v/>
      </c>
      <c r="H1847" s="33">
        <f>IF(A1847="","",MONTH(A1847))</f>
        <v/>
      </c>
      <c r="I1847" s="33">
        <f>IF(A1847="","",YEAR(A1847))</f>
        <v/>
      </c>
    </row>
    <row r="1848" ht="15" customHeight="1" s="21">
      <c r="A1848" s="34" t="n"/>
      <c r="B1848" s="30" t="n"/>
      <c r="C1848" s="30" t="n"/>
      <c r="D1848" s="30" t="n"/>
      <c r="E1848" s="33">
        <f>IF(B1848="","",IFERROR(INDEX(Productos!$B$2:$B$501,MATCH(B1848,Productos!$A$2:$A$501,0)),"¿Código?"))</f>
        <v/>
      </c>
      <c r="F1848" s="32">
        <f>IF(C1848&lt;&gt;"Venta","",D1848*IFERROR(INDEX(Productos!$D$2:$D$501,MATCH(B1848,Productos!$A$2:$A$501,0)),0))</f>
        <v/>
      </c>
      <c r="G1848" s="32">
        <f>IF(C1848&lt;&gt;"Venta","",D1848*IFERROR(INDEX(Productos!$E$2:$E$501,MATCH(B1848,Productos!$A$2:$A$501,0)),0))</f>
        <v/>
      </c>
      <c r="H1848" s="33">
        <f>IF(A1848="","",MONTH(A1848))</f>
        <v/>
      </c>
      <c r="I1848" s="33">
        <f>IF(A1848="","",YEAR(A1848))</f>
        <v/>
      </c>
    </row>
    <row r="1849" ht="15" customHeight="1" s="21">
      <c r="A1849" s="34" t="n"/>
      <c r="B1849" s="30" t="n"/>
      <c r="C1849" s="30" t="n"/>
      <c r="D1849" s="30" t="n"/>
      <c r="E1849" s="33">
        <f>IF(B1849="","",IFERROR(INDEX(Productos!$B$2:$B$501,MATCH(B1849,Productos!$A$2:$A$501,0)),"¿Código?"))</f>
        <v/>
      </c>
      <c r="F1849" s="32">
        <f>IF(C1849&lt;&gt;"Venta","",D1849*IFERROR(INDEX(Productos!$D$2:$D$501,MATCH(B1849,Productos!$A$2:$A$501,0)),0))</f>
        <v/>
      </c>
      <c r="G1849" s="32">
        <f>IF(C1849&lt;&gt;"Venta","",D1849*IFERROR(INDEX(Productos!$E$2:$E$501,MATCH(B1849,Productos!$A$2:$A$501,0)),0))</f>
        <v/>
      </c>
      <c r="H1849" s="33">
        <f>IF(A1849="","",MONTH(A1849))</f>
        <v/>
      </c>
      <c r="I1849" s="33">
        <f>IF(A1849="","",YEAR(A1849))</f>
        <v/>
      </c>
    </row>
    <row r="1850" ht="15" customHeight="1" s="21">
      <c r="A1850" s="34" t="n"/>
      <c r="B1850" s="30" t="n"/>
      <c r="C1850" s="30" t="n"/>
      <c r="D1850" s="30" t="n"/>
      <c r="E1850" s="33">
        <f>IF(B1850="","",IFERROR(INDEX(Productos!$B$2:$B$501,MATCH(B1850,Productos!$A$2:$A$501,0)),"¿Código?"))</f>
        <v/>
      </c>
      <c r="F1850" s="32">
        <f>IF(C1850&lt;&gt;"Venta","",D1850*IFERROR(INDEX(Productos!$D$2:$D$501,MATCH(B1850,Productos!$A$2:$A$501,0)),0))</f>
        <v/>
      </c>
      <c r="G1850" s="32">
        <f>IF(C1850&lt;&gt;"Venta","",D1850*IFERROR(INDEX(Productos!$E$2:$E$501,MATCH(B1850,Productos!$A$2:$A$501,0)),0))</f>
        <v/>
      </c>
      <c r="H1850" s="33">
        <f>IF(A1850="","",MONTH(A1850))</f>
        <v/>
      </c>
      <c r="I1850" s="33">
        <f>IF(A1850="","",YEAR(A1850))</f>
        <v/>
      </c>
    </row>
    <row r="1851" ht="15" customHeight="1" s="21">
      <c r="A1851" s="34" t="n"/>
      <c r="B1851" s="30" t="n"/>
      <c r="C1851" s="30" t="n"/>
      <c r="D1851" s="30" t="n"/>
      <c r="E1851" s="33">
        <f>IF(B1851="","",IFERROR(INDEX(Productos!$B$2:$B$501,MATCH(B1851,Productos!$A$2:$A$501,0)),"¿Código?"))</f>
        <v/>
      </c>
      <c r="F1851" s="32">
        <f>IF(C1851&lt;&gt;"Venta","",D1851*IFERROR(INDEX(Productos!$D$2:$D$501,MATCH(B1851,Productos!$A$2:$A$501,0)),0))</f>
        <v/>
      </c>
      <c r="G1851" s="32">
        <f>IF(C1851&lt;&gt;"Venta","",D1851*IFERROR(INDEX(Productos!$E$2:$E$501,MATCH(B1851,Productos!$A$2:$A$501,0)),0))</f>
        <v/>
      </c>
      <c r="H1851" s="33">
        <f>IF(A1851="","",MONTH(A1851))</f>
        <v/>
      </c>
      <c r="I1851" s="33">
        <f>IF(A1851="","",YEAR(A1851))</f>
        <v/>
      </c>
    </row>
    <row r="1852" ht="15" customHeight="1" s="21">
      <c r="A1852" s="34" t="n"/>
      <c r="B1852" s="30" t="n"/>
      <c r="C1852" s="30" t="n"/>
      <c r="D1852" s="30" t="n"/>
      <c r="E1852" s="33">
        <f>IF(B1852="","",IFERROR(INDEX(Productos!$B$2:$B$501,MATCH(B1852,Productos!$A$2:$A$501,0)),"¿Código?"))</f>
        <v/>
      </c>
      <c r="F1852" s="32">
        <f>IF(C1852&lt;&gt;"Venta","",D1852*IFERROR(INDEX(Productos!$D$2:$D$501,MATCH(B1852,Productos!$A$2:$A$501,0)),0))</f>
        <v/>
      </c>
      <c r="G1852" s="32">
        <f>IF(C1852&lt;&gt;"Venta","",D1852*IFERROR(INDEX(Productos!$E$2:$E$501,MATCH(B1852,Productos!$A$2:$A$501,0)),0))</f>
        <v/>
      </c>
      <c r="H1852" s="33">
        <f>IF(A1852="","",MONTH(A1852))</f>
        <v/>
      </c>
      <c r="I1852" s="33">
        <f>IF(A1852="","",YEAR(A1852))</f>
        <v/>
      </c>
    </row>
    <row r="1853" ht="15" customHeight="1" s="21">
      <c r="A1853" s="34" t="n"/>
      <c r="B1853" s="30" t="n"/>
      <c r="C1853" s="30" t="n"/>
      <c r="D1853" s="30" t="n"/>
      <c r="E1853" s="33">
        <f>IF(B1853="","",IFERROR(INDEX(Productos!$B$2:$B$501,MATCH(B1853,Productos!$A$2:$A$501,0)),"¿Código?"))</f>
        <v/>
      </c>
      <c r="F1853" s="32">
        <f>IF(C1853&lt;&gt;"Venta","",D1853*IFERROR(INDEX(Productos!$D$2:$D$501,MATCH(B1853,Productos!$A$2:$A$501,0)),0))</f>
        <v/>
      </c>
      <c r="G1853" s="32">
        <f>IF(C1853&lt;&gt;"Venta","",D1853*IFERROR(INDEX(Productos!$E$2:$E$501,MATCH(B1853,Productos!$A$2:$A$501,0)),0))</f>
        <v/>
      </c>
      <c r="H1853" s="33">
        <f>IF(A1853="","",MONTH(A1853))</f>
        <v/>
      </c>
      <c r="I1853" s="33">
        <f>IF(A1853="","",YEAR(A1853))</f>
        <v/>
      </c>
    </row>
    <row r="1854" ht="15" customHeight="1" s="21">
      <c r="A1854" s="34" t="n"/>
      <c r="B1854" s="30" t="n"/>
      <c r="C1854" s="30" t="n"/>
      <c r="D1854" s="30" t="n"/>
      <c r="E1854" s="33">
        <f>IF(B1854="","",IFERROR(INDEX(Productos!$B$2:$B$501,MATCH(B1854,Productos!$A$2:$A$501,0)),"¿Código?"))</f>
        <v/>
      </c>
      <c r="F1854" s="32">
        <f>IF(C1854&lt;&gt;"Venta","",D1854*IFERROR(INDEX(Productos!$D$2:$D$501,MATCH(B1854,Productos!$A$2:$A$501,0)),0))</f>
        <v/>
      </c>
      <c r="G1854" s="32">
        <f>IF(C1854&lt;&gt;"Venta","",D1854*IFERROR(INDEX(Productos!$E$2:$E$501,MATCH(B1854,Productos!$A$2:$A$501,0)),0))</f>
        <v/>
      </c>
      <c r="H1854" s="33">
        <f>IF(A1854="","",MONTH(A1854))</f>
        <v/>
      </c>
      <c r="I1854" s="33">
        <f>IF(A1854="","",YEAR(A1854))</f>
        <v/>
      </c>
    </row>
    <row r="1855" ht="15" customHeight="1" s="21">
      <c r="A1855" s="34" t="n"/>
      <c r="B1855" s="30" t="n"/>
      <c r="C1855" s="30" t="n"/>
      <c r="D1855" s="30" t="n"/>
      <c r="E1855" s="33">
        <f>IF(B1855="","",IFERROR(INDEX(Productos!$B$2:$B$501,MATCH(B1855,Productos!$A$2:$A$501,0)),"¿Código?"))</f>
        <v/>
      </c>
      <c r="F1855" s="32">
        <f>IF(C1855&lt;&gt;"Venta","",D1855*IFERROR(INDEX(Productos!$D$2:$D$501,MATCH(B1855,Productos!$A$2:$A$501,0)),0))</f>
        <v/>
      </c>
      <c r="G1855" s="32">
        <f>IF(C1855&lt;&gt;"Venta","",D1855*IFERROR(INDEX(Productos!$E$2:$E$501,MATCH(B1855,Productos!$A$2:$A$501,0)),0))</f>
        <v/>
      </c>
      <c r="H1855" s="33">
        <f>IF(A1855="","",MONTH(A1855))</f>
        <v/>
      </c>
      <c r="I1855" s="33">
        <f>IF(A1855="","",YEAR(A1855))</f>
        <v/>
      </c>
    </row>
    <row r="1856" ht="15" customHeight="1" s="21">
      <c r="A1856" s="34" t="n"/>
      <c r="B1856" s="30" t="n"/>
      <c r="C1856" s="30" t="n"/>
      <c r="D1856" s="30" t="n"/>
      <c r="E1856" s="33">
        <f>IF(B1856="","",IFERROR(INDEX(Productos!$B$2:$B$501,MATCH(B1856,Productos!$A$2:$A$501,0)),"¿Código?"))</f>
        <v/>
      </c>
      <c r="F1856" s="32">
        <f>IF(C1856&lt;&gt;"Venta","",D1856*IFERROR(INDEX(Productos!$D$2:$D$501,MATCH(B1856,Productos!$A$2:$A$501,0)),0))</f>
        <v/>
      </c>
      <c r="G1856" s="32">
        <f>IF(C1856&lt;&gt;"Venta","",D1856*IFERROR(INDEX(Productos!$E$2:$E$501,MATCH(B1856,Productos!$A$2:$A$501,0)),0))</f>
        <v/>
      </c>
      <c r="H1856" s="33">
        <f>IF(A1856="","",MONTH(A1856))</f>
        <v/>
      </c>
      <c r="I1856" s="33">
        <f>IF(A1856="","",YEAR(A1856))</f>
        <v/>
      </c>
    </row>
    <row r="1857" ht="15" customHeight="1" s="21">
      <c r="A1857" s="34" t="n"/>
      <c r="B1857" s="30" t="n"/>
      <c r="C1857" s="30" t="n"/>
      <c r="D1857" s="30" t="n"/>
      <c r="E1857" s="33">
        <f>IF(B1857="","",IFERROR(INDEX(Productos!$B$2:$B$501,MATCH(B1857,Productos!$A$2:$A$501,0)),"¿Código?"))</f>
        <v/>
      </c>
      <c r="F1857" s="32">
        <f>IF(C1857&lt;&gt;"Venta","",D1857*IFERROR(INDEX(Productos!$D$2:$D$501,MATCH(B1857,Productos!$A$2:$A$501,0)),0))</f>
        <v/>
      </c>
      <c r="G1857" s="32">
        <f>IF(C1857&lt;&gt;"Venta","",D1857*IFERROR(INDEX(Productos!$E$2:$E$501,MATCH(B1857,Productos!$A$2:$A$501,0)),0))</f>
        <v/>
      </c>
      <c r="H1857" s="33">
        <f>IF(A1857="","",MONTH(A1857))</f>
        <v/>
      </c>
      <c r="I1857" s="33">
        <f>IF(A1857="","",YEAR(A1857))</f>
        <v/>
      </c>
    </row>
    <row r="1858" ht="15" customHeight="1" s="21">
      <c r="A1858" s="34" t="n"/>
      <c r="B1858" s="30" t="n"/>
      <c r="C1858" s="30" t="n"/>
      <c r="D1858" s="30" t="n"/>
      <c r="E1858" s="33">
        <f>IF(B1858="","",IFERROR(INDEX(Productos!$B$2:$B$501,MATCH(B1858,Productos!$A$2:$A$501,0)),"¿Código?"))</f>
        <v/>
      </c>
      <c r="F1858" s="32">
        <f>IF(C1858&lt;&gt;"Venta","",D1858*IFERROR(INDEX(Productos!$D$2:$D$501,MATCH(B1858,Productos!$A$2:$A$501,0)),0))</f>
        <v/>
      </c>
      <c r="G1858" s="32">
        <f>IF(C1858&lt;&gt;"Venta","",D1858*IFERROR(INDEX(Productos!$E$2:$E$501,MATCH(B1858,Productos!$A$2:$A$501,0)),0))</f>
        <v/>
      </c>
      <c r="H1858" s="33">
        <f>IF(A1858="","",MONTH(A1858))</f>
        <v/>
      </c>
      <c r="I1858" s="33">
        <f>IF(A1858="","",YEAR(A1858))</f>
        <v/>
      </c>
    </row>
    <row r="1859" ht="15" customHeight="1" s="21">
      <c r="A1859" s="34" t="n"/>
      <c r="B1859" s="30" t="n"/>
      <c r="C1859" s="30" t="n"/>
      <c r="D1859" s="30" t="n"/>
      <c r="E1859" s="33">
        <f>IF(B1859="","",IFERROR(INDEX(Productos!$B$2:$B$501,MATCH(B1859,Productos!$A$2:$A$501,0)),"¿Código?"))</f>
        <v/>
      </c>
      <c r="F1859" s="32">
        <f>IF(C1859&lt;&gt;"Venta","",D1859*IFERROR(INDEX(Productos!$D$2:$D$501,MATCH(B1859,Productos!$A$2:$A$501,0)),0))</f>
        <v/>
      </c>
      <c r="G1859" s="32">
        <f>IF(C1859&lt;&gt;"Venta","",D1859*IFERROR(INDEX(Productos!$E$2:$E$501,MATCH(B1859,Productos!$A$2:$A$501,0)),0))</f>
        <v/>
      </c>
      <c r="H1859" s="33">
        <f>IF(A1859="","",MONTH(A1859))</f>
        <v/>
      </c>
      <c r="I1859" s="33">
        <f>IF(A1859="","",YEAR(A1859))</f>
        <v/>
      </c>
    </row>
    <row r="1860" ht="15" customHeight="1" s="21">
      <c r="A1860" s="34" t="n"/>
      <c r="B1860" s="30" t="n"/>
      <c r="C1860" s="30" t="n"/>
      <c r="D1860" s="30" t="n"/>
      <c r="E1860" s="33">
        <f>IF(B1860="","",IFERROR(INDEX(Productos!$B$2:$B$501,MATCH(B1860,Productos!$A$2:$A$501,0)),"¿Código?"))</f>
        <v/>
      </c>
      <c r="F1860" s="32">
        <f>IF(C1860&lt;&gt;"Venta","",D1860*IFERROR(INDEX(Productos!$D$2:$D$501,MATCH(B1860,Productos!$A$2:$A$501,0)),0))</f>
        <v/>
      </c>
      <c r="G1860" s="32">
        <f>IF(C1860&lt;&gt;"Venta","",D1860*IFERROR(INDEX(Productos!$E$2:$E$501,MATCH(B1860,Productos!$A$2:$A$501,0)),0))</f>
        <v/>
      </c>
      <c r="H1860" s="33">
        <f>IF(A1860="","",MONTH(A1860))</f>
        <v/>
      </c>
      <c r="I1860" s="33">
        <f>IF(A1860="","",YEAR(A1860))</f>
        <v/>
      </c>
    </row>
    <row r="1861" ht="15" customHeight="1" s="21">
      <c r="A1861" s="34" t="n"/>
      <c r="B1861" s="30" t="n"/>
      <c r="C1861" s="30" t="n"/>
      <c r="D1861" s="30" t="n"/>
      <c r="E1861" s="33">
        <f>IF(B1861="","",IFERROR(INDEX(Productos!$B$2:$B$501,MATCH(B1861,Productos!$A$2:$A$501,0)),"¿Código?"))</f>
        <v/>
      </c>
      <c r="F1861" s="32">
        <f>IF(C1861&lt;&gt;"Venta","",D1861*IFERROR(INDEX(Productos!$D$2:$D$501,MATCH(B1861,Productos!$A$2:$A$501,0)),0))</f>
        <v/>
      </c>
      <c r="G1861" s="32">
        <f>IF(C1861&lt;&gt;"Venta","",D1861*IFERROR(INDEX(Productos!$E$2:$E$501,MATCH(B1861,Productos!$A$2:$A$501,0)),0))</f>
        <v/>
      </c>
      <c r="H1861" s="33">
        <f>IF(A1861="","",MONTH(A1861))</f>
        <v/>
      </c>
      <c r="I1861" s="33">
        <f>IF(A1861="","",YEAR(A1861))</f>
        <v/>
      </c>
    </row>
    <row r="1862" ht="15" customHeight="1" s="21">
      <c r="A1862" s="34" t="n"/>
      <c r="B1862" s="30" t="n"/>
      <c r="C1862" s="30" t="n"/>
      <c r="D1862" s="30" t="n"/>
      <c r="E1862" s="33">
        <f>IF(B1862="","",IFERROR(INDEX(Productos!$B$2:$B$501,MATCH(B1862,Productos!$A$2:$A$501,0)),"¿Código?"))</f>
        <v/>
      </c>
      <c r="F1862" s="32">
        <f>IF(C1862&lt;&gt;"Venta","",D1862*IFERROR(INDEX(Productos!$D$2:$D$501,MATCH(B1862,Productos!$A$2:$A$501,0)),0))</f>
        <v/>
      </c>
      <c r="G1862" s="32">
        <f>IF(C1862&lt;&gt;"Venta","",D1862*IFERROR(INDEX(Productos!$E$2:$E$501,MATCH(B1862,Productos!$A$2:$A$501,0)),0))</f>
        <v/>
      </c>
      <c r="H1862" s="33">
        <f>IF(A1862="","",MONTH(A1862))</f>
        <v/>
      </c>
      <c r="I1862" s="33">
        <f>IF(A1862="","",YEAR(A1862))</f>
        <v/>
      </c>
    </row>
    <row r="1863" ht="15" customHeight="1" s="21">
      <c r="A1863" s="34" t="n"/>
      <c r="B1863" s="30" t="n"/>
      <c r="C1863" s="30" t="n"/>
      <c r="D1863" s="30" t="n"/>
      <c r="E1863" s="33">
        <f>IF(B1863="","",IFERROR(INDEX(Productos!$B$2:$B$501,MATCH(B1863,Productos!$A$2:$A$501,0)),"¿Código?"))</f>
        <v/>
      </c>
      <c r="F1863" s="32">
        <f>IF(C1863&lt;&gt;"Venta","",D1863*IFERROR(INDEX(Productos!$D$2:$D$501,MATCH(B1863,Productos!$A$2:$A$501,0)),0))</f>
        <v/>
      </c>
      <c r="G1863" s="32">
        <f>IF(C1863&lt;&gt;"Venta","",D1863*IFERROR(INDEX(Productos!$E$2:$E$501,MATCH(B1863,Productos!$A$2:$A$501,0)),0))</f>
        <v/>
      </c>
      <c r="H1863" s="33">
        <f>IF(A1863="","",MONTH(A1863))</f>
        <v/>
      </c>
      <c r="I1863" s="33">
        <f>IF(A1863="","",YEAR(A1863))</f>
        <v/>
      </c>
    </row>
    <row r="1864" ht="15" customHeight="1" s="21">
      <c r="A1864" s="34" t="n"/>
      <c r="B1864" s="30" t="n"/>
      <c r="C1864" s="30" t="n"/>
      <c r="D1864" s="30" t="n"/>
      <c r="E1864" s="33">
        <f>IF(B1864="","",IFERROR(INDEX(Productos!$B$2:$B$501,MATCH(B1864,Productos!$A$2:$A$501,0)),"¿Código?"))</f>
        <v/>
      </c>
      <c r="F1864" s="32">
        <f>IF(C1864&lt;&gt;"Venta","",D1864*IFERROR(INDEX(Productos!$D$2:$D$501,MATCH(B1864,Productos!$A$2:$A$501,0)),0))</f>
        <v/>
      </c>
      <c r="G1864" s="32">
        <f>IF(C1864&lt;&gt;"Venta","",D1864*IFERROR(INDEX(Productos!$E$2:$E$501,MATCH(B1864,Productos!$A$2:$A$501,0)),0))</f>
        <v/>
      </c>
      <c r="H1864" s="33">
        <f>IF(A1864="","",MONTH(A1864))</f>
        <v/>
      </c>
      <c r="I1864" s="33">
        <f>IF(A1864="","",YEAR(A1864))</f>
        <v/>
      </c>
    </row>
    <row r="1865" ht="15" customHeight="1" s="21">
      <c r="A1865" s="34" t="n"/>
      <c r="B1865" s="30" t="n"/>
      <c r="C1865" s="30" t="n"/>
      <c r="D1865" s="30" t="n"/>
      <c r="E1865" s="33">
        <f>IF(B1865="","",IFERROR(INDEX(Productos!$B$2:$B$501,MATCH(B1865,Productos!$A$2:$A$501,0)),"¿Código?"))</f>
        <v/>
      </c>
      <c r="F1865" s="32">
        <f>IF(C1865&lt;&gt;"Venta","",D1865*IFERROR(INDEX(Productos!$D$2:$D$501,MATCH(B1865,Productos!$A$2:$A$501,0)),0))</f>
        <v/>
      </c>
      <c r="G1865" s="32">
        <f>IF(C1865&lt;&gt;"Venta","",D1865*IFERROR(INDEX(Productos!$E$2:$E$501,MATCH(B1865,Productos!$A$2:$A$501,0)),0))</f>
        <v/>
      </c>
      <c r="H1865" s="33">
        <f>IF(A1865="","",MONTH(A1865))</f>
        <v/>
      </c>
      <c r="I1865" s="33">
        <f>IF(A1865="","",YEAR(A1865))</f>
        <v/>
      </c>
    </row>
    <row r="1866" ht="15" customHeight="1" s="21">
      <c r="A1866" s="34" t="n"/>
      <c r="B1866" s="30" t="n"/>
      <c r="C1866" s="30" t="n"/>
      <c r="D1866" s="30" t="n"/>
      <c r="E1866" s="33">
        <f>IF(B1866="","",IFERROR(INDEX(Productos!$B$2:$B$501,MATCH(B1866,Productos!$A$2:$A$501,0)),"¿Código?"))</f>
        <v/>
      </c>
      <c r="F1866" s="32">
        <f>IF(C1866&lt;&gt;"Venta","",D1866*IFERROR(INDEX(Productos!$D$2:$D$501,MATCH(B1866,Productos!$A$2:$A$501,0)),0))</f>
        <v/>
      </c>
      <c r="G1866" s="32">
        <f>IF(C1866&lt;&gt;"Venta","",D1866*IFERROR(INDEX(Productos!$E$2:$E$501,MATCH(B1866,Productos!$A$2:$A$501,0)),0))</f>
        <v/>
      </c>
      <c r="H1866" s="33">
        <f>IF(A1866="","",MONTH(A1866))</f>
        <v/>
      </c>
      <c r="I1866" s="33">
        <f>IF(A1866="","",YEAR(A1866))</f>
        <v/>
      </c>
    </row>
    <row r="1867" ht="15" customHeight="1" s="21">
      <c r="A1867" s="34" t="n"/>
      <c r="B1867" s="30" t="n"/>
      <c r="C1867" s="30" t="n"/>
      <c r="D1867" s="30" t="n"/>
      <c r="E1867" s="33">
        <f>IF(B1867="","",IFERROR(INDEX(Productos!$B$2:$B$501,MATCH(B1867,Productos!$A$2:$A$501,0)),"¿Código?"))</f>
        <v/>
      </c>
      <c r="F1867" s="32">
        <f>IF(C1867&lt;&gt;"Venta","",D1867*IFERROR(INDEX(Productos!$D$2:$D$501,MATCH(B1867,Productos!$A$2:$A$501,0)),0))</f>
        <v/>
      </c>
      <c r="G1867" s="32">
        <f>IF(C1867&lt;&gt;"Venta","",D1867*IFERROR(INDEX(Productos!$E$2:$E$501,MATCH(B1867,Productos!$A$2:$A$501,0)),0))</f>
        <v/>
      </c>
      <c r="H1867" s="33">
        <f>IF(A1867="","",MONTH(A1867))</f>
        <v/>
      </c>
      <c r="I1867" s="33">
        <f>IF(A1867="","",YEAR(A1867))</f>
        <v/>
      </c>
    </row>
    <row r="1868" ht="15" customHeight="1" s="21">
      <c r="A1868" s="34" t="n"/>
      <c r="B1868" s="30" t="n"/>
      <c r="C1868" s="30" t="n"/>
      <c r="D1868" s="30" t="n"/>
      <c r="E1868" s="33">
        <f>IF(B1868="","",IFERROR(INDEX(Productos!$B$2:$B$501,MATCH(B1868,Productos!$A$2:$A$501,0)),"¿Código?"))</f>
        <v/>
      </c>
      <c r="F1868" s="32">
        <f>IF(C1868&lt;&gt;"Venta","",D1868*IFERROR(INDEX(Productos!$D$2:$D$501,MATCH(B1868,Productos!$A$2:$A$501,0)),0))</f>
        <v/>
      </c>
      <c r="G1868" s="32">
        <f>IF(C1868&lt;&gt;"Venta","",D1868*IFERROR(INDEX(Productos!$E$2:$E$501,MATCH(B1868,Productos!$A$2:$A$501,0)),0))</f>
        <v/>
      </c>
      <c r="H1868" s="33">
        <f>IF(A1868="","",MONTH(A1868))</f>
        <v/>
      </c>
      <c r="I1868" s="33">
        <f>IF(A1868="","",YEAR(A1868))</f>
        <v/>
      </c>
    </row>
    <row r="1869" ht="15" customHeight="1" s="21">
      <c r="A1869" s="34" t="n"/>
      <c r="B1869" s="30" t="n"/>
      <c r="C1869" s="30" t="n"/>
      <c r="D1869" s="30" t="n"/>
      <c r="E1869" s="33">
        <f>IF(B1869="","",IFERROR(INDEX(Productos!$B$2:$B$501,MATCH(B1869,Productos!$A$2:$A$501,0)),"¿Código?"))</f>
        <v/>
      </c>
      <c r="F1869" s="32">
        <f>IF(C1869&lt;&gt;"Venta","",D1869*IFERROR(INDEX(Productos!$D$2:$D$501,MATCH(B1869,Productos!$A$2:$A$501,0)),0))</f>
        <v/>
      </c>
      <c r="G1869" s="32">
        <f>IF(C1869&lt;&gt;"Venta","",D1869*IFERROR(INDEX(Productos!$E$2:$E$501,MATCH(B1869,Productos!$A$2:$A$501,0)),0))</f>
        <v/>
      </c>
      <c r="H1869" s="33">
        <f>IF(A1869="","",MONTH(A1869))</f>
        <v/>
      </c>
      <c r="I1869" s="33">
        <f>IF(A1869="","",YEAR(A1869))</f>
        <v/>
      </c>
    </row>
    <row r="1870" ht="15" customHeight="1" s="21">
      <c r="A1870" s="34" t="n"/>
      <c r="B1870" s="30" t="n"/>
      <c r="C1870" s="30" t="n"/>
      <c r="D1870" s="30" t="n"/>
      <c r="E1870" s="33">
        <f>IF(B1870="","",IFERROR(INDEX(Productos!$B$2:$B$501,MATCH(B1870,Productos!$A$2:$A$501,0)),"¿Código?"))</f>
        <v/>
      </c>
      <c r="F1870" s="32">
        <f>IF(C1870&lt;&gt;"Venta","",D1870*IFERROR(INDEX(Productos!$D$2:$D$501,MATCH(B1870,Productos!$A$2:$A$501,0)),0))</f>
        <v/>
      </c>
      <c r="G1870" s="32">
        <f>IF(C1870&lt;&gt;"Venta","",D1870*IFERROR(INDEX(Productos!$E$2:$E$501,MATCH(B1870,Productos!$A$2:$A$501,0)),0))</f>
        <v/>
      </c>
      <c r="H1870" s="33">
        <f>IF(A1870="","",MONTH(A1870))</f>
        <v/>
      </c>
      <c r="I1870" s="33">
        <f>IF(A1870="","",YEAR(A1870))</f>
        <v/>
      </c>
    </row>
    <row r="1871" ht="15" customHeight="1" s="21">
      <c r="A1871" s="34" t="n"/>
      <c r="B1871" s="30" t="n"/>
      <c r="C1871" s="30" t="n"/>
      <c r="D1871" s="30" t="n"/>
      <c r="E1871" s="33">
        <f>IF(B1871="","",IFERROR(INDEX(Productos!$B$2:$B$501,MATCH(B1871,Productos!$A$2:$A$501,0)),"¿Código?"))</f>
        <v/>
      </c>
      <c r="F1871" s="32">
        <f>IF(C1871&lt;&gt;"Venta","",D1871*IFERROR(INDEX(Productos!$D$2:$D$501,MATCH(B1871,Productos!$A$2:$A$501,0)),0))</f>
        <v/>
      </c>
      <c r="G1871" s="32">
        <f>IF(C1871&lt;&gt;"Venta","",D1871*IFERROR(INDEX(Productos!$E$2:$E$501,MATCH(B1871,Productos!$A$2:$A$501,0)),0))</f>
        <v/>
      </c>
      <c r="H1871" s="33">
        <f>IF(A1871="","",MONTH(A1871))</f>
        <v/>
      </c>
      <c r="I1871" s="33">
        <f>IF(A1871="","",YEAR(A1871))</f>
        <v/>
      </c>
    </row>
    <row r="1872" ht="15" customHeight="1" s="21">
      <c r="A1872" s="34" t="n"/>
      <c r="B1872" s="30" t="n"/>
      <c r="C1872" s="30" t="n"/>
      <c r="D1872" s="30" t="n"/>
      <c r="E1872" s="33">
        <f>IF(B1872="","",IFERROR(INDEX(Productos!$B$2:$B$501,MATCH(B1872,Productos!$A$2:$A$501,0)),"¿Código?"))</f>
        <v/>
      </c>
      <c r="F1872" s="32">
        <f>IF(C1872&lt;&gt;"Venta","",D1872*IFERROR(INDEX(Productos!$D$2:$D$501,MATCH(B1872,Productos!$A$2:$A$501,0)),0))</f>
        <v/>
      </c>
      <c r="G1872" s="32">
        <f>IF(C1872&lt;&gt;"Venta","",D1872*IFERROR(INDEX(Productos!$E$2:$E$501,MATCH(B1872,Productos!$A$2:$A$501,0)),0))</f>
        <v/>
      </c>
      <c r="H1872" s="33">
        <f>IF(A1872="","",MONTH(A1872))</f>
        <v/>
      </c>
      <c r="I1872" s="33">
        <f>IF(A1872="","",YEAR(A1872))</f>
        <v/>
      </c>
    </row>
    <row r="1873" ht="15" customHeight="1" s="21">
      <c r="A1873" s="34" t="n"/>
      <c r="B1873" s="30" t="n"/>
      <c r="C1873" s="30" t="n"/>
      <c r="D1873" s="30" t="n"/>
      <c r="E1873" s="33">
        <f>IF(B1873="","",IFERROR(INDEX(Productos!$B$2:$B$501,MATCH(B1873,Productos!$A$2:$A$501,0)),"¿Código?"))</f>
        <v/>
      </c>
      <c r="F1873" s="32">
        <f>IF(C1873&lt;&gt;"Venta","",D1873*IFERROR(INDEX(Productos!$D$2:$D$501,MATCH(B1873,Productos!$A$2:$A$501,0)),0))</f>
        <v/>
      </c>
      <c r="G1873" s="32">
        <f>IF(C1873&lt;&gt;"Venta","",D1873*IFERROR(INDEX(Productos!$E$2:$E$501,MATCH(B1873,Productos!$A$2:$A$501,0)),0))</f>
        <v/>
      </c>
      <c r="H1873" s="33">
        <f>IF(A1873="","",MONTH(A1873))</f>
        <v/>
      </c>
      <c r="I1873" s="33">
        <f>IF(A1873="","",YEAR(A1873))</f>
        <v/>
      </c>
    </row>
    <row r="1874" ht="15" customHeight="1" s="21">
      <c r="A1874" s="34" t="n"/>
      <c r="B1874" s="30" t="n"/>
      <c r="C1874" s="30" t="n"/>
      <c r="D1874" s="30" t="n"/>
      <c r="E1874" s="33">
        <f>IF(B1874="","",IFERROR(INDEX(Productos!$B$2:$B$501,MATCH(B1874,Productos!$A$2:$A$501,0)),"¿Código?"))</f>
        <v/>
      </c>
      <c r="F1874" s="32">
        <f>IF(C1874&lt;&gt;"Venta","",D1874*IFERROR(INDEX(Productos!$D$2:$D$501,MATCH(B1874,Productos!$A$2:$A$501,0)),0))</f>
        <v/>
      </c>
      <c r="G1874" s="32">
        <f>IF(C1874&lt;&gt;"Venta","",D1874*IFERROR(INDEX(Productos!$E$2:$E$501,MATCH(B1874,Productos!$A$2:$A$501,0)),0))</f>
        <v/>
      </c>
      <c r="H1874" s="33">
        <f>IF(A1874="","",MONTH(A1874))</f>
        <v/>
      </c>
      <c r="I1874" s="33">
        <f>IF(A1874="","",YEAR(A1874))</f>
        <v/>
      </c>
    </row>
    <row r="1875" ht="15" customHeight="1" s="21">
      <c r="A1875" s="34" t="n"/>
      <c r="B1875" s="30" t="n"/>
      <c r="C1875" s="30" t="n"/>
      <c r="D1875" s="30" t="n"/>
      <c r="E1875" s="33">
        <f>IF(B1875="","",IFERROR(INDEX(Productos!$B$2:$B$501,MATCH(B1875,Productos!$A$2:$A$501,0)),"¿Código?"))</f>
        <v/>
      </c>
      <c r="F1875" s="32">
        <f>IF(C1875&lt;&gt;"Venta","",D1875*IFERROR(INDEX(Productos!$D$2:$D$501,MATCH(B1875,Productos!$A$2:$A$501,0)),0))</f>
        <v/>
      </c>
      <c r="G1875" s="32">
        <f>IF(C1875&lt;&gt;"Venta","",D1875*IFERROR(INDEX(Productos!$E$2:$E$501,MATCH(B1875,Productos!$A$2:$A$501,0)),0))</f>
        <v/>
      </c>
      <c r="H1875" s="33">
        <f>IF(A1875="","",MONTH(A1875))</f>
        <v/>
      </c>
      <c r="I1875" s="33">
        <f>IF(A1875="","",YEAR(A1875))</f>
        <v/>
      </c>
    </row>
    <row r="1876" ht="15" customHeight="1" s="21">
      <c r="A1876" s="34" t="n"/>
      <c r="B1876" s="30" t="n"/>
      <c r="C1876" s="30" t="n"/>
      <c r="D1876" s="30" t="n"/>
      <c r="E1876" s="33">
        <f>IF(B1876="","",IFERROR(INDEX(Productos!$B$2:$B$501,MATCH(B1876,Productos!$A$2:$A$501,0)),"¿Código?"))</f>
        <v/>
      </c>
      <c r="F1876" s="32">
        <f>IF(C1876&lt;&gt;"Venta","",D1876*IFERROR(INDEX(Productos!$D$2:$D$501,MATCH(B1876,Productos!$A$2:$A$501,0)),0))</f>
        <v/>
      </c>
      <c r="G1876" s="32">
        <f>IF(C1876&lt;&gt;"Venta","",D1876*IFERROR(INDEX(Productos!$E$2:$E$501,MATCH(B1876,Productos!$A$2:$A$501,0)),0))</f>
        <v/>
      </c>
      <c r="H1876" s="33">
        <f>IF(A1876="","",MONTH(A1876))</f>
        <v/>
      </c>
      <c r="I1876" s="33">
        <f>IF(A1876="","",YEAR(A1876))</f>
        <v/>
      </c>
    </row>
    <row r="1877" ht="15" customHeight="1" s="21">
      <c r="A1877" s="34" t="n"/>
      <c r="B1877" s="30" t="n"/>
      <c r="C1877" s="30" t="n"/>
      <c r="D1877" s="30" t="n"/>
      <c r="E1877" s="33">
        <f>IF(B1877="","",IFERROR(INDEX(Productos!$B$2:$B$501,MATCH(B1877,Productos!$A$2:$A$501,0)),"¿Código?"))</f>
        <v/>
      </c>
      <c r="F1877" s="32">
        <f>IF(C1877&lt;&gt;"Venta","",D1877*IFERROR(INDEX(Productos!$D$2:$D$501,MATCH(B1877,Productos!$A$2:$A$501,0)),0))</f>
        <v/>
      </c>
      <c r="G1877" s="32">
        <f>IF(C1877&lt;&gt;"Venta","",D1877*IFERROR(INDEX(Productos!$E$2:$E$501,MATCH(B1877,Productos!$A$2:$A$501,0)),0))</f>
        <v/>
      </c>
      <c r="H1877" s="33">
        <f>IF(A1877="","",MONTH(A1877))</f>
        <v/>
      </c>
      <c r="I1877" s="33">
        <f>IF(A1877="","",YEAR(A1877))</f>
        <v/>
      </c>
    </row>
    <row r="1878" ht="15" customHeight="1" s="21">
      <c r="A1878" s="34" t="n"/>
      <c r="B1878" s="30" t="n"/>
      <c r="C1878" s="30" t="n"/>
      <c r="D1878" s="30" t="n"/>
      <c r="E1878" s="33">
        <f>IF(B1878="","",IFERROR(INDEX(Productos!$B$2:$B$501,MATCH(B1878,Productos!$A$2:$A$501,0)),"¿Código?"))</f>
        <v/>
      </c>
      <c r="F1878" s="32">
        <f>IF(C1878&lt;&gt;"Venta","",D1878*IFERROR(INDEX(Productos!$D$2:$D$501,MATCH(B1878,Productos!$A$2:$A$501,0)),0))</f>
        <v/>
      </c>
      <c r="G1878" s="32">
        <f>IF(C1878&lt;&gt;"Venta","",D1878*IFERROR(INDEX(Productos!$E$2:$E$501,MATCH(B1878,Productos!$A$2:$A$501,0)),0))</f>
        <v/>
      </c>
      <c r="H1878" s="33">
        <f>IF(A1878="","",MONTH(A1878))</f>
        <v/>
      </c>
      <c r="I1878" s="33">
        <f>IF(A1878="","",YEAR(A1878))</f>
        <v/>
      </c>
    </row>
    <row r="1879" ht="15" customHeight="1" s="21">
      <c r="A1879" s="34" t="n"/>
      <c r="B1879" s="30" t="n"/>
      <c r="C1879" s="30" t="n"/>
      <c r="D1879" s="30" t="n"/>
      <c r="E1879" s="33">
        <f>IF(B1879="","",IFERROR(INDEX(Productos!$B$2:$B$501,MATCH(B1879,Productos!$A$2:$A$501,0)),"¿Código?"))</f>
        <v/>
      </c>
      <c r="F1879" s="32">
        <f>IF(C1879&lt;&gt;"Venta","",D1879*IFERROR(INDEX(Productos!$D$2:$D$501,MATCH(B1879,Productos!$A$2:$A$501,0)),0))</f>
        <v/>
      </c>
      <c r="G1879" s="32">
        <f>IF(C1879&lt;&gt;"Venta","",D1879*IFERROR(INDEX(Productos!$E$2:$E$501,MATCH(B1879,Productos!$A$2:$A$501,0)),0))</f>
        <v/>
      </c>
      <c r="H1879" s="33">
        <f>IF(A1879="","",MONTH(A1879))</f>
        <v/>
      </c>
      <c r="I1879" s="33">
        <f>IF(A1879="","",YEAR(A1879))</f>
        <v/>
      </c>
    </row>
    <row r="1880" ht="15" customHeight="1" s="21">
      <c r="A1880" s="34" t="n"/>
      <c r="B1880" s="30" t="n"/>
      <c r="C1880" s="30" t="n"/>
      <c r="D1880" s="30" t="n"/>
      <c r="E1880" s="33">
        <f>IF(B1880="","",IFERROR(INDEX(Productos!$B$2:$B$501,MATCH(B1880,Productos!$A$2:$A$501,0)),"¿Código?"))</f>
        <v/>
      </c>
      <c r="F1880" s="32">
        <f>IF(C1880&lt;&gt;"Venta","",D1880*IFERROR(INDEX(Productos!$D$2:$D$501,MATCH(B1880,Productos!$A$2:$A$501,0)),0))</f>
        <v/>
      </c>
      <c r="G1880" s="32">
        <f>IF(C1880&lt;&gt;"Venta","",D1880*IFERROR(INDEX(Productos!$E$2:$E$501,MATCH(B1880,Productos!$A$2:$A$501,0)),0))</f>
        <v/>
      </c>
      <c r="H1880" s="33">
        <f>IF(A1880="","",MONTH(A1880))</f>
        <v/>
      </c>
      <c r="I1880" s="33">
        <f>IF(A1880="","",YEAR(A1880))</f>
        <v/>
      </c>
    </row>
    <row r="1881" ht="15" customHeight="1" s="21">
      <c r="A1881" s="34" t="n"/>
      <c r="B1881" s="30" t="n"/>
      <c r="C1881" s="30" t="n"/>
      <c r="D1881" s="30" t="n"/>
      <c r="E1881" s="33">
        <f>IF(B1881="","",IFERROR(INDEX(Productos!$B$2:$B$501,MATCH(B1881,Productos!$A$2:$A$501,0)),"¿Código?"))</f>
        <v/>
      </c>
      <c r="F1881" s="32">
        <f>IF(C1881&lt;&gt;"Venta","",D1881*IFERROR(INDEX(Productos!$D$2:$D$501,MATCH(B1881,Productos!$A$2:$A$501,0)),0))</f>
        <v/>
      </c>
      <c r="G1881" s="32">
        <f>IF(C1881&lt;&gt;"Venta","",D1881*IFERROR(INDEX(Productos!$E$2:$E$501,MATCH(B1881,Productos!$A$2:$A$501,0)),0))</f>
        <v/>
      </c>
      <c r="H1881" s="33">
        <f>IF(A1881="","",MONTH(A1881))</f>
        <v/>
      </c>
      <c r="I1881" s="33">
        <f>IF(A1881="","",YEAR(A1881))</f>
        <v/>
      </c>
    </row>
    <row r="1882" ht="15" customHeight="1" s="21">
      <c r="A1882" s="34" t="n"/>
      <c r="B1882" s="30" t="n"/>
      <c r="C1882" s="30" t="n"/>
      <c r="D1882" s="30" t="n"/>
      <c r="E1882" s="33">
        <f>IF(B1882="","",IFERROR(INDEX(Productos!$B$2:$B$501,MATCH(B1882,Productos!$A$2:$A$501,0)),"¿Código?"))</f>
        <v/>
      </c>
      <c r="F1882" s="32">
        <f>IF(C1882&lt;&gt;"Venta","",D1882*IFERROR(INDEX(Productos!$D$2:$D$501,MATCH(B1882,Productos!$A$2:$A$501,0)),0))</f>
        <v/>
      </c>
      <c r="G1882" s="32">
        <f>IF(C1882&lt;&gt;"Venta","",D1882*IFERROR(INDEX(Productos!$E$2:$E$501,MATCH(B1882,Productos!$A$2:$A$501,0)),0))</f>
        <v/>
      </c>
      <c r="H1882" s="33">
        <f>IF(A1882="","",MONTH(A1882))</f>
        <v/>
      </c>
      <c r="I1882" s="33">
        <f>IF(A1882="","",YEAR(A1882))</f>
        <v/>
      </c>
    </row>
    <row r="1883" ht="15" customHeight="1" s="21">
      <c r="A1883" s="34" t="n"/>
      <c r="B1883" s="30" t="n"/>
      <c r="C1883" s="30" t="n"/>
      <c r="D1883" s="30" t="n"/>
      <c r="E1883" s="33">
        <f>IF(B1883="","",IFERROR(INDEX(Productos!$B$2:$B$501,MATCH(B1883,Productos!$A$2:$A$501,0)),"¿Código?"))</f>
        <v/>
      </c>
      <c r="F1883" s="32">
        <f>IF(C1883&lt;&gt;"Venta","",D1883*IFERROR(INDEX(Productos!$D$2:$D$501,MATCH(B1883,Productos!$A$2:$A$501,0)),0))</f>
        <v/>
      </c>
      <c r="G1883" s="32">
        <f>IF(C1883&lt;&gt;"Venta","",D1883*IFERROR(INDEX(Productos!$E$2:$E$501,MATCH(B1883,Productos!$A$2:$A$501,0)),0))</f>
        <v/>
      </c>
      <c r="H1883" s="33">
        <f>IF(A1883="","",MONTH(A1883))</f>
        <v/>
      </c>
      <c r="I1883" s="33">
        <f>IF(A1883="","",YEAR(A1883))</f>
        <v/>
      </c>
    </row>
    <row r="1884" ht="15" customHeight="1" s="21">
      <c r="A1884" s="34" t="n"/>
      <c r="B1884" s="30" t="n"/>
      <c r="C1884" s="30" t="n"/>
      <c r="D1884" s="30" t="n"/>
      <c r="E1884" s="33">
        <f>IF(B1884="","",IFERROR(INDEX(Productos!$B$2:$B$501,MATCH(B1884,Productos!$A$2:$A$501,0)),"¿Código?"))</f>
        <v/>
      </c>
      <c r="F1884" s="32">
        <f>IF(C1884&lt;&gt;"Venta","",D1884*IFERROR(INDEX(Productos!$D$2:$D$501,MATCH(B1884,Productos!$A$2:$A$501,0)),0))</f>
        <v/>
      </c>
      <c r="G1884" s="32">
        <f>IF(C1884&lt;&gt;"Venta","",D1884*IFERROR(INDEX(Productos!$E$2:$E$501,MATCH(B1884,Productos!$A$2:$A$501,0)),0))</f>
        <v/>
      </c>
      <c r="H1884" s="33">
        <f>IF(A1884="","",MONTH(A1884))</f>
        <v/>
      </c>
      <c r="I1884" s="33">
        <f>IF(A1884="","",YEAR(A1884))</f>
        <v/>
      </c>
    </row>
    <row r="1885" ht="15" customHeight="1" s="21">
      <c r="A1885" s="34" t="n"/>
      <c r="B1885" s="30" t="n"/>
      <c r="C1885" s="30" t="n"/>
      <c r="D1885" s="30" t="n"/>
      <c r="E1885" s="33">
        <f>IF(B1885="","",IFERROR(INDEX(Productos!$B$2:$B$501,MATCH(B1885,Productos!$A$2:$A$501,0)),"¿Código?"))</f>
        <v/>
      </c>
      <c r="F1885" s="32">
        <f>IF(C1885&lt;&gt;"Venta","",D1885*IFERROR(INDEX(Productos!$D$2:$D$501,MATCH(B1885,Productos!$A$2:$A$501,0)),0))</f>
        <v/>
      </c>
      <c r="G1885" s="32">
        <f>IF(C1885&lt;&gt;"Venta","",D1885*IFERROR(INDEX(Productos!$E$2:$E$501,MATCH(B1885,Productos!$A$2:$A$501,0)),0))</f>
        <v/>
      </c>
      <c r="H1885" s="33">
        <f>IF(A1885="","",MONTH(A1885))</f>
        <v/>
      </c>
      <c r="I1885" s="33">
        <f>IF(A1885="","",YEAR(A1885))</f>
        <v/>
      </c>
    </row>
    <row r="1886" ht="15" customHeight="1" s="21">
      <c r="A1886" s="34" t="n"/>
      <c r="B1886" s="30" t="n"/>
      <c r="C1886" s="30" t="n"/>
      <c r="D1886" s="30" t="n"/>
      <c r="E1886" s="33">
        <f>IF(B1886="","",IFERROR(INDEX(Productos!$B$2:$B$501,MATCH(B1886,Productos!$A$2:$A$501,0)),"¿Código?"))</f>
        <v/>
      </c>
      <c r="F1886" s="32">
        <f>IF(C1886&lt;&gt;"Venta","",D1886*IFERROR(INDEX(Productos!$D$2:$D$501,MATCH(B1886,Productos!$A$2:$A$501,0)),0))</f>
        <v/>
      </c>
      <c r="G1886" s="32">
        <f>IF(C1886&lt;&gt;"Venta","",D1886*IFERROR(INDEX(Productos!$E$2:$E$501,MATCH(B1886,Productos!$A$2:$A$501,0)),0))</f>
        <v/>
      </c>
      <c r="H1886" s="33">
        <f>IF(A1886="","",MONTH(A1886))</f>
        <v/>
      </c>
      <c r="I1886" s="33">
        <f>IF(A1886="","",YEAR(A1886))</f>
        <v/>
      </c>
    </row>
    <row r="1887" ht="15" customHeight="1" s="21">
      <c r="A1887" s="34" t="n"/>
      <c r="B1887" s="30" t="n"/>
      <c r="C1887" s="30" t="n"/>
      <c r="D1887" s="30" t="n"/>
      <c r="E1887" s="33">
        <f>IF(B1887="","",IFERROR(INDEX(Productos!$B$2:$B$501,MATCH(B1887,Productos!$A$2:$A$501,0)),"¿Código?"))</f>
        <v/>
      </c>
      <c r="F1887" s="32">
        <f>IF(C1887&lt;&gt;"Venta","",D1887*IFERROR(INDEX(Productos!$D$2:$D$501,MATCH(B1887,Productos!$A$2:$A$501,0)),0))</f>
        <v/>
      </c>
      <c r="G1887" s="32">
        <f>IF(C1887&lt;&gt;"Venta","",D1887*IFERROR(INDEX(Productos!$E$2:$E$501,MATCH(B1887,Productos!$A$2:$A$501,0)),0))</f>
        <v/>
      </c>
      <c r="H1887" s="33">
        <f>IF(A1887="","",MONTH(A1887))</f>
        <v/>
      </c>
      <c r="I1887" s="33">
        <f>IF(A1887="","",YEAR(A1887))</f>
        <v/>
      </c>
    </row>
    <row r="1888" ht="15" customHeight="1" s="21">
      <c r="A1888" s="34" t="n"/>
      <c r="B1888" s="30" t="n"/>
      <c r="C1888" s="30" t="n"/>
      <c r="D1888" s="30" t="n"/>
      <c r="E1888" s="33">
        <f>IF(B1888="","",IFERROR(INDEX(Productos!$B$2:$B$501,MATCH(B1888,Productos!$A$2:$A$501,0)),"¿Código?"))</f>
        <v/>
      </c>
      <c r="F1888" s="32">
        <f>IF(C1888&lt;&gt;"Venta","",D1888*IFERROR(INDEX(Productos!$D$2:$D$501,MATCH(B1888,Productos!$A$2:$A$501,0)),0))</f>
        <v/>
      </c>
      <c r="G1888" s="32">
        <f>IF(C1888&lt;&gt;"Venta","",D1888*IFERROR(INDEX(Productos!$E$2:$E$501,MATCH(B1888,Productos!$A$2:$A$501,0)),0))</f>
        <v/>
      </c>
      <c r="H1888" s="33">
        <f>IF(A1888="","",MONTH(A1888))</f>
        <v/>
      </c>
      <c r="I1888" s="33">
        <f>IF(A1888="","",YEAR(A1888))</f>
        <v/>
      </c>
    </row>
    <row r="1889" ht="15" customHeight="1" s="21">
      <c r="A1889" s="34" t="n"/>
      <c r="B1889" s="30" t="n"/>
      <c r="C1889" s="30" t="n"/>
      <c r="D1889" s="30" t="n"/>
      <c r="E1889" s="33">
        <f>IF(B1889="","",IFERROR(INDEX(Productos!$B$2:$B$501,MATCH(B1889,Productos!$A$2:$A$501,0)),"¿Código?"))</f>
        <v/>
      </c>
      <c r="F1889" s="32">
        <f>IF(C1889&lt;&gt;"Venta","",D1889*IFERROR(INDEX(Productos!$D$2:$D$501,MATCH(B1889,Productos!$A$2:$A$501,0)),0))</f>
        <v/>
      </c>
      <c r="G1889" s="32">
        <f>IF(C1889&lt;&gt;"Venta","",D1889*IFERROR(INDEX(Productos!$E$2:$E$501,MATCH(B1889,Productos!$A$2:$A$501,0)),0))</f>
        <v/>
      </c>
      <c r="H1889" s="33">
        <f>IF(A1889="","",MONTH(A1889))</f>
        <v/>
      </c>
      <c r="I1889" s="33">
        <f>IF(A1889="","",YEAR(A1889))</f>
        <v/>
      </c>
    </row>
    <row r="1890" ht="15" customHeight="1" s="21">
      <c r="A1890" s="34" t="n"/>
      <c r="B1890" s="30" t="n"/>
      <c r="C1890" s="30" t="n"/>
      <c r="D1890" s="30" t="n"/>
      <c r="E1890" s="33">
        <f>IF(B1890="","",IFERROR(INDEX(Productos!$B$2:$B$501,MATCH(B1890,Productos!$A$2:$A$501,0)),"¿Código?"))</f>
        <v/>
      </c>
      <c r="F1890" s="32">
        <f>IF(C1890&lt;&gt;"Venta","",D1890*IFERROR(INDEX(Productos!$D$2:$D$501,MATCH(B1890,Productos!$A$2:$A$501,0)),0))</f>
        <v/>
      </c>
      <c r="G1890" s="32">
        <f>IF(C1890&lt;&gt;"Venta","",D1890*IFERROR(INDEX(Productos!$E$2:$E$501,MATCH(B1890,Productos!$A$2:$A$501,0)),0))</f>
        <v/>
      </c>
      <c r="H1890" s="33">
        <f>IF(A1890="","",MONTH(A1890))</f>
        <v/>
      </c>
      <c r="I1890" s="33">
        <f>IF(A1890="","",YEAR(A1890))</f>
        <v/>
      </c>
    </row>
    <row r="1891" ht="15" customHeight="1" s="21">
      <c r="A1891" s="34" t="n"/>
      <c r="B1891" s="30" t="n"/>
      <c r="C1891" s="30" t="n"/>
      <c r="D1891" s="30" t="n"/>
      <c r="E1891" s="33">
        <f>IF(B1891="","",IFERROR(INDEX(Productos!$B$2:$B$501,MATCH(B1891,Productos!$A$2:$A$501,0)),"¿Código?"))</f>
        <v/>
      </c>
      <c r="F1891" s="32">
        <f>IF(C1891&lt;&gt;"Venta","",D1891*IFERROR(INDEX(Productos!$D$2:$D$501,MATCH(B1891,Productos!$A$2:$A$501,0)),0))</f>
        <v/>
      </c>
      <c r="G1891" s="32">
        <f>IF(C1891&lt;&gt;"Venta","",D1891*IFERROR(INDEX(Productos!$E$2:$E$501,MATCH(B1891,Productos!$A$2:$A$501,0)),0))</f>
        <v/>
      </c>
      <c r="H1891" s="33">
        <f>IF(A1891="","",MONTH(A1891))</f>
        <v/>
      </c>
      <c r="I1891" s="33">
        <f>IF(A1891="","",YEAR(A1891))</f>
        <v/>
      </c>
    </row>
    <row r="1892" ht="15" customHeight="1" s="21">
      <c r="A1892" s="34" t="n"/>
      <c r="B1892" s="30" t="n"/>
      <c r="C1892" s="30" t="n"/>
      <c r="D1892" s="30" t="n"/>
      <c r="E1892" s="33">
        <f>IF(B1892="","",IFERROR(INDEX(Productos!$B$2:$B$501,MATCH(B1892,Productos!$A$2:$A$501,0)),"¿Código?"))</f>
        <v/>
      </c>
      <c r="F1892" s="32">
        <f>IF(C1892&lt;&gt;"Venta","",D1892*IFERROR(INDEX(Productos!$D$2:$D$501,MATCH(B1892,Productos!$A$2:$A$501,0)),0))</f>
        <v/>
      </c>
      <c r="G1892" s="32">
        <f>IF(C1892&lt;&gt;"Venta","",D1892*IFERROR(INDEX(Productos!$E$2:$E$501,MATCH(B1892,Productos!$A$2:$A$501,0)),0))</f>
        <v/>
      </c>
      <c r="H1892" s="33">
        <f>IF(A1892="","",MONTH(A1892))</f>
        <v/>
      </c>
      <c r="I1892" s="33">
        <f>IF(A1892="","",YEAR(A1892))</f>
        <v/>
      </c>
    </row>
    <row r="1893" ht="15" customHeight="1" s="21">
      <c r="A1893" s="34" t="n"/>
      <c r="B1893" s="30" t="n"/>
      <c r="C1893" s="30" t="n"/>
      <c r="D1893" s="30" t="n"/>
      <c r="E1893" s="33">
        <f>IF(B1893="","",IFERROR(INDEX(Productos!$B$2:$B$501,MATCH(B1893,Productos!$A$2:$A$501,0)),"¿Código?"))</f>
        <v/>
      </c>
      <c r="F1893" s="32">
        <f>IF(C1893&lt;&gt;"Venta","",D1893*IFERROR(INDEX(Productos!$D$2:$D$501,MATCH(B1893,Productos!$A$2:$A$501,0)),0))</f>
        <v/>
      </c>
      <c r="G1893" s="32">
        <f>IF(C1893&lt;&gt;"Venta","",D1893*IFERROR(INDEX(Productos!$E$2:$E$501,MATCH(B1893,Productos!$A$2:$A$501,0)),0))</f>
        <v/>
      </c>
      <c r="H1893" s="33">
        <f>IF(A1893="","",MONTH(A1893))</f>
        <v/>
      </c>
      <c r="I1893" s="33">
        <f>IF(A1893="","",YEAR(A1893))</f>
        <v/>
      </c>
    </row>
    <row r="1894" ht="15" customHeight="1" s="21">
      <c r="A1894" s="34" t="n"/>
      <c r="B1894" s="30" t="n"/>
      <c r="C1894" s="30" t="n"/>
      <c r="D1894" s="30" t="n"/>
      <c r="E1894" s="33">
        <f>IF(B1894="","",IFERROR(INDEX(Productos!$B$2:$B$501,MATCH(B1894,Productos!$A$2:$A$501,0)),"¿Código?"))</f>
        <v/>
      </c>
      <c r="F1894" s="32">
        <f>IF(C1894&lt;&gt;"Venta","",D1894*IFERROR(INDEX(Productos!$D$2:$D$501,MATCH(B1894,Productos!$A$2:$A$501,0)),0))</f>
        <v/>
      </c>
      <c r="G1894" s="32">
        <f>IF(C1894&lt;&gt;"Venta","",D1894*IFERROR(INDEX(Productos!$E$2:$E$501,MATCH(B1894,Productos!$A$2:$A$501,0)),0))</f>
        <v/>
      </c>
      <c r="H1894" s="33">
        <f>IF(A1894="","",MONTH(A1894))</f>
        <v/>
      </c>
      <c r="I1894" s="33">
        <f>IF(A1894="","",YEAR(A1894))</f>
        <v/>
      </c>
    </row>
    <row r="1895" ht="15" customHeight="1" s="21">
      <c r="A1895" s="34" t="n"/>
      <c r="B1895" s="30" t="n"/>
      <c r="C1895" s="30" t="n"/>
      <c r="D1895" s="30" t="n"/>
      <c r="E1895" s="33">
        <f>IF(B1895="","",IFERROR(INDEX(Productos!$B$2:$B$501,MATCH(B1895,Productos!$A$2:$A$501,0)),"¿Código?"))</f>
        <v/>
      </c>
      <c r="F1895" s="32">
        <f>IF(C1895&lt;&gt;"Venta","",D1895*IFERROR(INDEX(Productos!$D$2:$D$501,MATCH(B1895,Productos!$A$2:$A$501,0)),0))</f>
        <v/>
      </c>
      <c r="G1895" s="32">
        <f>IF(C1895&lt;&gt;"Venta","",D1895*IFERROR(INDEX(Productos!$E$2:$E$501,MATCH(B1895,Productos!$A$2:$A$501,0)),0))</f>
        <v/>
      </c>
      <c r="H1895" s="33">
        <f>IF(A1895="","",MONTH(A1895))</f>
        <v/>
      </c>
      <c r="I1895" s="33">
        <f>IF(A1895="","",YEAR(A1895))</f>
        <v/>
      </c>
    </row>
    <row r="1896" ht="15" customHeight="1" s="21">
      <c r="A1896" s="34" t="n"/>
      <c r="B1896" s="30" t="n"/>
      <c r="C1896" s="30" t="n"/>
      <c r="D1896" s="30" t="n"/>
      <c r="E1896" s="33">
        <f>IF(B1896="","",IFERROR(INDEX(Productos!$B$2:$B$501,MATCH(B1896,Productos!$A$2:$A$501,0)),"¿Código?"))</f>
        <v/>
      </c>
      <c r="F1896" s="32">
        <f>IF(C1896&lt;&gt;"Venta","",D1896*IFERROR(INDEX(Productos!$D$2:$D$501,MATCH(B1896,Productos!$A$2:$A$501,0)),0))</f>
        <v/>
      </c>
      <c r="G1896" s="32">
        <f>IF(C1896&lt;&gt;"Venta","",D1896*IFERROR(INDEX(Productos!$E$2:$E$501,MATCH(B1896,Productos!$A$2:$A$501,0)),0))</f>
        <v/>
      </c>
      <c r="H1896" s="33">
        <f>IF(A1896="","",MONTH(A1896))</f>
        <v/>
      </c>
      <c r="I1896" s="33">
        <f>IF(A1896="","",YEAR(A1896))</f>
        <v/>
      </c>
    </row>
    <row r="1897" ht="15" customHeight="1" s="21">
      <c r="A1897" s="34" t="n"/>
      <c r="B1897" s="30" t="n"/>
      <c r="C1897" s="30" t="n"/>
      <c r="D1897" s="30" t="n"/>
      <c r="E1897" s="33">
        <f>IF(B1897="","",IFERROR(INDEX(Productos!$B$2:$B$501,MATCH(B1897,Productos!$A$2:$A$501,0)),"¿Código?"))</f>
        <v/>
      </c>
      <c r="F1897" s="32">
        <f>IF(C1897&lt;&gt;"Venta","",D1897*IFERROR(INDEX(Productos!$D$2:$D$501,MATCH(B1897,Productos!$A$2:$A$501,0)),0))</f>
        <v/>
      </c>
      <c r="G1897" s="32">
        <f>IF(C1897&lt;&gt;"Venta","",D1897*IFERROR(INDEX(Productos!$E$2:$E$501,MATCH(B1897,Productos!$A$2:$A$501,0)),0))</f>
        <v/>
      </c>
      <c r="H1897" s="33">
        <f>IF(A1897="","",MONTH(A1897))</f>
        <v/>
      </c>
      <c r="I1897" s="33">
        <f>IF(A1897="","",YEAR(A1897))</f>
        <v/>
      </c>
    </row>
    <row r="1898" ht="15" customHeight="1" s="21">
      <c r="A1898" s="34" t="n"/>
      <c r="B1898" s="30" t="n"/>
      <c r="C1898" s="30" t="n"/>
      <c r="D1898" s="30" t="n"/>
      <c r="E1898" s="33">
        <f>IF(B1898="","",IFERROR(INDEX(Productos!$B$2:$B$501,MATCH(B1898,Productos!$A$2:$A$501,0)),"¿Código?"))</f>
        <v/>
      </c>
      <c r="F1898" s="32">
        <f>IF(C1898&lt;&gt;"Venta","",D1898*IFERROR(INDEX(Productos!$D$2:$D$501,MATCH(B1898,Productos!$A$2:$A$501,0)),0))</f>
        <v/>
      </c>
      <c r="G1898" s="32">
        <f>IF(C1898&lt;&gt;"Venta","",D1898*IFERROR(INDEX(Productos!$E$2:$E$501,MATCH(B1898,Productos!$A$2:$A$501,0)),0))</f>
        <v/>
      </c>
      <c r="H1898" s="33">
        <f>IF(A1898="","",MONTH(A1898))</f>
        <v/>
      </c>
      <c r="I1898" s="33">
        <f>IF(A1898="","",YEAR(A1898))</f>
        <v/>
      </c>
    </row>
    <row r="1899" ht="15" customHeight="1" s="21">
      <c r="A1899" s="34" t="n"/>
      <c r="B1899" s="30" t="n"/>
      <c r="C1899" s="30" t="n"/>
      <c r="D1899" s="30" t="n"/>
      <c r="E1899" s="33">
        <f>IF(B1899="","",IFERROR(INDEX(Productos!$B$2:$B$501,MATCH(B1899,Productos!$A$2:$A$501,0)),"¿Código?"))</f>
        <v/>
      </c>
      <c r="F1899" s="32">
        <f>IF(C1899&lt;&gt;"Venta","",D1899*IFERROR(INDEX(Productos!$D$2:$D$501,MATCH(B1899,Productos!$A$2:$A$501,0)),0))</f>
        <v/>
      </c>
      <c r="G1899" s="32">
        <f>IF(C1899&lt;&gt;"Venta","",D1899*IFERROR(INDEX(Productos!$E$2:$E$501,MATCH(B1899,Productos!$A$2:$A$501,0)),0))</f>
        <v/>
      </c>
      <c r="H1899" s="33">
        <f>IF(A1899="","",MONTH(A1899))</f>
        <v/>
      </c>
      <c r="I1899" s="33">
        <f>IF(A1899="","",YEAR(A1899))</f>
        <v/>
      </c>
    </row>
    <row r="1900" ht="15" customHeight="1" s="21">
      <c r="A1900" s="34" t="n"/>
      <c r="B1900" s="30" t="n"/>
      <c r="C1900" s="30" t="n"/>
      <c r="D1900" s="30" t="n"/>
      <c r="E1900" s="33">
        <f>IF(B1900="","",IFERROR(INDEX(Productos!$B$2:$B$501,MATCH(B1900,Productos!$A$2:$A$501,0)),"¿Código?"))</f>
        <v/>
      </c>
      <c r="F1900" s="32">
        <f>IF(C1900&lt;&gt;"Venta","",D1900*IFERROR(INDEX(Productos!$D$2:$D$501,MATCH(B1900,Productos!$A$2:$A$501,0)),0))</f>
        <v/>
      </c>
      <c r="G1900" s="32">
        <f>IF(C1900&lt;&gt;"Venta","",D1900*IFERROR(INDEX(Productos!$E$2:$E$501,MATCH(B1900,Productos!$A$2:$A$501,0)),0))</f>
        <v/>
      </c>
      <c r="H1900" s="33">
        <f>IF(A1900="","",MONTH(A1900))</f>
        <v/>
      </c>
      <c r="I1900" s="33">
        <f>IF(A1900="","",YEAR(A1900))</f>
        <v/>
      </c>
    </row>
    <row r="1901" ht="15" customHeight="1" s="21">
      <c r="A1901" s="34" t="n"/>
      <c r="B1901" s="30" t="n"/>
      <c r="C1901" s="30" t="n"/>
      <c r="D1901" s="30" t="n"/>
      <c r="E1901" s="33">
        <f>IF(B1901="","",IFERROR(INDEX(Productos!$B$2:$B$501,MATCH(B1901,Productos!$A$2:$A$501,0)),"¿Código?"))</f>
        <v/>
      </c>
      <c r="F1901" s="32">
        <f>IF(C1901&lt;&gt;"Venta","",D1901*IFERROR(INDEX(Productos!$D$2:$D$501,MATCH(B1901,Productos!$A$2:$A$501,0)),0))</f>
        <v/>
      </c>
      <c r="G1901" s="32">
        <f>IF(C1901&lt;&gt;"Venta","",D1901*IFERROR(INDEX(Productos!$E$2:$E$501,MATCH(B1901,Productos!$A$2:$A$501,0)),0))</f>
        <v/>
      </c>
      <c r="H1901" s="33">
        <f>IF(A1901="","",MONTH(A1901))</f>
        <v/>
      </c>
      <c r="I1901" s="33">
        <f>IF(A1901="","",YEAR(A1901))</f>
        <v/>
      </c>
    </row>
    <row r="1902" ht="15" customHeight="1" s="21">
      <c r="A1902" s="34" t="n"/>
      <c r="B1902" s="30" t="n"/>
      <c r="C1902" s="30" t="n"/>
      <c r="D1902" s="30" t="n"/>
      <c r="E1902" s="33">
        <f>IF(B1902="","",IFERROR(INDEX(Productos!$B$2:$B$501,MATCH(B1902,Productos!$A$2:$A$501,0)),"¿Código?"))</f>
        <v/>
      </c>
      <c r="F1902" s="32">
        <f>IF(C1902&lt;&gt;"Venta","",D1902*IFERROR(INDEX(Productos!$D$2:$D$501,MATCH(B1902,Productos!$A$2:$A$501,0)),0))</f>
        <v/>
      </c>
      <c r="G1902" s="32">
        <f>IF(C1902&lt;&gt;"Venta","",D1902*IFERROR(INDEX(Productos!$E$2:$E$501,MATCH(B1902,Productos!$A$2:$A$501,0)),0))</f>
        <v/>
      </c>
      <c r="H1902" s="33">
        <f>IF(A1902="","",MONTH(A1902))</f>
        <v/>
      </c>
      <c r="I1902" s="33">
        <f>IF(A1902="","",YEAR(A1902))</f>
        <v/>
      </c>
    </row>
    <row r="1903" ht="15" customHeight="1" s="21">
      <c r="A1903" s="34" t="n"/>
      <c r="B1903" s="30" t="n"/>
      <c r="C1903" s="30" t="n"/>
      <c r="D1903" s="30" t="n"/>
      <c r="E1903" s="33">
        <f>IF(B1903="","",IFERROR(INDEX(Productos!$B$2:$B$501,MATCH(B1903,Productos!$A$2:$A$501,0)),"¿Código?"))</f>
        <v/>
      </c>
      <c r="F1903" s="32">
        <f>IF(C1903&lt;&gt;"Venta","",D1903*IFERROR(INDEX(Productos!$D$2:$D$501,MATCH(B1903,Productos!$A$2:$A$501,0)),0))</f>
        <v/>
      </c>
      <c r="G1903" s="32">
        <f>IF(C1903&lt;&gt;"Venta","",D1903*IFERROR(INDEX(Productos!$E$2:$E$501,MATCH(B1903,Productos!$A$2:$A$501,0)),0))</f>
        <v/>
      </c>
      <c r="H1903" s="33">
        <f>IF(A1903="","",MONTH(A1903))</f>
        <v/>
      </c>
      <c r="I1903" s="33">
        <f>IF(A1903="","",YEAR(A1903))</f>
        <v/>
      </c>
    </row>
    <row r="1904" ht="15" customHeight="1" s="21">
      <c r="A1904" s="34" t="n"/>
      <c r="B1904" s="30" t="n"/>
      <c r="C1904" s="30" t="n"/>
      <c r="D1904" s="30" t="n"/>
      <c r="E1904" s="33">
        <f>IF(B1904="","",IFERROR(INDEX(Productos!$B$2:$B$501,MATCH(B1904,Productos!$A$2:$A$501,0)),"¿Código?"))</f>
        <v/>
      </c>
      <c r="F1904" s="32">
        <f>IF(C1904&lt;&gt;"Venta","",D1904*IFERROR(INDEX(Productos!$D$2:$D$501,MATCH(B1904,Productos!$A$2:$A$501,0)),0))</f>
        <v/>
      </c>
      <c r="G1904" s="32">
        <f>IF(C1904&lt;&gt;"Venta","",D1904*IFERROR(INDEX(Productos!$E$2:$E$501,MATCH(B1904,Productos!$A$2:$A$501,0)),0))</f>
        <v/>
      </c>
      <c r="H1904" s="33">
        <f>IF(A1904="","",MONTH(A1904))</f>
        <v/>
      </c>
      <c r="I1904" s="33">
        <f>IF(A1904="","",YEAR(A1904))</f>
        <v/>
      </c>
    </row>
    <row r="1905" ht="15" customHeight="1" s="21">
      <c r="A1905" s="34" t="n"/>
      <c r="B1905" s="30" t="n"/>
      <c r="C1905" s="30" t="n"/>
      <c r="D1905" s="30" t="n"/>
      <c r="E1905" s="33">
        <f>IF(B1905="","",IFERROR(INDEX(Productos!$B$2:$B$501,MATCH(B1905,Productos!$A$2:$A$501,0)),"¿Código?"))</f>
        <v/>
      </c>
      <c r="F1905" s="32">
        <f>IF(C1905&lt;&gt;"Venta","",D1905*IFERROR(INDEX(Productos!$D$2:$D$501,MATCH(B1905,Productos!$A$2:$A$501,0)),0))</f>
        <v/>
      </c>
      <c r="G1905" s="32">
        <f>IF(C1905&lt;&gt;"Venta","",D1905*IFERROR(INDEX(Productos!$E$2:$E$501,MATCH(B1905,Productos!$A$2:$A$501,0)),0))</f>
        <v/>
      </c>
      <c r="H1905" s="33">
        <f>IF(A1905="","",MONTH(A1905))</f>
        <v/>
      </c>
      <c r="I1905" s="33">
        <f>IF(A1905="","",YEAR(A1905))</f>
        <v/>
      </c>
    </row>
    <row r="1906" ht="15" customHeight="1" s="21">
      <c r="A1906" s="34" t="n"/>
      <c r="B1906" s="30" t="n"/>
      <c r="C1906" s="30" t="n"/>
      <c r="D1906" s="30" t="n"/>
      <c r="E1906" s="33">
        <f>IF(B1906="","",IFERROR(INDEX(Productos!$B$2:$B$501,MATCH(B1906,Productos!$A$2:$A$501,0)),"¿Código?"))</f>
        <v/>
      </c>
      <c r="F1906" s="32">
        <f>IF(C1906&lt;&gt;"Venta","",D1906*IFERROR(INDEX(Productos!$D$2:$D$501,MATCH(B1906,Productos!$A$2:$A$501,0)),0))</f>
        <v/>
      </c>
      <c r="G1906" s="32">
        <f>IF(C1906&lt;&gt;"Venta","",D1906*IFERROR(INDEX(Productos!$E$2:$E$501,MATCH(B1906,Productos!$A$2:$A$501,0)),0))</f>
        <v/>
      </c>
      <c r="H1906" s="33">
        <f>IF(A1906="","",MONTH(A1906))</f>
        <v/>
      </c>
      <c r="I1906" s="33">
        <f>IF(A1906="","",YEAR(A1906))</f>
        <v/>
      </c>
    </row>
    <row r="1907" ht="15" customHeight="1" s="21">
      <c r="A1907" s="34" t="n"/>
      <c r="B1907" s="30" t="n"/>
      <c r="C1907" s="30" t="n"/>
      <c r="D1907" s="30" t="n"/>
      <c r="E1907" s="33">
        <f>IF(B1907="","",IFERROR(INDEX(Productos!$B$2:$B$501,MATCH(B1907,Productos!$A$2:$A$501,0)),"¿Código?"))</f>
        <v/>
      </c>
      <c r="F1907" s="32">
        <f>IF(C1907&lt;&gt;"Venta","",D1907*IFERROR(INDEX(Productos!$D$2:$D$501,MATCH(B1907,Productos!$A$2:$A$501,0)),0))</f>
        <v/>
      </c>
      <c r="G1907" s="32">
        <f>IF(C1907&lt;&gt;"Venta","",D1907*IFERROR(INDEX(Productos!$E$2:$E$501,MATCH(B1907,Productos!$A$2:$A$501,0)),0))</f>
        <v/>
      </c>
      <c r="H1907" s="33">
        <f>IF(A1907="","",MONTH(A1907))</f>
        <v/>
      </c>
      <c r="I1907" s="33">
        <f>IF(A1907="","",YEAR(A1907))</f>
        <v/>
      </c>
    </row>
    <row r="1908" ht="15" customHeight="1" s="21">
      <c r="A1908" s="34" t="n"/>
      <c r="B1908" s="30" t="n"/>
      <c r="C1908" s="30" t="n"/>
      <c r="D1908" s="30" t="n"/>
      <c r="E1908" s="33">
        <f>IF(B1908="","",IFERROR(INDEX(Productos!$B$2:$B$501,MATCH(B1908,Productos!$A$2:$A$501,0)),"¿Código?"))</f>
        <v/>
      </c>
      <c r="F1908" s="32">
        <f>IF(C1908&lt;&gt;"Venta","",D1908*IFERROR(INDEX(Productos!$D$2:$D$501,MATCH(B1908,Productos!$A$2:$A$501,0)),0))</f>
        <v/>
      </c>
      <c r="G1908" s="32">
        <f>IF(C1908&lt;&gt;"Venta","",D1908*IFERROR(INDEX(Productos!$E$2:$E$501,MATCH(B1908,Productos!$A$2:$A$501,0)),0))</f>
        <v/>
      </c>
      <c r="H1908" s="33">
        <f>IF(A1908="","",MONTH(A1908))</f>
        <v/>
      </c>
      <c r="I1908" s="33">
        <f>IF(A1908="","",YEAR(A1908))</f>
        <v/>
      </c>
    </row>
    <row r="1909" ht="15" customHeight="1" s="21">
      <c r="A1909" s="34" t="n"/>
      <c r="B1909" s="30" t="n"/>
      <c r="C1909" s="30" t="n"/>
      <c r="D1909" s="30" t="n"/>
      <c r="E1909" s="33">
        <f>IF(B1909="","",IFERROR(INDEX(Productos!$B$2:$B$501,MATCH(B1909,Productos!$A$2:$A$501,0)),"¿Código?"))</f>
        <v/>
      </c>
      <c r="F1909" s="32">
        <f>IF(C1909&lt;&gt;"Venta","",D1909*IFERROR(INDEX(Productos!$D$2:$D$501,MATCH(B1909,Productos!$A$2:$A$501,0)),0))</f>
        <v/>
      </c>
      <c r="G1909" s="32">
        <f>IF(C1909&lt;&gt;"Venta","",D1909*IFERROR(INDEX(Productos!$E$2:$E$501,MATCH(B1909,Productos!$A$2:$A$501,0)),0))</f>
        <v/>
      </c>
      <c r="H1909" s="33">
        <f>IF(A1909="","",MONTH(A1909))</f>
        <v/>
      </c>
      <c r="I1909" s="33">
        <f>IF(A1909="","",YEAR(A1909))</f>
        <v/>
      </c>
    </row>
    <row r="1910" ht="15" customHeight="1" s="21">
      <c r="A1910" s="34" t="n"/>
      <c r="B1910" s="30" t="n"/>
      <c r="C1910" s="30" t="n"/>
      <c r="D1910" s="30" t="n"/>
      <c r="E1910" s="33">
        <f>IF(B1910="","",IFERROR(INDEX(Productos!$B$2:$B$501,MATCH(B1910,Productos!$A$2:$A$501,0)),"¿Código?"))</f>
        <v/>
      </c>
      <c r="F1910" s="32">
        <f>IF(C1910&lt;&gt;"Venta","",D1910*IFERROR(INDEX(Productos!$D$2:$D$501,MATCH(B1910,Productos!$A$2:$A$501,0)),0))</f>
        <v/>
      </c>
      <c r="G1910" s="32">
        <f>IF(C1910&lt;&gt;"Venta","",D1910*IFERROR(INDEX(Productos!$E$2:$E$501,MATCH(B1910,Productos!$A$2:$A$501,0)),0))</f>
        <v/>
      </c>
      <c r="H1910" s="33">
        <f>IF(A1910="","",MONTH(A1910))</f>
        <v/>
      </c>
      <c r="I1910" s="33">
        <f>IF(A1910="","",YEAR(A1910))</f>
        <v/>
      </c>
    </row>
    <row r="1911" ht="15" customHeight="1" s="21">
      <c r="A1911" s="34" t="n"/>
      <c r="B1911" s="30" t="n"/>
      <c r="C1911" s="30" t="n"/>
      <c r="D1911" s="30" t="n"/>
      <c r="E1911" s="33">
        <f>IF(B1911="","",IFERROR(INDEX(Productos!$B$2:$B$501,MATCH(B1911,Productos!$A$2:$A$501,0)),"¿Código?"))</f>
        <v/>
      </c>
      <c r="F1911" s="32">
        <f>IF(C1911&lt;&gt;"Venta","",D1911*IFERROR(INDEX(Productos!$D$2:$D$501,MATCH(B1911,Productos!$A$2:$A$501,0)),0))</f>
        <v/>
      </c>
      <c r="G1911" s="32">
        <f>IF(C1911&lt;&gt;"Venta","",D1911*IFERROR(INDEX(Productos!$E$2:$E$501,MATCH(B1911,Productos!$A$2:$A$501,0)),0))</f>
        <v/>
      </c>
      <c r="H1911" s="33">
        <f>IF(A1911="","",MONTH(A1911))</f>
        <v/>
      </c>
      <c r="I1911" s="33">
        <f>IF(A1911="","",YEAR(A1911))</f>
        <v/>
      </c>
    </row>
    <row r="1912" ht="15" customHeight="1" s="21">
      <c r="A1912" s="34" t="n"/>
      <c r="B1912" s="30" t="n"/>
      <c r="C1912" s="30" t="n"/>
      <c r="D1912" s="30" t="n"/>
      <c r="E1912" s="33">
        <f>IF(B1912="","",IFERROR(INDEX(Productos!$B$2:$B$501,MATCH(B1912,Productos!$A$2:$A$501,0)),"¿Código?"))</f>
        <v/>
      </c>
      <c r="F1912" s="32">
        <f>IF(C1912&lt;&gt;"Venta","",D1912*IFERROR(INDEX(Productos!$D$2:$D$501,MATCH(B1912,Productos!$A$2:$A$501,0)),0))</f>
        <v/>
      </c>
      <c r="G1912" s="32">
        <f>IF(C1912&lt;&gt;"Venta","",D1912*IFERROR(INDEX(Productos!$E$2:$E$501,MATCH(B1912,Productos!$A$2:$A$501,0)),0))</f>
        <v/>
      </c>
      <c r="H1912" s="33">
        <f>IF(A1912="","",MONTH(A1912))</f>
        <v/>
      </c>
      <c r="I1912" s="33">
        <f>IF(A1912="","",YEAR(A1912))</f>
        <v/>
      </c>
    </row>
    <row r="1913" ht="15" customHeight="1" s="21">
      <c r="A1913" s="34" t="n"/>
      <c r="B1913" s="30" t="n"/>
      <c r="C1913" s="30" t="n"/>
      <c r="D1913" s="30" t="n"/>
      <c r="E1913" s="33">
        <f>IF(B1913="","",IFERROR(INDEX(Productos!$B$2:$B$501,MATCH(B1913,Productos!$A$2:$A$501,0)),"¿Código?"))</f>
        <v/>
      </c>
      <c r="F1913" s="32">
        <f>IF(C1913&lt;&gt;"Venta","",D1913*IFERROR(INDEX(Productos!$D$2:$D$501,MATCH(B1913,Productos!$A$2:$A$501,0)),0))</f>
        <v/>
      </c>
      <c r="G1913" s="32">
        <f>IF(C1913&lt;&gt;"Venta","",D1913*IFERROR(INDEX(Productos!$E$2:$E$501,MATCH(B1913,Productos!$A$2:$A$501,0)),0))</f>
        <v/>
      </c>
      <c r="H1913" s="33">
        <f>IF(A1913="","",MONTH(A1913))</f>
        <v/>
      </c>
      <c r="I1913" s="33">
        <f>IF(A1913="","",YEAR(A1913))</f>
        <v/>
      </c>
    </row>
    <row r="1914" ht="15" customHeight="1" s="21">
      <c r="A1914" s="34" t="n"/>
      <c r="B1914" s="30" t="n"/>
      <c r="C1914" s="30" t="n"/>
      <c r="D1914" s="30" t="n"/>
      <c r="E1914" s="33">
        <f>IF(B1914="","",IFERROR(INDEX(Productos!$B$2:$B$501,MATCH(B1914,Productos!$A$2:$A$501,0)),"¿Código?"))</f>
        <v/>
      </c>
      <c r="F1914" s="32">
        <f>IF(C1914&lt;&gt;"Venta","",D1914*IFERROR(INDEX(Productos!$D$2:$D$501,MATCH(B1914,Productos!$A$2:$A$501,0)),0))</f>
        <v/>
      </c>
      <c r="G1914" s="32">
        <f>IF(C1914&lt;&gt;"Venta","",D1914*IFERROR(INDEX(Productos!$E$2:$E$501,MATCH(B1914,Productos!$A$2:$A$501,0)),0))</f>
        <v/>
      </c>
      <c r="H1914" s="33">
        <f>IF(A1914="","",MONTH(A1914))</f>
        <v/>
      </c>
      <c r="I1914" s="33">
        <f>IF(A1914="","",YEAR(A1914))</f>
        <v/>
      </c>
    </row>
    <row r="1915" ht="15" customHeight="1" s="21">
      <c r="A1915" s="34" t="n"/>
      <c r="B1915" s="30" t="n"/>
      <c r="C1915" s="30" t="n"/>
      <c r="D1915" s="30" t="n"/>
      <c r="E1915" s="33">
        <f>IF(B1915="","",IFERROR(INDEX(Productos!$B$2:$B$501,MATCH(B1915,Productos!$A$2:$A$501,0)),"¿Código?"))</f>
        <v/>
      </c>
      <c r="F1915" s="32">
        <f>IF(C1915&lt;&gt;"Venta","",D1915*IFERROR(INDEX(Productos!$D$2:$D$501,MATCH(B1915,Productos!$A$2:$A$501,0)),0))</f>
        <v/>
      </c>
      <c r="G1915" s="32">
        <f>IF(C1915&lt;&gt;"Venta","",D1915*IFERROR(INDEX(Productos!$E$2:$E$501,MATCH(B1915,Productos!$A$2:$A$501,0)),0))</f>
        <v/>
      </c>
      <c r="H1915" s="33">
        <f>IF(A1915="","",MONTH(A1915))</f>
        <v/>
      </c>
      <c r="I1915" s="33">
        <f>IF(A1915="","",YEAR(A1915))</f>
        <v/>
      </c>
    </row>
    <row r="1916" ht="15" customHeight="1" s="21">
      <c r="A1916" s="34" t="n"/>
      <c r="B1916" s="30" t="n"/>
      <c r="C1916" s="30" t="n"/>
      <c r="D1916" s="30" t="n"/>
      <c r="E1916" s="33">
        <f>IF(B1916="","",IFERROR(INDEX(Productos!$B$2:$B$501,MATCH(B1916,Productos!$A$2:$A$501,0)),"¿Código?"))</f>
        <v/>
      </c>
      <c r="F1916" s="32">
        <f>IF(C1916&lt;&gt;"Venta","",D1916*IFERROR(INDEX(Productos!$D$2:$D$501,MATCH(B1916,Productos!$A$2:$A$501,0)),0))</f>
        <v/>
      </c>
      <c r="G1916" s="32">
        <f>IF(C1916&lt;&gt;"Venta","",D1916*IFERROR(INDEX(Productos!$E$2:$E$501,MATCH(B1916,Productos!$A$2:$A$501,0)),0))</f>
        <v/>
      </c>
      <c r="H1916" s="33">
        <f>IF(A1916="","",MONTH(A1916))</f>
        <v/>
      </c>
      <c r="I1916" s="33">
        <f>IF(A1916="","",YEAR(A1916))</f>
        <v/>
      </c>
    </row>
    <row r="1917" ht="15" customHeight="1" s="21">
      <c r="A1917" s="34" t="n"/>
      <c r="B1917" s="30" t="n"/>
      <c r="C1917" s="30" t="n"/>
      <c r="D1917" s="30" t="n"/>
      <c r="E1917" s="33">
        <f>IF(B1917="","",IFERROR(INDEX(Productos!$B$2:$B$501,MATCH(B1917,Productos!$A$2:$A$501,0)),"¿Código?"))</f>
        <v/>
      </c>
      <c r="F1917" s="32">
        <f>IF(C1917&lt;&gt;"Venta","",D1917*IFERROR(INDEX(Productos!$D$2:$D$501,MATCH(B1917,Productos!$A$2:$A$501,0)),0))</f>
        <v/>
      </c>
      <c r="G1917" s="32">
        <f>IF(C1917&lt;&gt;"Venta","",D1917*IFERROR(INDEX(Productos!$E$2:$E$501,MATCH(B1917,Productos!$A$2:$A$501,0)),0))</f>
        <v/>
      </c>
      <c r="H1917" s="33">
        <f>IF(A1917="","",MONTH(A1917))</f>
        <v/>
      </c>
      <c r="I1917" s="33">
        <f>IF(A1917="","",YEAR(A1917))</f>
        <v/>
      </c>
    </row>
    <row r="1918" ht="15" customHeight="1" s="21">
      <c r="A1918" s="34" t="n"/>
      <c r="B1918" s="30" t="n"/>
      <c r="C1918" s="30" t="n"/>
      <c r="D1918" s="30" t="n"/>
      <c r="E1918" s="33">
        <f>IF(B1918="","",IFERROR(INDEX(Productos!$B$2:$B$501,MATCH(B1918,Productos!$A$2:$A$501,0)),"¿Código?"))</f>
        <v/>
      </c>
      <c r="F1918" s="32">
        <f>IF(C1918&lt;&gt;"Venta","",D1918*IFERROR(INDEX(Productos!$D$2:$D$501,MATCH(B1918,Productos!$A$2:$A$501,0)),0))</f>
        <v/>
      </c>
      <c r="G1918" s="32">
        <f>IF(C1918&lt;&gt;"Venta","",D1918*IFERROR(INDEX(Productos!$E$2:$E$501,MATCH(B1918,Productos!$A$2:$A$501,0)),0))</f>
        <v/>
      </c>
      <c r="H1918" s="33">
        <f>IF(A1918="","",MONTH(A1918))</f>
        <v/>
      </c>
      <c r="I1918" s="33">
        <f>IF(A1918="","",YEAR(A1918))</f>
        <v/>
      </c>
    </row>
    <row r="1919" ht="15" customHeight="1" s="21">
      <c r="A1919" s="34" t="n"/>
      <c r="B1919" s="30" t="n"/>
      <c r="C1919" s="30" t="n"/>
      <c r="D1919" s="30" t="n"/>
      <c r="E1919" s="33">
        <f>IF(B1919="","",IFERROR(INDEX(Productos!$B$2:$B$501,MATCH(B1919,Productos!$A$2:$A$501,0)),"¿Código?"))</f>
        <v/>
      </c>
      <c r="F1919" s="32">
        <f>IF(C1919&lt;&gt;"Venta","",D1919*IFERROR(INDEX(Productos!$D$2:$D$501,MATCH(B1919,Productos!$A$2:$A$501,0)),0))</f>
        <v/>
      </c>
      <c r="G1919" s="32">
        <f>IF(C1919&lt;&gt;"Venta","",D1919*IFERROR(INDEX(Productos!$E$2:$E$501,MATCH(B1919,Productos!$A$2:$A$501,0)),0))</f>
        <v/>
      </c>
      <c r="H1919" s="33">
        <f>IF(A1919="","",MONTH(A1919))</f>
        <v/>
      </c>
      <c r="I1919" s="33">
        <f>IF(A1919="","",YEAR(A1919))</f>
        <v/>
      </c>
    </row>
    <row r="1920" ht="15" customHeight="1" s="21">
      <c r="A1920" s="34" t="n"/>
      <c r="B1920" s="30" t="n"/>
      <c r="C1920" s="30" t="n"/>
      <c r="D1920" s="30" t="n"/>
      <c r="E1920" s="33">
        <f>IF(B1920="","",IFERROR(INDEX(Productos!$B$2:$B$501,MATCH(B1920,Productos!$A$2:$A$501,0)),"¿Código?"))</f>
        <v/>
      </c>
      <c r="F1920" s="32">
        <f>IF(C1920&lt;&gt;"Venta","",D1920*IFERROR(INDEX(Productos!$D$2:$D$501,MATCH(B1920,Productos!$A$2:$A$501,0)),0))</f>
        <v/>
      </c>
      <c r="G1920" s="32">
        <f>IF(C1920&lt;&gt;"Venta","",D1920*IFERROR(INDEX(Productos!$E$2:$E$501,MATCH(B1920,Productos!$A$2:$A$501,0)),0))</f>
        <v/>
      </c>
      <c r="H1920" s="33">
        <f>IF(A1920="","",MONTH(A1920))</f>
        <v/>
      </c>
      <c r="I1920" s="33">
        <f>IF(A1920="","",YEAR(A1920))</f>
        <v/>
      </c>
    </row>
    <row r="1921" ht="15" customHeight="1" s="21">
      <c r="A1921" s="34" t="n"/>
      <c r="B1921" s="30" t="n"/>
      <c r="C1921" s="30" t="n"/>
      <c r="D1921" s="30" t="n"/>
      <c r="E1921" s="33">
        <f>IF(B1921="","",IFERROR(INDEX(Productos!$B$2:$B$501,MATCH(B1921,Productos!$A$2:$A$501,0)),"¿Código?"))</f>
        <v/>
      </c>
      <c r="F1921" s="32">
        <f>IF(C1921&lt;&gt;"Venta","",D1921*IFERROR(INDEX(Productos!$D$2:$D$501,MATCH(B1921,Productos!$A$2:$A$501,0)),0))</f>
        <v/>
      </c>
      <c r="G1921" s="32">
        <f>IF(C1921&lt;&gt;"Venta","",D1921*IFERROR(INDEX(Productos!$E$2:$E$501,MATCH(B1921,Productos!$A$2:$A$501,0)),0))</f>
        <v/>
      </c>
      <c r="H1921" s="33">
        <f>IF(A1921="","",MONTH(A1921))</f>
        <v/>
      </c>
      <c r="I1921" s="33">
        <f>IF(A1921="","",YEAR(A1921))</f>
        <v/>
      </c>
    </row>
    <row r="1922" ht="15" customHeight="1" s="21">
      <c r="A1922" s="34" t="n"/>
      <c r="B1922" s="30" t="n"/>
      <c r="C1922" s="30" t="n"/>
      <c r="D1922" s="30" t="n"/>
      <c r="E1922" s="33">
        <f>IF(B1922="","",IFERROR(INDEX(Productos!$B$2:$B$501,MATCH(B1922,Productos!$A$2:$A$501,0)),"¿Código?"))</f>
        <v/>
      </c>
      <c r="F1922" s="32">
        <f>IF(C1922&lt;&gt;"Venta","",D1922*IFERROR(INDEX(Productos!$D$2:$D$501,MATCH(B1922,Productos!$A$2:$A$501,0)),0))</f>
        <v/>
      </c>
      <c r="G1922" s="32">
        <f>IF(C1922&lt;&gt;"Venta","",D1922*IFERROR(INDEX(Productos!$E$2:$E$501,MATCH(B1922,Productos!$A$2:$A$501,0)),0))</f>
        <v/>
      </c>
      <c r="H1922" s="33">
        <f>IF(A1922="","",MONTH(A1922))</f>
        <v/>
      </c>
      <c r="I1922" s="33">
        <f>IF(A1922="","",YEAR(A1922))</f>
        <v/>
      </c>
    </row>
    <row r="1923" ht="15" customHeight="1" s="21">
      <c r="A1923" s="34" t="n"/>
      <c r="B1923" s="30" t="n"/>
      <c r="C1923" s="30" t="n"/>
      <c r="D1923" s="30" t="n"/>
      <c r="E1923" s="33">
        <f>IF(B1923="","",IFERROR(INDEX(Productos!$B$2:$B$501,MATCH(B1923,Productos!$A$2:$A$501,0)),"¿Código?"))</f>
        <v/>
      </c>
      <c r="F1923" s="32">
        <f>IF(C1923&lt;&gt;"Venta","",D1923*IFERROR(INDEX(Productos!$D$2:$D$501,MATCH(B1923,Productos!$A$2:$A$501,0)),0))</f>
        <v/>
      </c>
      <c r="G1923" s="32">
        <f>IF(C1923&lt;&gt;"Venta","",D1923*IFERROR(INDEX(Productos!$E$2:$E$501,MATCH(B1923,Productos!$A$2:$A$501,0)),0))</f>
        <v/>
      </c>
      <c r="H1923" s="33">
        <f>IF(A1923="","",MONTH(A1923))</f>
        <v/>
      </c>
      <c r="I1923" s="33">
        <f>IF(A1923="","",YEAR(A1923))</f>
        <v/>
      </c>
    </row>
    <row r="1924" ht="15" customHeight="1" s="21">
      <c r="A1924" s="34" t="n"/>
      <c r="B1924" s="30" t="n"/>
      <c r="C1924" s="30" t="n"/>
      <c r="D1924" s="30" t="n"/>
      <c r="E1924" s="33">
        <f>IF(B1924="","",IFERROR(INDEX(Productos!$B$2:$B$501,MATCH(B1924,Productos!$A$2:$A$501,0)),"¿Código?"))</f>
        <v/>
      </c>
      <c r="F1924" s="32">
        <f>IF(C1924&lt;&gt;"Venta","",D1924*IFERROR(INDEX(Productos!$D$2:$D$501,MATCH(B1924,Productos!$A$2:$A$501,0)),0))</f>
        <v/>
      </c>
      <c r="G1924" s="32">
        <f>IF(C1924&lt;&gt;"Venta","",D1924*IFERROR(INDEX(Productos!$E$2:$E$501,MATCH(B1924,Productos!$A$2:$A$501,0)),0))</f>
        <v/>
      </c>
      <c r="H1924" s="33">
        <f>IF(A1924="","",MONTH(A1924))</f>
        <v/>
      </c>
      <c r="I1924" s="33">
        <f>IF(A1924="","",YEAR(A1924))</f>
        <v/>
      </c>
    </row>
    <row r="1925" ht="15" customHeight="1" s="21">
      <c r="A1925" s="34" t="n"/>
      <c r="B1925" s="30" t="n"/>
      <c r="C1925" s="30" t="n"/>
      <c r="D1925" s="30" t="n"/>
      <c r="E1925" s="33">
        <f>IF(B1925="","",IFERROR(INDEX(Productos!$B$2:$B$501,MATCH(B1925,Productos!$A$2:$A$501,0)),"¿Código?"))</f>
        <v/>
      </c>
      <c r="F1925" s="32">
        <f>IF(C1925&lt;&gt;"Venta","",D1925*IFERROR(INDEX(Productos!$D$2:$D$501,MATCH(B1925,Productos!$A$2:$A$501,0)),0))</f>
        <v/>
      </c>
      <c r="G1925" s="32">
        <f>IF(C1925&lt;&gt;"Venta","",D1925*IFERROR(INDEX(Productos!$E$2:$E$501,MATCH(B1925,Productos!$A$2:$A$501,0)),0))</f>
        <v/>
      </c>
      <c r="H1925" s="33">
        <f>IF(A1925="","",MONTH(A1925))</f>
        <v/>
      </c>
      <c r="I1925" s="33">
        <f>IF(A1925="","",YEAR(A1925))</f>
        <v/>
      </c>
    </row>
    <row r="1926" ht="15" customHeight="1" s="21">
      <c r="A1926" s="34" t="n"/>
      <c r="B1926" s="30" t="n"/>
      <c r="C1926" s="30" t="n"/>
      <c r="D1926" s="30" t="n"/>
      <c r="E1926" s="33">
        <f>IF(B1926="","",IFERROR(INDEX(Productos!$B$2:$B$501,MATCH(B1926,Productos!$A$2:$A$501,0)),"¿Código?"))</f>
        <v/>
      </c>
      <c r="F1926" s="32">
        <f>IF(C1926&lt;&gt;"Venta","",D1926*IFERROR(INDEX(Productos!$D$2:$D$501,MATCH(B1926,Productos!$A$2:$A$501,0)),0))</f>
        <v/>
      </c>
      <c r="G1926" s="32">
        <f>IF(C1926&lt;&gt;"Venta","",D1926*IFERROR(INDEX(Productos!$E$2:$E$501,MATCH(B1926,Productos!$A$2:$A$501,0)),0))</f>
        <v/>
      </c>
      <c r="H1926" s="33">
        <f>IF(A1926="","",MONTH(A1926))</f>
        <v/>
      </c>
      <c r="I1926" s="33">
        <f>IF(A1926="","",YEAR(A1926))</f>
        <v/>
      </c>
    </row>
    <row r="1927" ht="15" customHeight="1" s="21">
      <c r="A1927" s="34" t="n"/>
      <c r="B1927" s="30" t="n"/>
      <c r="C1927" s="30" t="n"/>
      <c r="D1927" s="30" t="n"/>
      <c r="E1927" s="33">
        <f>IF(B1927="","",IFERROR(INDEX(Productos!$B$2:$B$501,MATCH(B1927,Productos!$A$2:$A$501,0)),"¿Código?"))</f>
        <v/>
      </c>
      <c r="F1927" s="32">
        <f>IF(C1927&lt;&gt;"Venta","",D1927*IFERROR(INDEX(Productos!$D$2:$D$501,MATCH(B1927,Productos!$A$2:$A$501,0)),0))</f>
        <v/>
      </c>
      <c r="G1927" s="32">
        <f>IF(C1927&lt;&gt;"Venta","",D1927*IFERROR(INDEX(Productos!$E$2:$E$501,MATCH(B1927,Productos!$A$2:$A$501,0)),0))</f>
        <v/>
      </c>
      <c r="H1927" s="33">
        <f>IF(A1927="","",MONTH(A1927))</f>
        <v/>
      </c>
      <c r="I1927" s="33">
        <f>IF(A1927="","",YEAR(A1927))</f>
        <v/>
      </c>
    </row>
    <row r="1928" ht="15" customHeight="1" s="21">
      <c r="A1928" s="34" t="n"/>
      <c r="B1928" s="30" t="n"/>
      <c r="C1928" s="30" t="n"/>
      <c r="D1928" s="30" t="n"/>
      <c r="E1928" s="33">
        <f>IF(B1928="","",IFERROR(INDEX(Productos!$B$2:$B$501,MATCH(B1928,Productos!$A$2:$A$501,0)),"¿Código?"))</f>
        <v/>
      </c>
      <c r="F1928" s="32">
        <f>IF(C1928&lt;&gt;"Venta","",D1928*IFERROR(INDEX(Productos!$D$2:$D$501,MATCH(B1928,Productos!$A$2:$A$501,0)),0))</f>
        <v/>
      </c>
      <c r="G1928" s="32">
        <f>IF(C1928&lt;&gt;"Venta","",D1928*IFERROR(INDEX(Productos!$E$2:$E$501,MATCH(B1928,Productos!$A$2:$A$501,0)),0))</f>
        <v/>
      </c>
      <c r="H1928" s="33">
        <f>IF(A1928="","",MONTH(A1928))</f>
        <v/>
      </c>
      <c r="I1928" s="33">
        <f>IF(A1928="","",YEAR(A1928))</f>
        <v/>
      </c>
    </row>
    <row r="1929" ht="15" customHeight="1" s="21">
      <c r="A1929" s="34" t="n"/>
      <c r="B1929" s="30" t="n"/>
      <c r="C1929" s="30" t="n"/>
      <c r="D1929" s="30" t="n"/>
      <c r="E1929" s="33">
        <f>IF(B1929="","",IFERROR(INDEX(Productos!$B$2:$B$501,MATCH(B1929,Productos!$A$2:$A$501,0)),"¿Código?"))</f>
        <v/>
      </c>
      <c r="F1929" s="32">
        <f>IF(C1929&lt;&gt;"Venta","",D1929*IFERROR(INDEX(Productos!$D$2:$D$501,MATCH(B1929,Productos!$A$2:$A$501,0)),0))</f>
        <v/>
      </c>
      <c r="G1929" s="32">
        <f>IF(C1929&lt;&gt;"Venta","",D1929*IFERROR(INDEX(Productos!$E$2:$E$501,MATCH(B1929,Productos!$A$2:$A$501,0)),0))</f>
        <v/>
      </c>
      <c r="H1929" s="33">
        <f>IF(A1929="","",MONTH(A1929))</f>
        <v/>
      </c>
      <c r="I1929" s="33">
        <f>IF(A1929="","",YEAR(A1929))</f>
        <v/>
      </c>
    </row>
    <row r="1930" ht="15" customHeight="1" s="21">
      <c r="A1930" s="34" t="n"/>
      <c r="B1930" s="30" t="n"/>
      <c r="C1930" s="30" t="n"/>
      <c r="D1930" s="30" t="n"/>
      <c r="E1930" s="33">
        <f>IF(B1930="","",IFERROR(INDEX(Productos!$B$2:$B$501,MATCH(B1930,Productos!$A$2:$A$501,0)),"¿Código?"))</f>
        <v/>
      </c>
      <c r="F1930" s="32">
        <f>IF(C1930&lt;&gt;"Venta","",D1930*IFERROR(INDEX(Productos!$D$2:$D$501,MATCH(B1930,Productos!$A$2:$A$501,0)),0))</f>
        <v/>
      </c>
      <c r="G1930" s="32">
        <f>IF(C1930&lt;&gt;"Venta","",D1930*IFERROR(INDEX(Productos!$E$2:$E$501,MATCH(B1930,Productos!$A$2:$A$501,0)),0))</f>
        <v/>
      </c>
      <c r="H1930" s="33">
        <f>IF(A1930="","",MONTH(A1930))</f>
        <v/>
      </c>
      <c r="I1930" s="33">
        <f>IF(A1930="","",YEAR(A1930))</f>
        <v/>
      </c>
    </row>
    <row r="1931" ht="15" customHeight="1" s="21">
      <c r="A1931" s="34" t="n"/>
      <c r="B1931" s="30" t="n"/>
      <c r="C1931" s="30" t="n"/>
      <c r="D1931" s="30" t="n"/>
      <c r="E1931" s="33">
        <f>IF(B1931="","",IFERROR(INDEX(Productos!$B$2:$B$501,MATCH(B1931,Productos!$A$2:$A$501,0)),"¿Código?"))</f>
        <v/>
      </c>
      <c r="F1931" s="32">
        <f>IF(C1931&lt;&gt;"Venta","",D1931*IFERROR(INDEX(Productos!$D$2:$D$501,MATCH(B1931,Productos!$A$2:$A$501,0)),0))</f>
        <v/>
      </c>
      <c r="G1931" s="32">
        <f>IF(C1931&lt;&gt;"Venta","",D1931*IFERROR(INDEX(Productos!$E$2:$E$501,MATCH(B1931,Productos!$A$2:$A$501,0)),0))</f>
        <v/>
      </c>
      <c r="H1931" s="33">
        <f>IF(A1931="","",MONTH(A1931))</f>
        <v/>
      </c>
      <c r="I1931" s="33">
        <f>IF(A1931="","",YEAR(A1931))</f>
        <v/>
      </c>
    </row>
    <row r="1932" ht="15" customHeight="1" s="21">
      <c r="A1932" s="34" t="n"/>
      <c r="B1932" s="30" t="n"/>
      <c r="C1932" s="30" t="n"/>
      <c r="D1932" s="30" t="n"/>
      <c r="E1932" s="33">
        <f>IF(B1932="","",IFERROR(INDEX(Productos!$B$2:$B$501,MATCH(B1932,Productos!$A$2:$A$501,0)),"¿Código?"))</f>
        <v/>
      </c>
      <c r="F1932" s="32">
        <f>IF(C1932&lt;&gt;"Venta","",D1932*IFERROR(INDEX(Productos!$D$2:$D$501,MATCH(B1932,Productos!$A$2:$A$501,0)),0))</f>
        <v/>
      </c>
      <c r="G1932" s="32">
        <f>IF(C1932&lt;&gt;"Venta","",D1932*IFERROR(INDEX(Productos!$E$2:$E$501,MATCH(B1932,Productos!$A$2:$A$501,0)),0))</f>
        <v/>
      </c>
      <c r="H1932" s="33">
        <f>IF(A1932="","",MONTH(A1932))</f>
        <v/>
      </c>
      <c r="I1932" s="33">
        <f>IF(A1932="","",YEAR(A1932))</f>
        <v/>
      </c>
    </row>
    <row r="1933" ht="15" customHeight="1" s="21">
      <c r="A1933" s="34" t="n"/>
      <c r="B1933" s="30" t="n"/>
      <c r="C1933" s="30" t="n"/>
      <c r="D1933" s="30" t="n"/>
      <c r="E1933" s="33">
        <f>IF(B1933="","",IFERROR(INDEX(Productos!$B$2:$B$501,MATCH(B1933,Productos!$A$2:$A$501,0)),"¿Código?"))</f>
        <v/>
      </c>
      <c r="F1933" s="32">
        <f>IF(C1933&lt;&gt;"Venta","",D1933*IFERROR(INDEX(Productos!$D$2:$D$501,MATCH(B1933,Productos!$A$2:$A$501,0)),0))</f>
        <v/>
      </c>
      <c r="G1933" s="32">
        <f>IF(C1933&lt;&gt;"Venta","",D1933*IFERROR(INDEX(Productos!$E$2:$E$501,MATCH(B1933,Productos!$A$2:$A$501,0)),0))</f>
        <v/>
      </c>
      <c r="H1933" s="33">
        <f>IF(A1933="","",MONTH(A1933))</f>
        <v/>
      </c>
      <c r="I1933" s="33">
        <f>IF(A1933="","",YEAR(A1933))</f>
        <v/>
      </c>
    </row>
    <row r="1934" ht="15" customHeight="1" s="21">
      <c r="A1934" s="34" t="n"/>
      <c r="B1934" s="30" t="n"/>
      <c r="C1934" s="30" t="n"/>
      <c r="D1934" s="30" t="n"/>
      <c r="E1934" s="33">
        <f>IF(B1934="","",IFERROR(INDEX(Productos!$B$2:$B$501,MATCH(B1934,Productos!$A$2:$A$501,0)),"¿Código?"))</f>
        <v/>
      </c>
      <c r="F1934" s="32">
        <f>IF(C1934&lt;&gt;"Venta","",D1934*IFERROR(INDEX(Productos!$D$2:$D$501,MATCH(B1934,Productos!$A$2:$A$501,0)),0))</f>
        <v/>
      </c>
      <c r="G1934" s="32">
        <f>IF(C1934&lt;&gt;"Venta","",D1934*IFERROR(INDEX(Productos!$E$2:$E$501,MATCH(B1934,Productos!$A$2:$A$501,0)),0))</f>
        <v/>
      </c>
      <c r="H1934" s="33">
        <f>IF(A1934="","",MONTH(A1934))</f>
        <v/>
      </c>
      <c r="I1934" s="33">
        <f>IF(A1934="","",YEAR(A1934))</f>
        <v/>
      </c>
    </row>
    <row r="1935" ht="15" customHeight="1" s="21">
      <c r="A1935" s="34" t="n"/>
      <c r="B1935" s="30" t="n"/>
      <c r="C1935" s="30" t="n"/>
      <c r="D1935" s="30" t="n"/>
      <c r="E1935" s="33">
        <f>IF(B1935="","",IFERROR(INDEX(Productos!$B$2:$B$501,MATCH(B1935,Productos!$A$2:$A$501,0)),"¿Código?"))</f>
        <v/>
      </c>
      <c r="F1935" s="32">
        <f>IF(C1935&lt;&gt;"Venta","",D1935*IFERROR(INDEX(Productos!$D$2:$D$501,MATCH(B1935,Productos!$A$2:$A$501,0)),0))</f>
        <v/>
      </c>
      <c r="G1935" s="32">
        <f>IF(C1935&lt;&gt;"Venta","",D1935*IFERROR(INDEX(Productos!$E$2:$E$501,MATCH(B1935,Productos!$A$2:$A$501,0)),0))</f>
        <v/>
      </c>
      <c r="H1935" s="33">
        <f>IF(A1935="","",MONTH(A1935))</f>
        <v/>
      </c>
      <c r="I1935" s="33">
        <f>IF(A1935="","",YEAR(A1935))</f>
        <v/>
      </c>
    </row>
    <row r="1936" ht="15" customHeight="1" s="21">
      <c r="A1936" s="34" t="n"/>
      <c r="B1936" s="30" t="n"/>
      <c r="C1936" s="30" t="n"/>
      <c r="D1936" s="30" t="n"/>
      <c r="E1936" s="33">
        <f>IF(B1936="","",IFERROR(INDEX(Productos!$B$2:$B$501,MATCH(B1936,Productos!$A$2:$A$501,0)),"¿Código?"))</f>
        <v/>
      </c>
      <c r="F1936" s="32">
        <f>IF(C1936&lt;&gt;"Venta","",D1936*IFERROR(INDEX(Productos!$D$2:$D$501,MATCH(B1936,Productos!$A$2:$A$501,0)),0))</f>
        <v/>
      </c>
      <c r="G1936" s="32">
        <f>IF(C1936&lt;&gt;"Venta","",D1936*IFERROR(INDEX(Productos!$E$2:$E$501,MATCH(B1936,Productos!$A$2:$A$501,0)),0))</f>
        <v/>
      </c>
      <c r="H1936" s="33">
        <f>IF(A1936="","",MONTH(A1936))</f>
        <v/>
      </c>
      <c r="I1936" s="33">
        <f>IF(A1936="","",YEAR(A1936))</f>
        <v/>
      </c>
    </row>
    <row r="1937" ht="15" customHeight="1" s="21">
      <c r="A1937" s="34" t="n"/>
      <c r="B1937" s="30" t="n"/>
      <c r="C1937" s="30" t="n"/>
      <c r="D1937" s="30" t="n"/>
      <c r="E1937" s="33">
        <f>IF(B1937="","",IFERROR(INDEX(Productos!$B$2:$B$501,MATCH(B1937,Productos!$A$2:$A$501,0)),"¿Código?"))</f>
        <v/>
      </c>
      <c r="F1937" s="32">
        <f>IF(C1937&lt;&gt;"Venta","",D1937*IFERROR(INDEX(Productos!$D$2:$D$501,MATCH(B1937,Productos!$A$2:$A$501,0)),0))</f>
        <v/>
      </c>
      <c r="G1937" s="32">
        <f>IF(C1937&lt;&gt;"Venta","",D1937*IFERROR(INDEX(Productos!$E$2:$E$501,MATCH(B1937,Productos!$A$2:$A$501,0)),0))</f>
        <v/>
      </c>
      <c r="H1937" s="33">
        <f>IF(A1937="","",MONTH(A1937))</f>
        <v/>
      </c>
      <c r="I1937" s="33">
        <f>IF(A1937="","",YEAR(A1937))</f>
        <v/>
      </c>
    </row>
    <row r="1938" ht="15" customHeight="1" s="21">
      <c r="A1938" s="34" t="n"/>
      <c r="B1938" s="30" t="n"/>
      <c r="C1938" s="30" t="n"/>
      <c r="D1938" s="30" t="n"/>
      <c r="E1938" s="33">
        <f>IF(B1938="","",IFERROR(INDEX(Productos!$B$2:$B$501,MATCH(B1938,Productos!$A$2:$A$501,0)),"¿Código?"))</f>
        <v/>
      </c>
      <c r="F1938" s="32">
        <f>IF(C1938&lt;&gt;"Venta","",D1938*IFERROR(INDEX(Productos!$D$2:$D$501,MATCH(B1938,Productos!$A$2:$A$501,0)),0))</f>
        <v/>
      </c>
      <c r="G1938" s="32">
        <f>IF(C1938&lt;&gt;"Venta","",D1938*IFERROR(INDEX(Productos!$E$2:$E$501,MATCH(B1938,Productos!$A$2:$A$501,0)),0))</f>
        <v/>
      </c>
      <c r="H1938" s="33">
        <f>IF(A1938="","",MONTH(A1938))</f>
        <v/>
      </c>
      <c r="I1938" s="33">
        <f>IF(A1938="","",YEAR(A1938))</f>
        <v/>
      </c>
    </row>
    <row r="1939" ht="15" customHeight="1" s="21">
      <c r="A1939" s="34" t="n"/>
      <c r="B1939" s="30" t="n"/>
      <c r="C1939" s="30" t="n"/>
      <c r="D1939" s="30" t="n"/>
      <c r="E1939" s="33">
        <f>IF(B1939="","",IFERROR(INDEX(Productos!$B$2:$B$501,MATCH(B1939,Productos!$A$2:$A$501,0)),"¿Código?"))</f>
        <v/>
      </c>
      <c r="F1939" s="32">
        <f>IF(C1939&lt;&gt;"Venta","",D1939*IFERROR(INDEX(Productos!$D$2:$D$501,MATCH(B1939,Productos!$A$2:$A$501,0)),0))</f>
        <v/>
      </c>
      <c r="G1939" s="32">
        <f>IF(C1939&lt;&gt;"Venta","",D1939*IFERROR(INDEX(Productos!$E$2:$E$501,MATCH(B1939,Productos!$A$2:$A$501,0)),0))</f>
        <v/>
      </c>
      <c r="H1939" s="33">
        <f>IF(A1939="","",MONTH(A1939))</f>
        <v/>
      </c>
      <c r="I1939" s="33">
        <f>IF(A1939="","",YEAR(A1939))</f>
        <v/>
      </c>
    </row>
    <row r="1940" ht="15" customHeight="1" s="21">
      <c r="A1940" s="34" t="n"/>
      <c r="B1940" s="30" t="n"/>
      <c r="C1940" s="30" t="n"/>
      <c r="D1940" s="30" t="n"/>
      <c r="E1940" s="33">
        <f>IF(B1940="","",IFERROR(INDEX(Productos!$B$2:$B$501,MATCH(B1940,Productos!$A$2:$A$501,0)),"¿Código?"))</f>
        <v/>
      </c>
      <c r="F1940" s="32">
        <f>IF(C1940&lt;&gt;"Venta","",D1940*IFERROR(INDEX(Productos!$D$2:$D$501,MATCH(B1940,Productos!$A$2:$A$501,0)),0))</f>
        <v/>
      </c>
      <c r="G1940" s="32">
        <f>IF(C1940&lt;&gt;"Venta","",D1940*IFERROR(INDEX(Productos!$E$2:$E$501,MATCH(B1940,Productos!$A$2:$A$501,0)),0))</f>
        <v/>
      </c>
      <c r="H1940" s="33">
        <f>IF(A1940="","",MONTH(A1940))</f>
        <v/>
      </c>
      <c r="I1940" s="33">
        <f>IF(A1940="","",YEAR(A1940))</f>
        <v/>
      </c>
    </row>
    <row r="1941" ht="15" customHeight="1" s="21">
      <c r="A1941" s="34" t="n"/>
      <c r="B1941" s="30" t="n"/>
      <c r="C1941" s="30" t="n"/>
      <c r="D1941" s="30" t="n"/>
      <c r="E1941" s="33">
        <f>IF(B1941="","",IFERROR(INDEX(Productos!$B$2:$B$501,MATCH(B1941,Productos!$A$2:$A$501,0)),"¿Código?"))</f>
        <v/>
      </c>
      <c r="F1941" s="32">
        <f>IF(C1941&lt;&gt;"Venta","",D1941*IFERROR(INDEX(Productos!$D$2:$D$501,MATCH(B1941,Productos!$A$2:$A$501,0)),0))</f>
        <v/>
      </c>
      <c r="G1941" s="32">
        <f>IF(C1941&lt;&gt;"Venta","",D1941*IFERROR(INDEX(Productos!$E$2:$E$501,MATCH(B1941,Productos!$A$2:$A$501,0)),0))</f>
        <v/>
      </c>
      <c r="H1941" s="33">
        <f>IF(A1941="","",MONTH(A1941))</f>
        <v/>
      </c>
      <c r="I1941" s="33">
        <f>IF(A1941="","",YEAR(A1941))</f>
        <v/>
      </c>
    </row>
    <row r="1942" ht="15" customHeight="1" s="21">
      <c r="A1942" s="34" t="n"/>
      <c r="B1942" s="30" t="n"/>
      <c r="C1942" s="30" t="n"/>
      <c r="D1942" s="30" t="n"/>
      <c r="E1942" s="33">
        <f>IF(B1942="","",IFERROR(INDEX(Productos!$B$2:$B$501,MATCH(B1942,Productos!$A$2:$A$501,0)),"¿Código?"))</f>
        <v/>
      </c>
      <c r="F1942" s="32">
        <f>IF(C1942&lt;&gt;"Venta","",D1942*IFERROR(INDEX(Productos!$D$2:$D$501,MATCH(B1942,Productos!$A$2:$A$501,0)),0))</f>
        <v/>
      </c>
      <c r="G1942" s="32">
        <f>IF(C1942&lt;&gt;"Venta","",D1942*IFERROR(INDEX(Productos!$E$2:$E$501,MATCH(B1942,Productos!$A$2:$A$501,0)),0))</f>
        <v/>
      </c>
      <c r="H1942" s="33">
        <f>IF(A1942="","",MONTH(A1942))</f>
        <v/>
      </c>
      <c r="I1942" s="33">
        <f>IF(A1942="","",YEAR(A1942))</f>
        <v/>
      </c>
    </row>
    <row r="1943" ht="15" customHeight="1" s="21">
      <c r="A1943" s="34" t="n"/>
      <c r="B1943" s="30" t="n"/>
      <c r="C1943" s="30" t="n"/>
      <c r="D1943" s="30" t="n"/>
      <c r="E1943" s="33">
        <f>IF(B1943="","",IFERROR(INDEX(Productos!$B$2:$B$501,MATCH(B1943,Productos!$A$2:$A$501,0)),"¿Código?"))</f>
        <v/>
      </c>
      <c r="F1943" s="32">
        <f>IF(C1943&lt;&gt;"Venta","",D1943*IFERROR(INDEX(Productos!$D$2:$D$501,MATCH(B1943,Productos!$A$2:$A$501,0)),0))</f>
        <v/>
      </c>
      <c r="G1943" s="32">
        <f>IF(C1943&lt;&gt;"Venta","",D1943*IFERROR(INDEX(Productos!$E$2:$E$501,MATCH(B1943,Productos!$A$2:$A$501,0)),0))</f>
        <v/>
      </c>
      <c r="H1943" s="33">
        <f>IF(A1943="","",MONTH(A1943))</f>
        <v/>
      </c>
      <c r="I1943" s="33">
        <f>IF(A1943="","",YEAR(A1943))</f>
        <v/>
      </c>
    </row>
    <row r="1944" ht="15" customHeight="1" s="21">
      <c r="A1944" s="34" t="n"/>
      <c r="B1944" s="30" t="n"/>
      <c r="C1944" s="30" t="n"/>
      <c r="D1944" s="30" t="n"/>
      <c r="E1944" s="33">
        <f>IF(B1944="","",IFERROR(INDEX(Productos!$B$2:$B$501,MATCH(B1944,Productos!$A$2:$A$501,0)),"¿Código?"))</f>
        <v/>
      </c>
      <c r="F1944" s="32">
        <f>IF(C1944&lt;&gt;"Venta","",D1944*IFERROR(INDEX(Productos!$D$2:$D$501,MATCH(B1944,Productos!$A$2:$A$501,0)),0))</f>
        <v/>
      </c>
      <c r="G1944" s="32">
        <f>IF(C1944&lt;&gt;"Venta","",D1944*IFERROR(INDEX(Productos!$E$2:$E$501,MATCH(B1944,Productos!$A$2:$A$501,0)),0))</f>
        <v/>
      </c>
      <c r="H1944" s="33">
        <f>IF(A1944="","",MONTH(A1944))</f>
        <v/>
      </c>
      <c r="I1944" s="33">
        <f>IF(A1944="","",YEAR(A1944))</f>
        <v/>
      </c>
    </row>
    <row r="1945" ht="15" customHeight="1" s="21">
      <c r="A1945" s="34" t="n"/>
      <c r="B1945" s="30" t="n"/>
      <c r="C1945" s="30" t="n"/>
      <c r="D1945" s="30" t="n"/>
      <c r="E1945" s="33">
        <f>IF(B1945="","",IFERROR(INDEX(Productos!$B$2:$B$501,MATCH(B1945,Productos!$A$2:$A$501,0)),"¿Código?"))</f>
        <v/>
      </c>
      <c r="F1945" s="32">
        <f>IF(C1945&lt;&gt;"Venta","",D1945*IFERROR(INDEX(Productos!$D$2:$D$501,MATCH(B1945,Productos!$A$2:$A$501,0)),0))</f>
        <v/>
      </c>
      <c r="G1945" s="32">
        <f>IF(C1945&lt;&gt;"Venta","",D1945*IFERROR(INDEX(Productos!$E$2:$E$501,MATCH(B1945,Productos!$A$2:$A$501,0)),0))</f>
        <v/>
      </c>
      <c r="H1945" s="33">
        <f>IF(A1945="","",MONTH(A1945))</f>
        <v/>
      </c>
      <c r="I1945" s="33">
        <f>IF(A1945="","",YEAR(A1945))</f>
        <v/>
      </c>
    </row>
    <row r="1946" ht="15" customHeight="1" s="21">
      <c r="A1946" s="34" t="n"/>
      <c r="B1946" s="30" t="n"/>
      <c r="C1946" s="30" t="n"/>
      <c r="D1946" s="30" t="n"/>
      <c r="E1946" s="33">
        <f>IF(B1946="","",IFERROR(INDEX(Productos!$B$2:$B$501,MATCH(B1946,Productos!$A$2:$A$501,0)),"¿Código?"))</f>
        <v/>
      </c>
      <c r="F1946" s="32">
        <f>IF(C1946&lt;&gt;"Venta","",D1946*IFERROR(INDEX(Productos!$D$2:$D$501,MATCH(B1946,Productos!$A$2:$A$501,0)),0))</f>
        <v/>
      </c>
      <c r="G1946" s="32">
        <f>IF(C1946&lt;&gt;"Venta","",D1946*IFERROR(INDEX(Productos!$E$2:$E$501,MATCH(B1946,Productos!$A$2:$A$501,0)),0))</f>
        <v/>
      </c>
      <c r="H1946" s="33">
        <f>IF(A1946="","",MONTH(A1946))</f>
        <v/>
      </c>
      <c r="I1946" s="33">
        <f>IF(A1946="","",YEAR(A1946))</f>
        <v/>
      </c>
    </row>
    <row r="1947" ht="15" customHeight="1" s="21">
      <c r="A1947" s="34" t="n"/>
      <c r="B1947" s="30" t="n"/>
      <c r="C1947" s="30" t="n"/>
      <c r="D1947" s="30" t="n"/>
      <c r="E1947" s="33">
        <f>IF(B1947="","",IFERROR(INDEX(Productos!$B$2:$B$501,MATCH(B1947,Productos!$A$2:$A$501,0)),"¿Código?"))</f>
        <v/>
      </c>
      <c r="F1947" s="32">
        <f>IF(C1947&lt;&gt;"Venta","",D1947*IFERROR(INDEX(Productos!$D$2:$D$501,MATCH(B1947,Productos!$A$2:$A$501,0)),0))</f>
        <v/>
      </c>
      <c r="G1947" s="32">
        <f>IF(C1947&lt;&gt;"Venta","",D1947*IFERROR(INDEX(Productos!$E$2:$E$501,MATCH(B1947,Productos!$A$2:$A$501,0)),0))</f>
        <v/>
      </c>
      <c r="H1947" s="33">
        <f>IF(A1947="","",MONTH(A1947))</f>
        <v/>
      </c>
      <c r="I1947" s="33">
        <f>IF(A1947="","",YEAR(A1947))</f>
        <v/>
      </c>
    </row>
    <row r="1948" ht="15" customHeight="1" s="21">
      <c r="A1948" s="34" t="n"/>
      <c r="B1948" s="30" t="n"/>
      <c r="C1948" s="30" t="n"/>
      <c r="D1948" s="30" t="n"/>
      <c r="E1948" s="33">
        <f>IF(B1948="","",IFERROR(INDEX(Productos!$B$2:$B$501,MATCH(B1948,Productos!$A$2:$A$501,0)),"¿Código?"))</f>
        <v/>
      </c>
      <c r="F1948" s="32">
        <f>IF(C1948&lt;&gt;"Venta","",D1948*IFERROR(INDEX(Productos!$D$2:$D$501,MATCH(B1948,Productos!$A$2:$A$501,0)),0))</f>
        <v/>
      </c>
      <c r="G1948" s="32">
        <f>IF(C1948&lt;&gt;"Venta","",D1948*IFERROR(INDEX(Productos!$E$2:$E$501,MATCH(B1948,Productos!$A$2:$A$501,0)),0))</f>
        <v/>
      </c>
      <c r="H1948" s="33">
        <f>IF(A1948="","",MONTH(A1948))</f>
        <v/>
      </c>
      <c r="I1948" s="33">
        <f>IF(A1948="","",YEAR(A1948))</f>
        <v/>
      </c>
    </row>
    <row r="1949" ht="15" customHeight="1" s="21">
      <c r="A1949" s="34" t="n"/>
      <c r="B1949" s="30" t="n"/>
      <c r="C1949" s="30" t="n"/>
      <c r="D1949" s="30" t="n"/>
      <c r="E1949" s="33">
        <f>IF(B1949="","",IFERROR(INDEX(Productos!$B$2:$B$501,MATCH(B1949,Productos!$A$2:$A$501,0)),"¿Código?"))</f>
        <v/>
      </c>
      <c r="F1949" s="32">
        <f>IF(C1949&lt;&gt;"Venta","",D1949*IFERROR(INDEX(Productos!$D$2:$D$501,MATCH(B1949,Productos!$A$2:$A$501,0)),0))</f>
        <v/>
      </c>
      <c r="G1949" s="32">
        <f>IF(C1949&lt;&gt;"Venta","",D1949*IFERROR(INDEX(Productos!$E$2:$E$501,MATCH(B1949,Productos!$A$2:$A$501,0)),0))</f>
        <v/>
      </c>
      <c r="H1949" s="33">
        <f>IF(A1949="","",MONTH(A1949))</f>
        <v/>
      </c>
      <c r="I1949" s="33">
        <f>IF(A1949="","",YEAR(A1949))</f>
        <v/>
      </c>
    </row>
    <row r="1950" ht="15" customHeight="1" s="21">
      <c r="A1950" s="34" t="n"/>
      <c r="B1950" s="30" t="n"/>
      <c r="C1950" s="30" t="n"/>
      <c r="D1950" s="30" t="n"/>
      <c r="E1950" s="33">
        <f>IF(B1950="","",IFERROR(INDEX(Productos!$B$2:$B$501,MATCH(B1950,Productos!$A$2:$A$501,0)),"¿Código?"))</f>
        <v/>
      </c>
      <c r="F1950" s="32">
        <f>IF(C1950&lt;&gt;"Venta","",D1950*IFERROR(INDEX(Productos!$D$2:$D$501,MATCH(B1950,Productos!$A$2:$A$501,0)),0))</f>
        <v/>
      </c>
      <c r="G1950" s="32">
        <f>IF(C1950&lt;&gt;"Venta","",D1950*IFERROR(INDEX(Productos!$E$2:$E$501,MATCH(B1950,Productos!$A$2:$A$501,0)),0))</f>
        <v/>
      </c>
      <c r="H1950" s="33">
        <f>IF(A1950="","",MONTH(A1950))</f>
        <v/>
      </c>
      <c r="I1950" s="33">
        <f>IF(A1950="","",YEAR(A1950))</f>
        <v/>
      </c>
    </row>
    <row r="1951" ht="15" customHeight="1" s="21">
      <c r="A1951" s="34" t="n"/>
      <c r="B1951" s="30" t="n"/>
      <c r="C1951" s="30" t="n"/>
      <c r="D1951" s="30" t="n"/>
      <c r="E1951" s="33">
        <f>IF(B1951="","",IFERROR(INDEX(Productos!$B$2:$B$501,MATCH(B1951,Productos!$A$2:$A$501,0)),"¿Código?"))</f>
        <v/>
      </c>
      <c r="F1951" s="32">
        <f>IF(C1951&lt;&gt;"Venta","",D1951*IFERROR(INDEX(Productos!$D$2:$D$501,MATCH(B1951,Productos!$A$2:$A$501,0)),0))</f>
        <v/>
      </c>
      <c r="G1951" s="32">
        <f>IF(C1951&lt;&gt;"Venta","",D1951*IFERROR(INDEX(Productos!$E$2:$E$501,MATCH(B1951,Productos!$A$2:$A$501,0)),0))</f>
        <v/>
      </c>
      <c r="H1951" s="33">
        <f>IF(A1951="","",MONTH(A1951))</f>
        <v/>
      </c>
      <c r="I1951" s="33">
        <f>IF(A1951="","",YEAR(A1951))</f>
        <v/>
      </c>
    </row>
    <row r="1952" ht="15" customHeight="1" s="21">
      <c r="A1952" s="34" t="n"/>
      <c r="B1952" s="30" t="n"/>
      <c r="C1952" s="30" t="n"/>
      <c r="D1952" s="30" t="n"/>
      <c r="E1952" s="33">
        <f>IF(B1952="","",IFERROR(INDEX(Productos!$B$2:$B$501,MATCH(B1952,Productos!$A$2:$A$501,0)),"¿Código?"))</f>
        <v/>
      </c>
      <c r="F1952" s="32">
        <f>IF(C1952&lt;&gt;"Venta","",D1952*IFERROR(INDEX(Productos!$D$2:$D$501,MATCH(B1952,Productos!$A$2:$A$501,0)),0))</f>
        <v/>
      </c>
      <c r="G1952" s="32">
        <f>IF(C1952&lt;&gt;"Venta","",D1952*IFERROR(INDEX(Productos!$E$2:$E$501,MATCH(B1952,Productos!$A$2:$A$501,0)),0))</f>
        <v/>
      </c>
      <c r="H1952" s="33">
        <f>IF(A1952="","",MONTH(A1952))</f>
        <v/>
      </c>
      <c r="I1952" s="33">
        <f>IF(A1952="","",YEAR(A1952))</f>
        <v/>
      </c>
    </row>
    <row r="1953" ht="15" customHeight="1" s="21">
      <c r="A1953" s="34" t="n"/>
      <c r="B1953" s="30" t="n"/>
      <c r="C1953" s="30" t="n"/>
      <c r="D1953" s="30" t="n"/>
      <c r="E1953" s="33">
        <f>IF(B1953="","",IFERROR(INDEX(Productos!$B$2:$B$501,MATCH(B1953,Productos!$A$2:$A$501,0)),"¿Código?"))</f>
        <v/>
      </c>
      <c r="F1953" s="32">
        <f>IF(C1953&lt;&gt;"Venta","",D1953*IFERROR(INDEX(Productos!$D$2:$D$501,MATCH(B1953,Productos!$A$2:$A$501,0)),0))</f>
        <v/>
      </c>
      <c r="G1953" s="32">
        <f>IF(C1953&lt;&gt;"Venta","",D1953*IFERROR(INDEX(Productos!$E$2:$E$501,MATCH(B1953,Productos!$A$2:$A$501,0)),0))</f>
        <v/>
      </c>
      <c r="H1953" s="33">
        <f>IF(A1953="","",MONTH(A1953))</f>
        <v/>
      </c>
      <c r="I1953" s="33">
        <f>IF(A1953="","",YEAR(A1953))</f>
        <v/>
      </c>
    </row>
    <row r="1954" ht="15" customHeight="1" s="21">
      <c r="A1954" s="34" t="n"/>
      <c r="B1954" s="30" t="n"/>
      <c r="C1954" s="30" t="n"/>
      <c r="D1954" s="30" t="n"/>
      <c r="E1954" s="33">
        <f>IF(B1954="","",IFERROR(INDEX(Productos!$B$2:$B$501,MATCH(B1954,Productos!$A$2:$A$501,0)),"¿Código?"))</f>
        <v/>
      </c>
      <c r="F1954" s="32">
        <f>IF(C1954&lt;&gt;"Venta","",D1954*IFERROR(INDEX(Productos!$D$2:$D$501,MATCH(B1954,Productos!$A$2:$A$501,0)),0))</f>
        <v/>
      </c>
      <c r="G1954" s="32">
        <f>IF(C1954&lt;&gt;"Venta","",D1954*IFERROR(INDEX(Productos!$E$2:$E$501,MATCH(B1954,Productos!$A$2:$A$501,0)),0))</f>
        <v/>
      </c>
      <c r="H1954" s="33">
        <f>IF(A1954="","",MONTH(A1954))</f>
        <v/>
      </c>
      <c r="I1954" s="33">
        <f>IF(A1954="","",YEAR(A1954))</f>
        <v/>
      </c>
    </row>
    <row r="1955" ht="15" customHeight="1" s="21">
      <c r="A1955" s="34" t="n"/>
      <c r="B1955" s="30" t="n"/>
      <c r="C1955" s="30" t="n"/>
      <c r="D1955" s="30" t="n"/>
      <c r="E1955" s="33">
        <f>IF(B1955="","",IFERROR(INDEX(Productos!$B$2:$B$501,MATCH(B1955,Productos!$A$2:$A$501,0)),"¿Código?"))</f>
        <v/>
      </c>
      <c r="F1955" s="32">
        <f>IF(C1955&lt;&gt;"Venta","",D1955*IFERROR(INDEX(Productos!$D$2:$D$501,MATCH(B1955,Productos!$A$2:$A$501,0)),0))</f>
        <v/>
      </c>
      <c r="G1955" s="32">
        <f>IF(C1955&lt;&gt;"Venta","",D1955*IFERROR(INDEX(Productos!$E$2:$E$501,MATCH(B1955,Productos!$A$2:$A$501,0)),0))</f>
        <v/>
      </c>
      <c r="H1955" s="33">
        <f>IF(A1955="","",MONTH(A1955))</f>
        <v/>
      </c>
      <c r="I1955" s="33">
        <f>IF(A1955="","",YEAR(A1955))</f>
        <v/>
      </c>
    </row>
    <row r="1956" ht="15" customHeight="1" s="21">
      <c r="A1956" s="34" t="n"/>
      <c r="B1956" s="30" t="n"/>
      <c r="C1956" s="30" t="n"/>
      <c r="D1956" s="30" t="n"/>
      <c r="E1956" s="33">
        <f>IF(B1956="","",IFERROR(INDEX(Productos!$B$2:$B$501,MATCH(B1956,Productos!$A$2:$A$501,0)),"¿Código?"))</f>
        <v/>
      </c>
      <c r="F1956" s="32">
        <f>IF(C1956&lt;&gt;"Venta","",D1956*IFERROR(INDEX(Productos!$D$2:$D$501,MATCH(B1956,Productos!$A$2:$A$501,0)),0))</f>
        <v/>
      </c>
      <c r="G1956" s="32">
        <f>IF(C1956&lt;&gt;"Venta","",D1956*IFERROR(INDEX(Productos!$E$2:$E$501,MATCH(B1956,Productos!$A$2:$A$501,0)),0))</f>
        <v/>
      </c>
      <c r="H1956" s="33">
        <f>IF(A1956="","",MONTH(A1956))</f>
        <v/>
      </c>
      <c r="I1956" s="33">
        <f>IF(A1956="","",YEAR(A1956))</f>
        <v/>
      </c>
    </row>
    <row r="1957" ht="15" customHeight="1" s="21">
      <c r="A1957" s="34" t="n"/>
      <c r="B1957" s="30" t="n"/>
      <c r="C1957" s="30" t="n"/>
      <c r="D1957" s="30" t="n"/>
      <c r="E1957" s="33">
        <f>IF(B1957="","",IFERROR(INDEX(Productos!$B$2:$B$501,MATCH(B1957,Productos!$A$2:$A$501,0)),"¿Código?"))</f>
        <v/>
      </c>
      <c r="F1957" s="32">
        <f>IF(C1957&lt;&gt;"Venta","",D1957*IFERROR(INDEX(Productos!$D$2:$D$501,MATCH(B1957,Productos!$A$2:$A$501,0)),0))</f>
        <v/>
      </c>
      <c r="G1957" s="32">
        <f>IF(C1957&lt;&gt;"Venta","",D1957*IFERROR(INDEX(Productos!$E$2:$E$501,MATCH(B1957,Productos!$A$2:$A$501,0)),0))</f>
        <v/>
      </c>
      <c r="H1957" s="33">
        <f>IF(A1957="","",MONTH(A1957))</f>
        <v/>
      </c>
      <c r="I1957" s="33">
        <f>IF(A1957="","",YEAR(A1957))</f>
        <v/>
      </c>
    </row>
    <row r="1958" ht="15" customHeight="1" s="21">
      <c r="A1958" s="34" t="n"/>
      <c r="B1958" s="30" t="n"/>
      <c r="C1958" s="30" t="n"/>
      <c r="D1958" s="30" t="n"/>
      <c r="E1958" s="33">
        <f>IF(B1958="","",IFERROR(INDEX(Productos!$B$2:$B$501,MATCH(B1958,Productos!$A$2:$A$501,0)),"¿Código?"))</f>
        <v/>
      </c>
      <c r="F1958" s="32">
        <f>IF(C1958&lt;&gt;"Venta","",D1958*IFERROR(INDEX(Productos!$D$2:$D$501,MATCH(B1958,Productos!$A$2:$A$501,0)),0))</f>
        <v/>
      </c>
      <c r="G1958" s="32">
        <f>IF(C1958&lt;&gt;"Venta","",D1958*IFERROR(INDEX(Productos!$E$2:$E$501,MATCH(B1958,Productos!$A$2:$A$501,0)),0))</f>
        <v/>
      </c>
      <c r="H1958" s="33">
        <f>IF(A1958="","",MONTH(A1958))</f>
        <v/>
      </c>
      <c r="I1958" s="33">
        <f>IF(A1958="","",YEAR(A1958))</f>
        <v/>
      </c>
    </row>
    <row r="1959" ht="15" customHeight="1" s="21">
      <c r="A1959" s="34" t="n"/>
      <c r="B1959" s="30" t="n"/>
      <c r="C1959" s="30" t="n"/>
      <c r="D1959" s="30" t="n"/>
      <c r="E1959" s="33">
        <f>IF(B1959="","",IFERROR(INDEX(Productos!$B$2:$B$501,MATCH(B1959,Productos!$A$2:$A$501,0)),"¿Código?"))</f>
        <v/>
      </c>
      <c r="F1959" s="32">
        <f>IF(C1959&lt;&gt;"Venta","",D1959*IFERROR(INDEX(Productos!$D$2:$D$501,MATCH(B1959,Productos!$A$2:$A$501,0)),0))</f>
        <v/>
      </c>
      <c r="G1959" s="32">
        <f>IF(C1959&lt;&gt;"Venta","",D1959*IFERROR(INDEX(Productos!$E$2:$E$501,MATCH(B1959,Productos!$A$2:$A$501,0)),0))</f>
        <v/>
      </c>
      <c r="H1959" s="33">
        <f>IF(A1959="","",MONTH(A1959))</f>
        <v/>
      </c>
      <c r="I1959" s="33">
        <f>IF(A1959="","",YEAR(A1959))</f>
        <v/>
      </c>
    </row>
    <row r="1960" ht="15" customHeight="1" s="21">
      <c r="A1960" s="34" t="n"/>
      <c r="B1960" s="30" t="n"/>
      <c r="C1960" s="30" t="n"/>
      <c r="D1960" s="30" t="n"/>
      <c r="E1960" s="33">
        <f>IF(B1960="","",IFERROR(INDEX(Productos!$B$2:$B$501,MATCH(B1960,Productos!$A$2:$A$501,0)),"¿Código?"))</f>
        <v/>
      </c>
      <c r="F1960" s="32">
        <f>IF(C1960&lt;&gt;"Venta","",D1960*IFERROR(INDEX(Productos!$D$2:$D$501,MATCH(B1960,Productos!$A$2:$A$501,0)),0))</f>
        <v/>
      </c>
      <c r="G1960" s="32">
        <f>IF(C1960&lt;&gt;"Venta","",D1960*IFERROR(INDEX(Productos!$E$2:$E$501,MATCH(B1960,Productos!$A$2:$A$501,0)),0))</f>
        <v/>
      </c>
      <c r="H1960" s="33">
        <f>IF(A1960="","",MONTH(A1960))</f>
        <v/>
      </c>
      <c r="I1960" s="33">
        <f>IF(A1960="","",YEAR(A1960))</f>
        <v/>
      </c>
    </row>
    <row r="1961" ht="15" customHeight="1" s="21">
      <c r="A1961" s="34" t="n"/>
      <c r="B1961" s="30" t="n"/>
      <c r="C1961" s="30" t="n"/>
      <c r="D1961" s="30" t="n"/>
      <c r="E1961" s="33">
        <f>IF(B1961="","",IFERROR(INDEX(Productos!$B$2:$B$501,MATCH(B1961,Productos!$A$2:$A$501,0)),"¿Código?"))</f>
        <v/>
      </c>
      <c r="F1961" s="32">
        <f>IF(C1961&lt;&gt;"Venta","",D1961*IFERROR(INDEX(Productos!$D$2:$D$501,MATCH(B1961,Productos!$A$2:$A$501,0)),0))</f>
        <v/>
      </c>
      <c r="G1961" s="32">
        <f>IF(C1961&lt;&gt;"Venta","",D1961*IFERROR(INDEX(Productos!$E$2:$E$501,MATCH(B1961,Productos!$A$2:$A$501,0)),0))</f>
        <v/>
      </c>
      <c r="H1961" s="33">
        <f>IF(A1961="","",MONTH(A1961))</f>
        <v/>
      </c>
      <c r="I1961" s="33">
        <f>IF(A1961="","",YEAR(A1961))</f>
        <v/>
      </c>
    </row>
    <row r="1962" ht="15" customHeight="1" s="21">
      <c r="A1962" s="34" t="n"/>
      <c r="B1962" s="30" t="n"/>
      <c r="C1962" s="30" t="n"/>
      <c r="D1962" s="30" t="n"/>
      <c r="E1962" s="33">
        <f>IF(B1962="","",IFERROR(INDEX(Productos!$B$2:$B$501,MATCH(B1962,Productos!$A$2:$A$501,0)),"¿Código?"))</f>
        <v/>
      </c>
      <c r="F1962" s="32">
        <f>IF(C1962&lt;&gt;"Venta","",D1962*IFERROR(INDEX(Productos!$D$2:$D$501,MATCH(B1962,Productos!$A$2:$A$501,0)),0))</f>
        <v/>
      </c>
      <c r="G1962" s="32">
        <f>IF(C1962&lt;&gt;"Venta","",D1962*IFERROR(INDEX(Productos!$E$2:$E$501,MATCH(B1962,Productos!$A$2:$A$501,0)),0))</f>
        <v/>
      </c>
      <c r="H1962" s="33">
        <f>IF(A1962="","",MONTH(A1962))</f>
        <v/>
      </c>
      <c r="I1962" s="33">
        <f>IF(A1962="","",YEAR(A1962))</f>
        <v/>
      </c>
    </row>
    <row r="1963" ht="15" customHeight="1" s="21">
      <c r="A1963" s="34" t="n"/>
      <c r="B1963" s="30" t="n"/>
      <c r="C1963" s="30" t="n"/>
      <c r="D1963" s="30" t="n"/>
      <c r="E1963" s="33">
        <f>IF(B1963="","",IFERROR(INDEX(Productos!$B$2:$B$501,MATCH(B1963,Productos!$A$2:$A$501,0)),"¿Código?"))</f>
        <v/>
      </c>
      <c r="F1963" s="32">
        <f>IF(C1963&lt;&gt;"Venta","",D1963*IFERROR(INDEX(Productos!$D$2:$D$501,MATCH(B1963,Productos!$A$2:$A$501,0)),0))</f>
        <v/>
      </c>
      <c r="G1963" s="32">
        <f>IF(C1963&lt;&gt;"Venta","",D1963*IFERROR(INDEX(Productos!$E$2:$E$501,MATCH(B1963,Productos!$A$2:$A$501,0)),0))</f>
        <v/>
      </c>
      <c r="H1963" s="33">
        <f>IF(A1963="","",MONTH(A1963))</f>
        <v/>
      </c>
      <c r="I1963" s="33">
        <f>IF(A1963="","",YEAR(A1963))</f>
        <v/>
      </c>
    </row>
    <row r="1964" ht="15" customHeight="1" s="21">
      <c r="A1964" s="34" t="n"/>
      <c r="B1964" s="30" t="n"/>
      <c r="C1964" s="30" t="n"/>
      <c r="D1964" s="30" t="n"/>
      <c r="E1964" s="33">
        <f>IF(B1964="","",IFERROR(INDEX(Productos!$B$2:$B$501,MATCH(B1964,Productos!$A$2:$A$501,0)),"¿Código?"))</f>
        <v/>
      </c>
      <c r="F1964" s="32">
        <f>IF(C1964&lt;&gt;"Venta","",D1964*IFERROR(INDEX(Productos!$D$2:$D$501,MATCH(B1964,Productos!$A$2:$A$501,0)),0))</f>
        <v/>
      </c>
      <c r="G1964" s="32">
        <f>IF(C1964&lt;&gt;"Venta","",D1964*IFERROR(INDEX(Productos!$E$2:$E$501,MATCH(B1964,Productos!$A$2:$A$501,0)),0))</f>
        <v/>
      </c>
      <c r="H1964" s="33">
        <f>IF(A1964="","",MONTH(A1964))</f>
        <v/>
      </c>
      <c r="I1964" s="33">
        <f>IF(A1964="","",YEAR(A1964))</f>
        <v/>
      </c>
    </row>
    <row r="1965" ht="15" customHeight="1" s="21">
      <c r="A1965" s="34" t="n"/>
      <c r="B1965" s="30" t="n"/>
      <c r="C1965" s="30" t="n"/>
      <c r="D1965" s="30" t="n"/>
      <c r="E1965" s="33">
        <f>IF(B1965="","",IFERROR(INDEX(Productos!$B$2:$B$501,MATCH(B1965,Productos!$A$2:$A$501,0)),"¿Código?"))</f>
        <v/>
      </c>
      <c r="F1965" s="32">
        <f>IF(C1965&lt;&gt;"Venta","",D1965*IFERROR(INDEX(Productos!$D$2:$D$501,MATCH(B1965,Productos!$A$2:$A$501,0)),0))</f>
        <v/>
      </c>
      <c r="G1965" s="32">
        <f>IF(C1965&lt;&gt;"Venta","",D1965*IFERROR(INDEX(Productos!$E$2:$E$501,MATCH(B1965,Productos!$A$2:$A$501,0)),0))</f>
        <v/>
      </c>
      <c r="H1965" s="33">
        <f>IF(A1965="","",MONTH(A1965))</f>
        <v/>
      </c>
      <c r="I1965" s="33">
        <f>IF(A1965="","",YEAR(A1965))</f>
        <v/>
      </c>
    </row>
    <row r="1966" ht="15" customHeight="1" s="21">
      <c r="A1966" s="34" t="n"/>
      <c r="B1966" s="30" t="n"/>
      <c r="C1966" s="30" t="n"/>
      <c r="D1966" s="30" t="n"/>
      <c r="E1966" s="33">
        <f>IF(B1966="","",IFERROR(INDEX(Productos!$B$2:$B$501,MATCH(B1966,Productos!$A$2:$A$501,0)),"¿Código?"))</f>
        <v/>
      </c>
      <c r="F1966" s="32">
        <f>IF(C1966&lt;&gt;"Venta","",D1966*IFERROR(INDEX(Productos!$D$2:$D$501,MATCH(B1966,Productos!$A$2:$A$501,0)),0))</f>
        <v/>
      </c>
      <c r="G1966" s="32">
        <f>IF(C1966&lt;&gt;"Venta","",D1966*IFERROR(INDEX(Productos!$E$2:$E$501,MATCH(B1966,Productos!$A$2:$A$501,0)),0))</f>
        <v/>
      </c>
      <c r="H1966" s="33">
        <f>IF(A1966="","",MONTH(A1966))</f>
        <v/>
      </c>
      <c r="I1966" s="33">
        <f>IF(A1966="","",YEAR(A1966))</f>
        <v/>
      </c>
    </row>
    <row r="1967" ht="15" customHeight="1" s="21">
      <c r="A1967" s="34" t="n"/>
      <c r="B1967" s="30" t="n"/>
      <c r="C1967" s="30" t="n"/>
      <c r="D1967" s="30" t="n"/>
      <c r="E1967" s="33">
        <f>IF(B1967="","",IFERROR(INDEX(Productos!$B$2:$B$501,MATCH(B1967,Productos!$A$2:$A$501,0)),"¿Código?"))</f>
        <v/>
      </c>
      <c r="F1967" s="32">
        <f>IF(C1967&lt;&gt;"Venta","",D1967*IFERROR(INDEX(Productos!$D$2:$D$501,MATCH(B1967,Productos!$A$2:$A$501,0)),0))</f>
        <v/>
      </c>
      <c r="G1967" s="32">
        <f>IF(C1967&lt;&gt;"Venta","",D1967*IFERROR(INDEX(Productos!$E$2:$E$501,MATCH(B1967,Productos!$A$2:$A$501,0)),0))</f>
        <v/>
      </c>
      <c r="H1967" s="33">
        <f>IF(A1967="","",MONTH(A1967))</f>
        <v/>
      </c>
      <c r="I1967" s="33">
        <f>IF(A1967="","",YEAR(A1967))</f>
        <v/>
      </c>
    </row>
    <row r="1968" ht="15" customHeight="1" s="21">
      <c r="A1968" s="34" t="n"/>
      <c r="B1968" s="30" t="n"/>
      <c r="C1968" s="30" t="n"/>
      <c r="D1968" s="30" t="n"/>
      <c r="E1968" s="33">
        <f>IF(B1968="","",IFERROR(INDEX(Productos!$B$2:$B$501,MATCH(B1968,Productos!$A$2:$A$501,0)),"¿Código?"))</f>
        <v/>
      </c>
      <c r="F1968" s="32">
        <f>IF(C1968&lt;&gt;"Venta","",D1968*IFERROR(INDEX(Productos!$D$2:$D$501,MATCH(B1968,Productos!$A$2:$A$501,0)),0))</f>
        <v/>
      </c>
      <c r="G1968" s="32">
        <f>IF(C1968&lt;&gt;"Venta","",D1968*IFERROR(INDEX(Productos!$E$2:$E$501,MATCH(B1968,Productos!$A$2:$A$501,0)),0))</f>
        <v/>
      </c>
      <c r="H1968" s="33">
        <f>IF(A1968="","",MONTH(A1968))</f>
        <v/>
      </c>
      <c r="I1968" s="33">
        <f>IF(A1968="","",YEAR(A1968))</f>
        <v/>
      </c>
    </row>
    <row r="1969" ht="15" customHeight="1" s="21">
      <c r="A1969" s="34" t="n"/>
      <c r="B1969" s="30" t="n"/>
      <c r="C1969" s="30" t="n"/>
      <c r="D1969" s="30" t="n"/>
      <c r="E1969" s="33">
        <f>IF(B1969="","",IFERROR(INDEX(Productos!$B$2:$B$501,MATCH(B1969,Productos!$A$2:$A$501,0)),"¿Código?"))</f>
        <v/>
      </c>
      <c r="F1969" s="32">
        <f>IF(C1969&lt;&gt;"Venta","",D1969*IFERROR(INDEX(Productos!$D$2:$D$501,MATCH(B1969,Productos!$A$2:$A$501,0)),0))</f>
        <v/>
      </c>
      <c r="G1969" s="32">
        <f>IF(C1969&lt;&gt;"Venta","",D1969*IFERROR(INDEX(Productos!$E$2:$E$501,MATCH(B1969,Productos!$A$2:$A$501,0)),0))</f>
        <v/>
      </c>
      <c r="H1969" s="33">
        <f>IF(A1969="","",MONTH(A1969))</f>
        <v/>
      </c>
      <c r="I1969" s="33">
        <f>IF(A1969="","",YEAR(A1969))</f>
        <v/>
      </c>
    </row>
    <row r="1970" ht="15" customHeight="1" s="21">
      <c r="A1970" s="34" t="n"/>
      <c r="B1970" s="30" t="n"/>
      <c r="C1970" s="30" t="n"/>
      <c r="D1970" s="30" t="n"/>
      <c r="E1970" s="33">
        <f>IF(B1970="","",IFERROR(INDEX(Productos!$B$2:$B$501,MATCH(B1970,Productos!$A$2:$A$501,0)),"¿Código?"))</f>
        <v/>
      </c>
      <c r="F1970" s="32">
        <f>IF(C1970&lt;&gt;"Venta","",D1970*IFERROR(INDEX(Productos!$D$2:$D$501,MATCH(B1970,Productos!$A$2:$A$501,0)),0))</f>
        <v/>
      </c>
      <c r="G1970" s="32">
        <f>IF(C1970&lt;&gt;"Venta","",D1970*IFERROR(INDEX(Productos!$E$2:$E$501,MATCH(B1970,Productos!$A$2:$A$501,0)),0))</f>
        <v/>
      </c>
      <c r="H1970" s="33">
        <f>IF(A1970="","",MONTH(A1970))</f>
        <v/>
      </c>
      <c r="I1970" s="33">
        <f>IF(A1970="","",YEAR(A1970))</f>
        <v/>
      </c>
    </row>
    <row r="1971" ht="15" customHeight="1" s="21">
      <c r="A1971" s="34" t="n"/>
      <c r="B1971" s="30" t="n"/>
      <c r="C1971" s="30" t="n"/>
      <c r="D1971" s="30" t="n"/>
      <c r="E1971" s="33">
        <f>IF(B1971="","",IFERROR(INDEX(Productos!$B$2:$B$501,MATCH(B1971,Productos!$A$2:$A$501,0)),"¿Código?"))</f>
        <v/>
      </c>
      <c r="F1971" s="32">
        <f>IF(C1971&lt;&gt;"Venta","",D1971*IFERROR(INDEX(Productos!$D$2:$D$501,MATCH(B1971,Productos!$A$2:$A$501,0)),0))</f>
        <v/>
      </c>
      <c r="G1971" s="32">
        <f>IF(C1971&lt;&gt;"Venta","",D1971*IFERROR(INDEX(Productos!$E$2:$E$501,MATCH(B1971,Productos!$A$2:$A$501,0)),0))</f>
        <v/>
      </c>
      <c r="H1971" s="33">
        <f>IF(A1971="","",MONTH(A1971))</f>
        <v/>
      </c>
      <c r="I1971" s="33">
        <f>IF(A1971="","",YEAR(A1971))</f>
        <v/>
      </c>
    </row>
    <row r="1972" ht="15" customHeight="1" s="21">
      <c r="A1972" s="34" t="n"/>
      <c r="B1972" s="30" t="n"/>
      <c r="C1972" s="30" t="n"/>
      <c r="D1972" s="30" t="n"/>
      <c r="E1972" s="33">
        <f>IF(B1972="","",IFERROR(INDEX(Productos!$B$2:$B$501,MATCH(B1972,Productos!$A$2:$A$501,0)),"¿Código?"))</f>
        <v/>
      </c>
      <c r="F1972" s="32">
        <f>IF(C1972&lt;&gt;"Venta","",D1972*IFERROR(INDEX(Productos!$D$2:$D$501,MATCH(B1972,Productos!$A$2:$A$501,0)),0))</f>
        <v/>
      </c>
      <c r="G1972" s="32">
        <f>IF(C1972&lt;&gt;"Venta","",D1972*IFERROR(INDEX(Productos!$E$2:$E$501,MATCH(B1972,Productos!$A$2:$A$501,0)),0))</f>
        <v/>
      </c>
      <c r="H1972" s="33">
        <f>IF(A1972="","",MONTH(A1972))</f>
        <v/>
      </c>
      <c r="I1972" s="33">
        <f>IF(A1972="","",YEAR(A1972))</f>
        <v/>
      </c>
    </row>
    <row r="1973" ht="15" customHeight="1" s="21">
      <c r="A1973" s="34" t="n"/>
      <c r="B1973" s="30" t="n"/>
      <c r="C1973" s="30" t="n"/>
      <c r="D1973" s="30" t="n"/>
      <c r="E1973" s="33">
        <f>IF(B1973="","",IFERROR(INDEX(Productos!$B$2:$B$501,MATCH(B1973,Productos!$A$2:$A$501,0)),"¿Código?"))</f>
        <v/>
      </c>
      <c r="F1973" s="32">
        <f>IF(C1973&lt;&gt;"Venta","",D1973*IFERROR(INDEX(Productos!$D$2:$D$501,MATCH(B1973,Productos!$A$2:$A$501,0)),0))</f>
        <v/>
      </c>
      <c r="G1973" s="32">
        <f>IF(C1973&lt;&gt;"Venta","",D1973*IFERROR(INDEX(Productos!$E$2:$E$501,MATCH(B1973,Productos!$A$2:$A$501,0)),0))</f>
        <v/>
      </c>
      <c r="H1973" s="33">
        <f>IF(A1973="","",MONTH(A1973))</f>
        <v/>
      </c>
      <c r="I1973" s="33">
        <f>IF(A1973="","",YEAR(A1973))</f>
        <v/>
      </c>
    </row>
    <row r="1974" ht="15" customHeight="1" s="21">
      <c r="A1974" s="34" t="n"/>
      <c r="B1974" s="30" t="n"/>
      <c r="C1974" s="30" t="n"/>
      <c r="D1974" s="30" t="n"/>
      <c r="E1974" s="33">
        <f>IF(B1974="","",IFERROR(INDEX(Productos!$B$2:$B$501,MATCH(B1974,Productos!$A$2:$A$501,0)),"¿Código?"))</f>
        <v/>
      </c>
      <c r="F1974" s="32">
        <f>IF(C1974&lt;&gt;"Venta","",D1974*IFERROR(INDEX(Productos!$D$2:$D$501,MATCH(B1974,Productos!$A$2:$A$501,0)),0))</f>
        <v/>
      </c>
      <c r="G1974" s="32">
        <f>IF(C1974&lt;&gt;"Venta","",D1974*IFERROR(INDEX(Productos!$E$2:$E$501,MATCH(B1974,Productos!$A$2:$A$501,0)),0))</f>
        <v/>
      </c>
      <c r="H1974" s="33">
        <f>IF(A1974="","",MONTH(A1974))</f>
        <v/>
      </c>
      <c r="I1974" s="33">
        <f>IF(A1974="","",YEAR(A1974))</f>
        <v/>
      </c>
    </row>
    <row r="1975" ht="15" customHeight="1" s="21">
      <c r="A1975" s="34" t="n"/>
      <c r="B1975" s="30" t="n"/>
      <c r="C1975" s="30" t="n"/>
      <c r="D1975" s="30" t="n"/>
      <c r="E1975" s="33">
        <f>IF(B1975="","",IFERROR(INDEX(Productos!$B$2:$B$501,MATCH(B1975,Productos!$A$2:$A$501,0)),"¿Código?"))</f>
        <v/>
      </c>
      <c r="F1975" s="32">
        <f>IF(C1975&lt;&gt;"Venta","",D1975*IFERROR(INDEX(Productos!$D$2:$D$501,MATCH(B1975,Productos!$A$2:$A$501,0)),0))</f>
        <v/>
      </c>
      <c r="G1975" s="32">
        <f>IF(C1975&lt;&gt;"Venta","",D1975*IFERROR(INDEX(Productos!$E$2:$E$501,MATCH(B1975,Productos!$A$2:$A$501,0)),0))</f>
        <v/>
      </c>
      <c r="H1975" s="33">
        <f>IF(A1975="","",MONTH(A1975))</f>
        <v/>
      </c>
      <c r="I1975" s="33">
        <f>IF(A1975="","",YEAR(A1975))</f>
        <v/>
      </c>
    </row>
    <row r="1976" ht="15" customHeight="1" s="21">
      <c r="A1976" s="34" t="n"/>
      <c r="B1976" s="30" t="n"/>
      <c r="C1976" s="30" t="n"/>
      <c r="D1976" s="30" t="n"/>
      <c r="E1976" s="33">
        <f>IF(B1976="","",IFERROR(INDEX(Productos!$B$2:$B$501,MATCH(B1976,Productos!$A$2:$A$501,0)),"¿Código?"))</f>
        <v/>
      </c>
      <c r="F1976" s="32">
        <f>IF(C1976&lt;&gt;"Venta","",D1976*IFERROR(INDEX(Productos!$D$2:$D$501,MATCH(B1976,Productos!$A$2:$A$501,0)),0))</f>
        <v/>
      </c>
      <c r="G1976" s="32">
        <f>IF(C1976&lt;&gt;"Venta","",D1976*IFERROR(INDEX(Productos!$E$2:$E$501,MATCH(B1976,Productos!$A$2:$A$501,0)),0))</f>
        <v/>
      </c>
      <c r="H1976" s="33">
        <f>IF(A1976="","",MONTH(A1976))</f>
        <v/>
      </c>
      <c r="I1976" s="33">
        <f>IF(A1976="","",YEAR(A1976))</f>
        <v/>
      </c>
    </row>
    <row r="1977" ht="15" customHeight="1" s="21">
      <c r="A1977" s="34" t="n"/>
      <c r="B1977" s="30" t="n"/>
      <c r="C1977" s="30" t="n"/>
      <c r="D1977" s="30" t="n"/>
      <c r="E1977" s="33">
        <f>IF(B1977="","",IFERROR(INDEX(Productos!$B$2:$B$501,MATCH(B1977,Productos!$A$2:$A$501,0)),"¿Código?"))</f>
        <v/>
      </c>
      <c r="F1977" s="32">
        <f>IF(C1977&lt;&gt;"Venta","",D1977*IFERROR(INDEX(Productos!$D$2:$D$501,MATCH(B1977,Productos!$A$2:$A$501,0)),0))</f>
        <v/>
      </c>
      <c r="G1977" s="32">
        <f>IF(C1977&lt;&gt;"Venta","",D1977*IFERROR(INDEX(Productos!$E$2:$E$501,MATCH(B1977,Productos!$A$2:$A$501,0)),0))</f>
        <v/>
      </c>
      <c r="H1977" s="33">
        <f>IF(A1977="","",MONTH(A1977))</f>
        <v/>
      </c>
      <c r="I1977" s="33">
        <f>IF(A1977="","",YEAR(A1977))</f>
        <v/>
      </c>
    </row>
    <row r="1978" ht="15" customHeight="1" s="21">
      <c r="A1978" s="34" t="n"/>
      <c r="B1978" s="30" t="n"/>
      <c r="C1978" s="30" t="n"/>
      <c r="D1978" s="30" t="n"/>
      <c r="E1978" s="33">
        <f>IF(B1978="","",IFERROR(INDEX(Productos!$B$2:$B$501,MATCH(B1978,Productos!$A$2:$A$501,0)),"¿Código?"))</f>
        <v/>
      </c>
      <c r="F1978" s="32">
        <f>IF(C1978&lt;&gt;"Venta","",D1978*IFERROR(INDEX(Productos!$D$2:$D$501,MATCH(B1978,Productos!$A$2:$A$501,0)),0))</f>
        <v/>
      </c>
      <c r="G1978" s="32">
        <f>IF(C1978&lt;&gt;"Venta","",D1978*IFERROR(INDEX(Productos!$E$2:$E$501,MATCH(B1978,Productos!$A$2:$A$501,0)),0))</f>
        <v/>
      </c>
      <c r="H1978" s="33">
        <f>IF(A1978="","",MONTH(A1978))</f>
        <v/>
      </c>
      <c r="I1978" s="33">
        <f>IF(A1978="","",YEAR(A1978))</f>
        <v/>
      </c>
    </row>
    <row r="1979" ht="15" customHeight="1" s="21">
      <c r="A1979" s="34" t="n"/>
      <c r="B1979" s="30" t="n"/>
      <c r="C1979" s="30" t="n"/>
      <c r="D1979" s="30" t="n"/>
      <c r="E1979" s="33">
        <f>IF(B1979="","",IFERROR(INDEX(Productos!$B$2:$B$501,MATCH(B1979,Productos!$A$2:$A$501,0)),"¿Código?"))</f>
        <v/>
      </c>
      <c r="F1979" s="32">
        <f>IF(C1979&lt;&gt;"Venta","",D1979*IFERROR(INDEX(Productos!$D$2:$D$501,MATCH(B1979,Productos!$A$2:$A$501,0)),0))</f>
        <v/>
      </c>
      <c r="G1979" s="32">
        <f>IF(C1979&lt;&gt;"Venta","",D1979*IFERROR(INDEX(Productos!$E$2:$E$501,MATCH(B1979,Productos!$A$2:$A$501,0)),0))</f>
        <v/>
      </c>
      <c r="H1979" s="33">
        <f>IF(A1979="","",MONTH(A1979))</f>
        <v/>
      </c>
      <c r="I1979" s="33">
        <f>IF(A1979="","",YEAR(A1979))</f>
        <v/>
      </c>
    </row>
    <row r="1980" ht="15" customHeight="1" s="21">
      <c r="A1980" s="34" t="n"/>
      <c r="B1980" s="30" t="n"/>
      <c r="C1980" s="30" t="n"/>
      <c r="D1980" s="30" t="n"/>
      <c r="E1980" s="33">
        <f>IF(B1980="","",IFERROR(INDEX(Productos!$B$2:$B$501,MATCH(B1980,Productos!$A$2:$A$501,0)),"¿Código?"))</f>
        <v/>
      </c>
      <c r="F1980" s="32">
        <f>IF(C1980&lt;&gt;"Venta","",D1980*IFERROR(INDEX(Productos!$D$2:$D$501,MATCH(B1980,Productos!$A$2:$A$501,0)),0))</f>
        <v/>
      </c>
      <c r="G1980" s="32">
        <f>IF(C1980&lt;&gt;"Venta","",D1980*IFERROR(INDEX(Productos!$E$2:$E$501,MATCH(B1980,Productos!$A$2:$A$501,0)),0))</f>
        <v/>
      </c>
      <c r="H1980" s="33">
        <f>IF(A1980="","",MONTH(A1980))</f>
        <v/>
      </c>
      <c r="I1980" s="33">
        <f>IF(A1980="","",YEAR(A1980))</f>
        <v/>
      </c>
    </row>
    <row r="1981" ht="15" customHeight="1" s="21">
      <c r="A1981" s="34" t="n"/>
      <c r="B1981" s="30" t="n"/>
      <c r="C1981" s="30" t="n"/>
      <c r="D1981" s="30" t="n"/>
      <c r="E1981" s="33">
        <f>IF(B1981="","",IFERROR(INDEX(Productos!$B$2:$B$501,MATCH(B1981,Productos!$A$2:$A$501,0)),"¿Código?"))</f>
        <v/>
      </c>
      <c r="F1981" s="32">
        <f>IF(C1981&lt;&gt;"Venta","",D1981*IFERROR(INDEX(Productos!$D$2:$D$501,MATCH(B1981,Productos!$A$2:$A$501,0)),0))</f>
        <v/>
      </c>
      <c r="G1981" s="32">
        <f>IF(C1981&lt;&gt;"Venta","",D1981*IFERROR(INDEX(Productos!$E$2:$E$501,MATCH(B1981,Productos!$A$2:$A$501,0)),0))</f>
        <v/>
      </c>
      <c r="H1981" s="33">
        <f>IF(A1981="","",MONTH(A1981))</f>
        <v/>
      </c>
      <c r="I1981" s="33">
        <f>IF(A1981="","",YEAR(A1981))</f>
        <v/>
      </c>
    </row>
    <row r="1982" ht="15" customHeight="1" s="21">
      <c r="A1982" s="34" t="n"/>
      <c r="B1982" s="30" t="n"/>
      <c r="C1982" s="30" t="n"/>
      <c r="D1982" s="30" t="n"/>
      <c r="E1982" s="33">
        <f>IF(B1982="","",IFERROR(INDEX(Productos!$B$2:$B$501,MATCH(B1982,Productos!$A$2:$A$501,0)),"¿Código?"))</f>
        <v/>
      </c>
      <c r="F1982" s="32">
        <f>IF(C1982&lt;&gt;"Venta","",D1982*IFERROR(INDEX(Productos!$D$2:$D$501,MATCH(B1982,Productos!$A$2:$A$501,0)),0))</f>
        <v/>
      </c>
      <c r="G1982" s="32">
        <f>IF(C1982&lt;&gt;"Venta","",D1982*IFERROR(INDEX(Productos!$E$2:$E$501,MATCH(B1982,Productos!$A$2:$A$501,0)),0))</f>
        <v/>
      </c>
      <c r="H1982" s="33">
        <f>IF(A1982="","",MONTH(A1982))</f>
        <v/>
      </c>
      <c r="I1982" s="33">
        <f>IF(A1982="","",YEAR(A1982))</f>
        <v/>
      </c>
    </row>
    <row r="1983" ht="15" customHeight="1" s="21">
      <c r="A1983" s="34" t="n"/>
      <c r="B1983" s="30" t="n"/>
      <c r="C1983" s="30" t="n"/>
      <c r="D1983" s="30" t="n"/>
      <c r="E1983" s="33">
        <f>IF(B1983="","",IFERROR(INDEX(Productos!$B$2:$B$501,MATCH(B1983,Productos!$A$2:$A$501,0)),"¿Código?"))</f>
        <v/>
      </c>
      <c r="F1983" s="32">
        <f>IF(C1983&lt;&gt;"Venta","",D1983*IFERROR(INDEX(Productos!$D$2:$D$501,MATCH(B1983,Productos!$A$2:$A$501,0)),0))</f>
        <v/>
      </c>
      <c r="G1983" s="32">
        <f>IF(C1983&lt;&gt;"Venta","",D1983*IFERROR(INDEX(Productos!$E$2:$E$501,MATCH(B1983,Productos!$A$2:$A$501,0)),0))</f>
        <v/>
      </c>
      <c r="H1983" s="33">
        <f>IF(A1983="","",MONTH(A1983))</f>
        <v/>
      </c>
      <c r="I1983" s="33">
        <f>IF(A1983="","",YEAR(A1983))</f>
        <v/>
      </c>
    </row>
    <row r="1984" ht="15" customHeight="1" s="21">
      <c r="A1984" s="34" t="n"/>
      <c r="B1984" s="30" t="n"/>
      <c r="C1984" s="30" t="n"/>
      <c r="D1984" s="30" t="n"/>
      <c r="E1984" s="33">
        <f>IF(B1984="","",IFERROR(INDEX(Productos!$B$2:$B$501,MATCH(B1984,Productos!$A$2:$A$501,0)),"¿Código?"))</f>
        <v/>
      </c>
      <c r="F1984" s="32">
        <f>IF(C1984&lt;&gt;"Venta","",D1984*IFERROR(INDEX(Productos!$D$2:$D$501,MATCH(B1984,Productos!$A$2:$A$501,0)),0))</f>
        <v/>
      </c>
      <c r="G1984" s="32">
        <f>IF(C1984&lt;&gt;"Venta","",D1984*IFERROR(INDEX(Productos!$E$2:$E$501,MATCH(B1984,Productos!$A$2:$A$501,0)),0))</f>
        <v/>
      </c>
      <c r="H1984" s="33">
        <f>IF(A1984="","",MONTH(A1984))</f>
        <v/>
      </c>
      <c r="I1984" s="33">
        <f>IF(A1984="","",YEAR(A1984))</f>
        <v/>
      </c>
    </row>
    <row r="1985" ht="15" customHeight="1" s="21">
      <c r="A1985" s="34" t="n"/>
      <c r="B1985" s="30" t="n"/>
      <c r="C1985" s="30" t="n"/>
      <c r="D1985" s="30" t="n"/>
      <c r="E1985" s="33">
        <f>IF(B1985="","",IFERROR(INDEX(Productos!$B$2:$B$501,MATCH(B1985,Productos!$A$2:$A$501,0)),"¿Código?"))</f>
        <v/>
      </c>
      <c r="F1985" s="32">
        <f>IF(C1985&lt;&gt;"Venta","",D1985*IFERROR(INDEX(Productos!$D$2:$D$501,MATCH(B1985,Productos!$A$2:$A$501,0)),0))</f>
        <v/>
      </c>
      <c r="G1985" s="32">
        <f>IF(C1985&lt;&gt;"Venta","",D1985*IFERROR(INDEX(Productos!$E$2:$E$501,MATCH(B1985,Productos!$A$2:$A$501,0)),0))</f>
        <v/>
      </c>
      <c r="H1985" s="33">
        <f>IF(A1985="","",MONTH(A1985))</f>
        <v/>
      </c>
      <c r="I1985" s="33">
        <f>IF(A1985="","",YEAR(A1985))</f>
        <v/>
      </c>
    </row>
    <row r="1986" ht="15" customHeight="1" s="21">
      <c r="A1986" s="34" t="n"/>
      <c r="B1986" s="30" t="n"/>
      <c r="C1986" s="30" t="n"/>
      <c r="D1986" s="30" t="n"/>
      <c r="E1986" s="33">
        <f>IF(B1986="","",IFERROR(INDEX(Productos!$B$2:$B$501,MATCH(B1986,Productos!$A$2:$A$501,0)),"¿Código?"))</f>
        <v/>
      </c>
      <c r="F1986" s="32">
        <f>IF(C1986&lt;&gt;"Venta","",D1986*IFERROR(INDEX(Productos!$D$2:$D$501,MATCH(B1986,Productos!$A$2:$A$501,0)),0))</f>
        <v/>
      </c>
      <c r="G1986" s="32">
        <f>IF(C1986&lt;&gt;"Venta","",D1986*IFERROR(INDEX(Productos!$E$2:$E$501,MATCH(B1986,Productos!$A$2:$A$501,0)),0))</f>
        <v/>
      </c>
      <c r="H1986" s="33">
        <f>IF(A1986="","",MONTH(A1986))</f>
        <v/>
      </c>
      <c r="I1986" s="33">
        <f>IF(A1986="","",YEAR(A1986))</f>
        <v/>
      </c>
    </row>
    <row r="1987" ht="15" customHeight="1" s="21">
      <c r="A1987" s="34" t="n"/>
      <c r="B1987" s="30" t="n"/>
      <c r="C1987" s="30" t="n"/>
      <c r="D1987" s="30" t="n"/>
      <c r="E1987" s="33">
        <f>IF(B1987="","",IFERROR(INDEX(Productos!$B$2:$B$501,MATCH(B1987,Productos!$A$2:$A$501,0)),"¿Código?"))</f>
        <v/>
      </c>
      <c r="F1987" s="32">
        <f>IF(C1987&lt;&gt;"Venta","",D1987*IFERROR(INDEX(Productos!$D$2:$D$501,MATCH(B1987,Productos!$A$2:$A$501,0)),0))</f>
        <v/>
      </c>
      <c r="G1987" s="32">
        <f>IF(C1987&lt;&gt;"Venta","",D1987*IFERROR(INDEX(Productos!$E$2:$E$501,MATCH(B1987,Productos!$A$2:$A$501,0)),0))</f>
        <v/>
      </c>
      <c r="H1987" s="33">
        <f>IF(A1987="","",MONTH(A1987))</f>
        <v/>
      </c>
      <c r="I1987" s="33">
        <f>IF(A1987="","",YEAR(A1987))</f>
        <v/>
      </c>
    </row>
    <row r="1988" ht="15" customHeight="1" s="21">
      <c r="A1988" s="34" t="n"/>
      <c r="B1988" s="30" t="n"/>
      <c r="C1988" s="30" t="n"/>
      <c r="D1988" s="30" t="n"/>
      <c r="E1988" s="33">
        <f>IF(B1988="","",IFERROR(INDEX(Productos!$B$2:$B$501,MATCH(B1988,Productos!$A$2:$A$501,0)),"¿Código?"))</f>
        <v/>
      </c>
      <c r="F1988" s="32">
        <f>IF(C1988&lt;&gt;"Venta","",D1988*IFERROR(INDEX(Productos!$D$2:$D$501,MATCH(B1988,Productos!$A$2:$A$501,0)),0))</f>
        <v/>
      </c>
      <c r="G1988" s="32">
        <f>IF(C1988&lt;&gt;"Venta","",D1988*IFERROR(INDEX(Productos!$E$2:$E$501,MATCH(B1988,Productos!$A$2:$A$501,0)),0))</f>
        <v/>
      </c>
      <c r="H1988" s="33">
        <f>IF(A1988="","",MONTH(A1988))</f>
        <v/>
      </c>
      <c r="I1988" s="33">
        <f>IF(A1988="","",YEAR(A1988))</f>
        <v/>
      </c>
    </row>
    <row r="1989" ht="15" customHeight="1" s="21">
      <c r="A1989" s="34" t="n"/>
      <c r="B1989" s="30" t="n"/>
      <c r="C1989" s="30" t="n"/>
      <c r="D1989" s="30" t="n"/>
      <c r="E1989" s="33">
        <f>IF(B1989="","",IFERROR(INDEX(Productos!$B$2:$B$501,MATCH(B1989,Productos!$A$2:$A$501,0)),"¿Código?"))</f>
        <v/>
      </c>
      <c r="F1989" s="32">
        <f>IF(C1989&lt;&gt;"Venta","",D1989*IFERROR(INDEX(Productos!$D$2:$D$501,MATCH(B1989,Productos!$A$2:$A$501,0)),0))</f>
        <v/>
      </c>
      <c r="G1989" s="32">
        <f>IF(C1989&lt;&gt;"Venta","",D1989*IFERROR(INDEX(Productos!$E$2:$E$501,MATCH(B1989,Productos!$A$2:$A$501,0)),0))</f>
        <v/>
      </c>
      <c r="H1989" s="33">
        <f>IF(A1989="","",MONTH(A1989))</f>
        <v/>
      </c>
      <c r="I1989" s="33">
        <f>IF(A1989="","",YEAR(A1989))</f>
        <v/>
      </c>
    </row>
    <row r="1990" ht="15" customHeight="1" s="21">
      <c r="A1990" s="34" t="n"/>
      <c r="B1990" s="30" t="n"/>
      <c r="C1990" s="30" t="n"/>
      <c r="D1990" s="30" t="n"/>
      <c r="E1990" s="33">
        <f>IF(B1990="","",IFERROR(INDEX(Productos!$B$2:$B$501,MATCH(B1990,Productos!$A$2:$A$501,0)),"¿Código?"))</f>
        <v/>
      </c>
      <c r="F1990" s="32">
        <f>IF(C1990&lt;&gt;"Venta","",D1990*IFERROR(INDEX(Productos!$D$2:$D$501,MATCH(B1990,Productos!$A$2:$A$501,0)),0))</f>
        <v/>
      </c>
      <c r="G1990" s="32">
        <f>IF(C1990&lt;&gt;"Venta","",D1990*IFERROR(INDEX(Productos!$E$2:$E$501,MATCH(B1990,Productos!$A$2:$A$501,0)),0))</f>
        <v/>
      </c>
      <c r="H1990" s="33">
        <f>IF(A1990="","",MONTH(A1990))</f>
        <v/>
      </c>
      <c r="I1990" s="33">
        <f>IF(A1990="","",YEAR(A1990))</f>
        <v/>
      </c>
    </row>
    <row r="1991" ht="15" customHeight="1" s="21">
      <c r="A1991" s="34" t="n"/>
      <c r="B1991" s="30" t="n"/>
      <c r="C1991" s="30" t="n"/>
      <c r="D1991" s="30" t="n"/>
      <c r="E1991" s="33">
        <f>IF(B1991="","",IFERROR(INDEX(Productos!$B$2:$B$501,MATCH(B1991,Productos!$A$2:$A$501,0)),"¿Código?"))</f>
        <v/>
      </c>
      <c r="F1991" s="32">
        <f>IF(C1991&lt;&gt;"Venta","",D1991*IFERROR(INDEX(Productos!$D$2:$D$501,MATCH(B1991,Productos!$A$2:$A$501,0)),0))</f>
        <v/>
      </c>
      <c r="G1991" s="32">
        <f>IF(C1991&lt;&gt;"Venta","",D1991*IFERROR(INDEX(Productos!$E$2:$E$501,MATCH(B1991,Productos!$A$2:$A$501,0)),0))</f>
        <v/>
      </c>
      <c r="H1991" s="33">
        <f>IF(A1991="","",MONTH(A1991))</f>
        <v/>
      </c>
      <c r="I1991" s="33">
        <f>IF(A1991="","",YEAR(A1991))</f>
        <v/>
      </c>
    </row>
    <row r="1992" ht="15" customHeight="1" s="21">
      <c r="A1992" s="34" t="n"/>
      <c r="B1992" s="30" t="n"/>
      <c r="C1992" s="30" t="n"/>
      <c r="D1992" s="30" t="n"/>
      <c r="E1992" s="33">
        <f>IF(B1992="","",IFERROR(INDEX(Productos!$B$2:$B$501,MATCH(B1992,Productos!$A$2:$A$501,0)),"¿Código?"))</f>
        <v/>
      </c>
      <c r="F1992" s="32">
        <f>IF(C1992&lt;&gt;"Venta","",D1992*IFERROR(INDEX(Productos!$D$2:$D$501,MATCH(B1992,Productos!$A$2:$A$501,0)),0))</f>
        <v/>
      </c>
      <c r="G1992" s="32">
        <f>IF(C1992&lt;&gt;"Venta","",D1992*IFERROR(INDEX(Productos!$E$2:$E$501,MATCH(B1992,Productos!$A$2:$A$501,0)),0))</f>
        <v/>
      </c>
      <c r="H1992" s="33">
        <f>IF(A1992="","",MONTH(A1992))</f>
        <v/>
      </c>
      <c r="I1992" s="33">
        <f>IF(A1992="","",YEAR(A1992))</f>
        <v/>
      </c>
    </row>
    <row r="1993" ht="15" customHeight="1" s="21">
      <c r="A1993" s="34" t="n"/>
      <c r="B1993" s="30" t="n"/>
      <c r="C1993" s="30" t="n"/>
      <c r="D1993" s="30" t="n"/>
      <c r="E1993" s="33">
        <f>IF(B1993="","",IFERROR(INDEX(Productos!$B$2:$B$501,MATCH(B1993,Productos!$A$2:$A$501,0)),"¿Código?"))</f>
        <v/>
      </c>
      <c r="F1993" s="32">
        <f>IF(C1993&lt;&gt;"Venta","",D1993*IFERROR(INDEX(Productos!$D$2:$D$501,MATCH(B1993,Productos!$A$2:$A$501,0)),0))</f>
        <v/>
      </c>
      <c r="G1993" s="32">
        <f>IF(C1993&lt;&gt;"Venta","",D1993*IFERROR(INDEX(Productos!$E$2:$E$501,MATCH(B1993,Productos!$A$2:$A$501,0)),0))</f>
        <v/>
      </c>
      <c r="H1993" s="33">
        <f>IF(A1993="","",MONTH(A1993))</f>
        <v/>
      </c>
      <c r="I1993" s="33">
        <f>IF(A1993="","",YEAR(A1993))</f>
        <v/>
      </c>
    </row>
    <row r="1994" ht="15" customHeight="1" s="21">
      <c r="A1994" s="34" t="n"/>
      <c r="B1994" s="30" t="n"/>
      <c r="C1994" s="30" t="n"/>
      <c r="D1994" s="30" t="n"/>
      <c r="E1994" s="33">
        <f>IF(B1994="","",IFERROR(INDEX(Productos!$B$2:$B$501,MATCH(B1994,Productos!$A$2:$A$501,0)),"¿Código?"))</f>
        <v/>
      </c>
      <c r="F1994" s="32">
        <f>IF(C1994&lt;&gt;"Venta","",D1994*IFERROR(INDEX(Productos!$D$2:$D$501,MATCH(B1994,Productos!$A$2:$A$501,0)),0))</f>
        <v/>
      </c>
      <c r="G1994" s="32">
        <f>IF(C1994&lt;&gt;"Venta","",D1994*IFERROR(INDEX(Productos!$E$2:$E$501,MATCH(B1994,Productos!$A$2:$A$501,0)),0))</f>
        <v/>
      </c>
      <c r="H1994" s="33">
        <f>IF(A1994="","",MONTH(A1994))</f>
        <v/>
      </c>
      <c r="I1994" s="33">
        <f>IF(A1994="","",YEAR(A1994))</f>
        <v/>
      </c>
    </row>
    <row r="1995" ht="15" customHeight="1" s="21">
      <c r="A1995" s="34" t="n"/>
      <c r="B1995" s="30" t="n"/>
      <c r="C1995" s="30" t="n"/>
      <c r="D1995" s="30" t="n"/>
      <c r="E1995" s="33">
        <f>IF(B1995="","",IFERROR(INDEX(Productos!$B$2:$B$501,MATCH(B1995,Productos!$A$2:$A$501,0)),"¿Código?"))</f>
        <v/>
      </c>
      <c r="F1995" s="32">
        <f>IF(C1995&lt;&gt;"Venta","",D1995*IFERROR(INDEX(Productos!$D$2:$D$501,MATCH(B1995,Productos!$A$2:$A$501,0)),0))</f>
        <v/>
      </c>
      <c r="G1995" s="32">
        <f>IF(C1995&lt;&gt;"Venta","",D1995*IFERROR(INDEX(Productos!$E$2:$E$501,MATCH(B1995,Productos!$A$2:$A$501,0)),0))</f>
        <v/>
      </c>
      <c r="H1995" s="33">
        <f>IF(A1995="","",MONTH(A1995))</f>
        <v/>
      </c>
      <c r="I1995" s="33">
        <f>IF(A1995="","",YEAR(A1995))</f>
        <v/>
      </c>
    </row>
    <row r="1996" ht="15" customHeight="1" s="21">
      <c r="A1996" s="34" t="n"/>
      <c r="B1996" s="30" t="n"/>
      <c r="C1996" s="30" t="n"/>
      <c r="D1996" s="30" t="n"/>
      <c r="E1996" s="33">
        <f>IF(B1996="","",IFERROR(INDEX(Productos!$B$2:$B$501,MATCH(B1996,Productos!$A$2:$A$501,0)),"¿Código?"))</f>
        <v/>
      </c>
      <c r="F1996" s="32">
        <f>IF(C1996&lt;&gt;"Venta","",D1996*IFERROR(INDEX(Productos!$D$2:$D$501,MATCH(B1996,Productos!$A$2:$A$501,0)),0))</f>
        <v/>
      </c>
      <c r="G1996" s="32">
        <f>IF(C1996&lt;&gt;"Venta","",D1996*IFERROR(INDEX(Productos!$E$2:$E$501,MATCH(B1996,Productos!$A$2:$A$501,0)),0))</f>
        <v/>
      </c>
      <c r="H1996" s="33">
        <f>IF(A1996="","",MONTH(A1996))</f>
        <v/>
      </c>
      <c r="I1996" s="33">
        <f>IF(A1996="","",YEAR(A1996))</f>
        <v/>
      </c>
    </row>
    <row r="1997" ht="15" customHeight="1" s="21">
      <c r="A1997" s="34" t="n"/>
      <c r="B1997" s="30" t="n"/>
      <c r="C1997" s="30" t="n"/>
      <c r="D1997" s="30" t="n"/>
      <c r="E1997" s="33">
        <f>IF(B1997="","",IFERROR(INDEX(Productos!$B$2:$B$501,MATCH(B1997,Productos!$A$2:$A$501,0)),"¿Código?"))</f>
        <v/>
      </c>
      <c r="F1997" s="32">
        <f>IF(C1997&lt;&gt;"Venta","",D1997*IFERROR(INDEX(Productos!$D$2:$D$501,MATCH(B1997,Productos!$A$2:$A$501,0)),0))</f>
        <v/>
      </c>
      <c r="G1997" s="32">
        <f>IF(C1997&lt;&gt;"Venta","",D1997*IFERROR(INDEX(Productos!$E$2:$E$501,MATCH(B1997,Productos!$A$2:$A$501,0)),0))</f>
        <v/>
      </c>
      <c r="H1997" s="33">
        <f>IF(A1997="","",MONTH(A1997))</f>
        <v/>
      </c>
      <c r="I1997" s="33">
        <f>IF(A1997="","",YEAR(A1997))</f>
        <v/>
      </c>
    </row>
    <row r="1998" ht="15" customHeight="1" s="21">
      <c r="A1998" s="34" t="n"/>
      <c r="B1998" s="30" t="n"/>
      <c r="C1998" s="30" t="n"/>
      <c r="D1998" s="30" t="n"/>
      <c r="E1998" s="33">
        <f>IF(B1998="","",IFERROR(INDEX(Productos!$B$2:$B$501,MATCH(B1998,Productos!$A$2:$A$501,0)),"¿Código?"))</f>
        <v/>
      </c>
      <c r="F1998" s="32">
        <f>IF(C1998&lt;&gt;"Venta","",D1998*IFERROR(INDEX(Productos!$D$2:$D$501,MATCH(B1998,Productos!$A$2:$A$501,0)),0))</f>
        <v/>
      </c>
      <c r="G1998" s="32">
        <f>IF(C1998&lt;&gt;"Venta","",D1998*IFERROR(INDEX(Productos!$E$2:$E$501,MATCH(B1998,Productos!$A$2:$A$501,0)),0))</f>
        <v/>
      </c>
      <c r="H1998" s="33">
        <f>IF(A1998="","",MONTH(A1998))</f>
        <v/>
      </c>
      <c r="I1998" s="33">
        <f>IF(A1998="","",YEAR(A1998))</f>
        <v/>
      </c>
    </row>
    <row r="1999" ht="15" customHeight="1" s="21">
      <c r="A1999" s="34" t="n"/>
      <c r="B1999" s="30" t="n"/>
      <c r="C1999" s="30" t="n"/>
      <c r="D1999" s="30" t="n"/>
      <c r="E1999" s="33">
        <f>IF(B1999="","",IFERROR(INDEX(Productos!$B$2:$B$501,MATCH(B1999,Productos!$A$2:$A$501,0)),"¿Código?"))</f>
        <v/>
      </c>
      <c r="F1999" s="32">
        <f>IF(C1999&lt;&gt;"Venta","",D1999*IFERROR(INDEX(Productos!$D$2:$D$501,MATCH(B1999,Productos!$A$2:$A$501,0)),0))</f>
        <v/>
      </c>
      <c r="G1999" s="32">
        <f>IF(C1999&lt;&gt;"Venta","",D1999*IFERROR(INDEX(Productos!$E$2:$E$501,MATCH(B1999,Productos!$A$2:$A$501,0)),0))</f>
        <v/>
      </c>
      <c r="H1999" s="33">
        <f>IF(A1999="","",MONTH(A1999))</f>
        <v/>
      </c>
      <c r="I1999" s="33">
        <f>IF(A1999="","",YEAR(A1999))</f>
        <v/>
      </c>
    </row>
    <row r="2000" ht="15" customHeight="1" s="21">
      <c r="A2000" s="34" t="n"/>
      <c r="B2000" s="30" t="n"/>
      <c r="C2000" s="30" t="n"/>
      <c r="D2000" s="30" t="n"/>
      <c r="E2000" s="33">
        <f>IF(B2000="","",IFERROR(INDEX(Productos!$B$2:$B$501,MATCH(B2000,Productos!$A$2:$A$501,0)),"¿Código?"))</f>
        <v/>
      </c>
      <c r="F2000" s="32">
        <f>IF(C2000&lt;&gt;"Venta","",D2000*IFERROR(INDEX(Productos!$D$2:$D$501,MATCH(B2000,Productos!$A$2:$A$501,0)),0))</f>
        <v/>
      </c>
      <c r="G2000" s="32">
        <f>IF(C2000&lt;&gt;"Venta","",D2000*IFERROR(INDEX(Productos!$E$2:$E$501,MATCH(B2000,Productos!$A$2:$A$501,0)),0))</f>
        <v/>
      </c>
      <c r="H2000" s="33">
        <f>IF(A2000="","",MONTH(A2000))</f>
        <v/>
      </c>
      <c r="I2000" s="33">
        <f>IF(A2000="","",YEAR(A2000))</f>
        <v/>
      </c>
    </row>
    <row r="2001" ht="15" customHeight="1" s="21">
      <c r="A2001" s="34" t="n"/>
      <c r="B2001" s="30" t="n"/>
      <c r="C2001" s="30" t="n"/>
      <c r="D2001" s="30" t="n"/>
      <c r="E2001" s="33">
        <f>IF(B2001="","",IFERROR(INDEX(Productos!$B$2:$B$501,MATCH(B2001,Productos!$A$2:$A$501,0)),"¿Código?"))</f>
        <v/>
      </c>
      <c r="F2001" s="32">
        <f>IF(C2001&lt;&gt;"Venta","",D2001*IFERROR(INDEX(Productos!$D$2:$D$501,MATCH(B2001,Productos!$A$2:$A$501,0)),0))</f>
        <v/>
      </c>
      <c r="G2001" s="32">
        <f>IF(C2001&lt;&gt;"Venta","",D2001*IFERROR(INDEX(Productos!$E$2:$E$501,MATCH(B2001,Productos!$A$2:$A$501,0)),0))</f>
        <v/>
      </c>
      <c r="H2001" s="33">
        <f>IF(A2001="","",MONTH(A2001))</f>
        <v/>
      </c>
      <c r="I2001" s="33">
        <f>IF(A2001="","",YEAR(A2001))</f>
        <v/>
      </c>
    </row>
    <row r="2002" ht="15" customHeight="1" s="21">
      <c r="A2002" s="34" t="n"/>
      <c r="B2002" s="30" t="n"/>
      <c r="C2002" s="30" t="n"/>
      <c r="D2002" s="30" t="n"/>
      <c r="E2002" s="33">
        <f>IF(B2002="","",IFERROR(INDEX(Productos!$B$2:$B$501,MATCH(B2002,Productos!$A$2:$A$501,0)),"¿Código?"))</f>
        <v/>
      </c>
      <c r="F2002" s="32">
        <f>IF(C2002&lt;&gt;"Venta","",D2002*IFERROR(INDEX(Productos!$D$2:$D$501,MATCH(B2002,Productos!$A$2:$A$501,0)),0))</f>
        <v/>
      </c>
      <c r="G2002" s="32">
        <f>IF(C2002&lt;&gt;"Venta","",D2002*IFERROR(INDEX(Productos!$E$2:$E$501,MATCH(B2002,Productos!$A$2:$A$501,0)),0))</f>
        <v/>
      </c>
      <c r="H2002" s="33">
        <f>IF(A2002="","",MONTH(A2002))</f>
        <v/>
      </c>
      <c r="I2002" s="33">
        <f>IF(A2002="","",YEAR(A2002))</f>
        <v/>
      </c>
    </row>
    <row r="2003" ht="15" customHeight="1" s="21">
      <c r="A2003" s="34" t="n"/>
      <c r="B2003" s="30" t="n"/>
      <c r="C2003" s="30" t="n"/>
      <c r="D2003" s="30" t="n"/>
      <c r="E2003" s="33">
        <f>IF(B2003="","",IFERROR(INDEX(Productos!$B$2:$B$501,MATCH(B2003,Productos!$A$2:$A$501,0)),"¿Código?"))</f>
        <v/>
      </c>
      <c r="F2003" s="32">
        <f>IF(C2003&lt;&gt;"Venta","",D2003*IFERROR(INDEX(Productos!$D$2:$D$501,MATCH(B2003,Productos!$A$2:$A$501,0)),0))</f>
        <v/>
      </c>
      <c r="G2003" s="32">
        <f>IF(C2003&lt;&gt;"Venta","",D2003*IFERROR(INDEX(Productos!$E$2:$E$501,MATCH(B2003,Productos!$A$2:$A$501,0)),0))</f>
        <v/>
      </c>
      <c r="H2003" s="33">
        <f>IF(A2003="","",MONTH(A2003))</f>
        <v/>
      </c>
      <c r="I2003" s="33">
        <f>IF(A2003="","",YEAR(A2003))</f>
        <v/>
      </c>
    </row>
    <row r="2004" ht="15" customHeight="1" s="21">
      <c r="A2004" s="34" t="n"/>
      <c r="B2004" s="30" t="n"/>
      <c r="C2004" s="30" t="n"/>
      <c r="D2004" s="30" t="n"/>
      <c r="E2004" s="33">
        <f>IF(B2004="","",IFERROR(INDEX(Productos!$B$2:$B$501,MATCH(B2004,Productos!$A$2:$A$501,0)),"¿Código?"))</f>
        <v/>
      </c>
      <c r="F2004" s="32">
        <f>IF(C2004&lt;&gt;"Venta","",D2004*IFERROR(INDEX(Productos!$D$2:$D$501,MATCH(B2004,Productos!$A$2:$A$501,0)),0))</f>
        <v/>
      </c>
      <c r="G2004" s="32">
        <f>IF(C2004&lt;&gt;"Venta","",D2004*IFERROR(INDEX(Productos!$E$2:$E$501,MATCH(B2004,Productos!$A$2:$A$501,0)),0))</f>
        <v/>
      </c>
      <c r="H2004" s="33">
        <f>IF(A2004="","",MONTH(A2004))</f>
        <v/>
      </c>
      <c r="I2004" s="33">
        <f>IF(A2004="","",YEAR(A2004))</f>
        <v/>
      </c>
    </row>
    <row r="2005" ht="15" customHeight="1" s="21">
      <c r="A2005" s="34" t="n"/>
      <c r="B2005" s="30" t="n"/>
      <c r="C2005" s="30" t="n"/>
      <c r="D2005" s="30" t="n"/>
      <c r="E2005" s="33">
        <f>IF(B2005="","",IFERROR(INDEX(Productos!$B$2:$B$501,MATCH(B2005,Productos!$A$2:$A$501,0)),"¿Código?"))</f>
        <v/>
      </c>
      <c r="F2005" s="32">
        <f>IF(C2005&lt;&gt;"Venta","",D2005*IFERROR(INDEX(Productos!$D$2:$D$501,MATCH(B2005,Productos!$A$2:$A$501,0)),0))</f>
        <v/>
      </c>
      <c r="G2005" s="32">
        <f>IF(C2005&lt;&gt;"Venta","",D2005*IFERROR(INDEX(Productos!$E$2:$E$501,MATCH(B2005,Productos!$A$2:$A$501,0)),0))</f>
        <v/>
      </c>
      <c r="H2005" s="33">
        <f>IF(A2005="","",MONTH(A2005))</f>
        <v/>
      </c>
      <c r="I2005" s="33">
        <f>IF(A2005="","",YEAR(A2005))</f>
        <v/>
      </c>
    </row>
    <row r="2006" ht="15" customHeight="1" s="21">
      <c r="A2006" s="34" t="n"/>
      <c r="B2006" s="30" t="n"/>
      <c r="C2006" s="30" t="n"/>
      <c r="D2006" s="30" t="n"/>
      <c r="E2006" s="33">
        <f>IF(B2006="","",IFERROR(INDEX(Productos!$B$2:$B$501,MATCH(B2006,Productos!$A$2:$A$501,0)),"¿Código?"))</f>
        <v/>
      </c>
      <c r="F2006" s="32">
        <f>IF(C2006&lt;&gt;"Venta","",D2006*IFERROR(INDEX(Productos!$D$2:$D$501,MATCH(B2006,Productos!$A$2:$A$501,0)),0))</f>
        <v/>
      </c>
      <c r="G2006" s="32">
        <f>IF(C2006&lt;&gt;"Venta","",D2006*IFERROR(INDEX(Productos!$E$2:$E$501,MATCH(B2006,Productos!$A$2:$A$501,0)),0))</f>
        <v/>
      </c>
      <c r="H2006" s="33">
        <f>IF(A2006="","",MONTH(A2006))</f>
        <v/>
      </c>
      <c r="I2006" s="33">
        <f>IF(A2006="","",YEAR(A2006))</f>
        <v/>
      </c>
    </row>
    <row r="2007" ht="15" customHeight="1" s="21">
      <c r="A2007" s="34" t="n"/>
      <c r="B2007" s="30" t="n"/>
      <c r="C2007" s="30" t="n"/>
      <c r="D2007" s="30" t="n"/>
      <c r="E2007" s="33">
        <f>IF(B2007="","",IFERROR(INDEX(Productos!$B$2:$B$501,MATCH(B2007,Productos!$A$2:$A$501,0)),"¿Código?"))</f>
        <v/>
      </c>
      <c r="F2007" s="32">
        <f>IF(C2007&lt;&gt;"Venta","",D2007*IFERROR(INDEX(Productos!$D$2:$D$501,MATCH(B2007,Productos!$A$2:$A$501,0)),0))</f>
        <v/>
      </c>
      <c r="G2007" s="32">
        <f>IF(C2007&lt;&gt;"Venta","",D2007*IFERROR(INDEX(Productos!$E$2:$E$501,MATCH(B2007,Productos!$A$2:$A$501,0)),0))</f>
        <v/>
      </c>
      <c r="H2007" s="33">
        <f>IF(A2007="","",MONTH(A2007))</f>
        <v/>
      </c>
      <c r="I2007" s="33">
        <f>IF(A2007="","",YEAR(A2007))</f>
        <v/>
      </c>
    </row>
    <row r="2008" ht="15" customHeight="1" s="21">
      <c r="A2008" s="34" t="n"/>
      <c r="B2008" s="30" t="n"/>
      <c r="C2008" s="30" t="n"/>
      <c r="D2008" s="30" t="n"/>
      <c r="E2008" s="33">
        <f>IF(B2008="","",IFERROR(INDEX(Productos!$B$2:$B$501,MATCH(B2008,Productos!$A$2:$A$501,0)),"¿Código?"))</f>
        <v/>
      </c>
      <c r="F2008" s="32">
        <f>IF(C2008&lt;&gt;"Venta","",D2008*IFERROR(INDEX(Productos!$D$2:$D$501,MATCH(B2008,Productos!$A$2:$A$501,0)),0))</f>
        <v/>
      </c>
      <c r="G2008" s="32">
        <f>IF(C2008&lt;&gt;"Venta","",D2008*IFERROR(INDEX(Productos!$E$2:$E$501,MATCH(B2008,Productos!$A$2:$A$501,0)),0))</f>
        <v/>
      </c>
      <c r="H2008" s="33">
        <f>IF(A2008="","",MONTH(A2008))</f>
        <v/>
      </c>
      <c r="I2008" s="33">
        <f>IF(A2008="","",YEAR(A2008))</f>
        <v/>
      </c>
    </row>
    <row r="2009" ht="15" customHeight="1" s="21">
      <c r="A2009" s="34" t="n"/>
      <c r="B2009" s="30" t="n"/>
      <c r="C2009" s="30" t="n"/>
      <c r="D2009" s="30" t="n"/>
      <c r="E2009" s="33">
        <f>IF(B2009="","",IFERROR(INDEX(Productos!$B$2:$B$501,MATCH(B2009,Productos!$A$2:$A$501,0)),"¿Código?"))</f>
        <v/>
      </c>
      <c r="F2009" s="32">
        <f>IF(C2009&lt;&gt;"Venta","",D2009*IFERROR(INDEX(Productos!$D$2:$D$501,MATCH(B2009,Productos!$A$2:$A$501,0)),0))</f>
        <v/>
      </c>
      <c r="G2009" s="32">
        <f>IF(C2009&lt;&gt;"Venta","",D2009*IFERROR(INDEX(Productos!$E$2:$E$501,MATCH(B2009,Productos!$A$2:$A$501,0)),0))</f>
        <v/>
      </c>
      <c r="H2009" s="33">
        <f>IF(A2009="","",MONTH(A2009))</f>
        <v/>
      </c>
      <c r="I2009" s="33">
        <f>IF(A2009="","",YEAR(A2009))</f>
        <v/>
      </c>
    </row>
    <row r="2010" ht="15" customHeight="1" s="21">
      <c r="A2010" s="34" t="n"/>
      <c r="B2010" s="30" t="n"/>
      <c r="C2010" s="30" t="n"/>
      <c r="D2010" s="30" t="n"/>
      <c r="E2010" s="33">
        <f>IF(B2010="","",IFERROR(INDEX(Productos!$B$2:$B$501,MATCH(B2010,Productos!$A$2:$A$501,0)),"¿Código?"))</f>
        <v/>
      </c>
      <c r="F2010" s="32">
        <f>IF(C2010&lt;&gt;"Venta","",D2010*IFERROR(INDEX(Productos!$D$2:$D$501,MATCH(B2010,Productos!$A$2:$A$501,0)),0))</f>
        <v/>
      </c>
      <c r="G2010" s="32">
        <f>IF(C2010&lt;&gt;"Venta","",D2010*IFERROR(INDEX(Productos!$E$2:$E$501,MATCH(B2010,Productos!$A$2:$A$501,0)),0))</f>
        <v/>
      </c>
      <c r="H2010" s="33">
        <f>IF(A2010="","",MONTH(A2010))</f>
        <v/>
      </c>
      <c r="I2010" s="33">
        <f>IF(A2010="","",YEAR(A2010))</f>
        <v/>
      </c>
    </row>
    <row r="2011" ht="15" customHeight="1" s="21">
      <c r="A2011" s="34" t="n"/>
      <c r="B2011" s="30" t="n"/>
      <c r="C2011" s="30" t="n"/>
      <c r="D2011" s="30" t="n"/>
      <c r="E2011" s="33">
        <f>IF(B2011="","",IFERROR(INDEX(Productos!$B$2:$B$501,MATCH(B2011,Productos!$A$2:$A$501,0)),"¿Código?"))</f>
        <v/>
      </c>
      <c r="F2011" s="32">
        <f>IF(C2011&lt;&gt;"Venta","",D2011*IFERROR(INDEX(Productos!$D$2:$D$501,MATCH(B2011,Productos!$A$2:$A$501,0)),0))</f>
        <v/>
      </c>
      <c r="G2011" s="32">
        <f>IF(C2011&lt;&gt;"Venta","",D2011*IFERROR(INDEX(Productos!$E$2:$E$501,MATCH(B2011,Productos!$A$2:$A$501,0)),0))</f>
        <v/>
      </c>
      <c r="H2011" s="33">
        <f>IF(A2011="","",MONTH(A2011))</f>
        <v/>
      </c>
      <c r="I2011" s="33">
        <f>IF(A2011="","",YEAR(A2011))</f>
        <v/>
      </c>
    </row>
    <row r="2012" ht="15" customHeight="1" s="21">
      <c r="A2012" s="34" t="n"/>
      <c r="B2012" s="30" t="n"/>
      <c r="C2012" s="30" t="n"/>
      <c r="D2012" s="30" t="n"/>
      <c r="E2012" s="33">
        <f>IF(B2012="","",IFERROR(INDEX(Productos!$B$2:$B$501,MATCH(B2012,Productos!$A$2:$A$501,0)),"¿Código?"))</f>
        <v/>
      </c>
      <c r="F2012" s="32">
        <f>IF(C2012&lt;&gt;"Venta","",D2012*IFERROR(INDEX(Productos!$D$2:$D$501,MATCH(B2012,Productos!$A$2:$A$501,0)),0))</f>
        <v/>
      </c>
      <c r="G2012" s="32">
        <f>IF(C2012&lt;&gt;"Venta","",D2012*IFERROR(INDEX(Productos!$E$2:$E$501,MATCH(B2012,Productos!$A$2:$A$501,0)),0))</f>
        <v/>
      </c>
      <c r="H2012" s="33">
        <f>IF(A2012="","",MONTH(A2012))</f>
        <v/>
      </c>
      <c r="I2012" s="33">
        <f>IF(A2012="","",YEAR(A2012))</f>
        <v/>
      </c>
    </row>
    <row r="2013" ht="15" customHeight="1" s="21">
      <c r="A2013" s="34" t="n"/>
      <c r="B2013" s="30" t="n"/>
      <c r="C2013" s="30" t="n"/>
      <c r="D2013" s="30" t="n"/>
      <c r="E2013" s="33">
        <f>IF(B2013="","",IFERROR(INDEX(Productos!$B$2:$B$501,MATCH(B2013,Productos!$A$2:$A$501,0)),"¿Código?"))</f>
        <v/>
      </c>
      <c r="F2013" s="32">
        <f>IF(C2013&lt;&gt;"Venta","",D2013*IFERROR(INDEX(Productos!$D$2:$D$501,MATCH(B2013,Productos!$A$2:$A$501,0)),0))</f>
        <v/>
      </c>
      <c r="G2013" s="32">
        <f>IF(C2013&lt;&gt;"Venta","",D2013*IFERROR(INDEX(Productos!$E$2:$E$501,MATCH(B2013,Productos!$A$2:$A$501,0)),0))</f>
        <v/>
      </c>
      <c r="H2013" s="33">
        <f>IF(A2013="","",MONTH(A2013))</f>
        <v/>
      </c>
      <c r="I2013" s="33">
        <f>IF(A2013="","",YEAR(A2013))</f>
        <v/>
      </c>
    </row>
    <row r="2014" ht="15" customHeight="1" s="21">
      <c r="A2014" s="34" t="n"/>
      <c r="B2014" s="30" t="n"/>
      <c r="C2014" s="30" t="n"/>
      <c r="D2014" s="30" t="n"/>
      <c r="E2014" s="33">
        <f>IF(B2014="","",IFERROR(INDEX(Productos!$B$2:$B$501,MATCH(B2014,Productos!$A$2:$A$501,0)),"¿Código?"))</f>
        <v/>
      </c>
      <c r="F2014" s="32">
        <f>IF(C2014&lt;&gt;"Venta","",D2014*IFERROR(INDEX(Productos!$D$2:$D$501,MATCH(B2014,Productos!$A$2:$A$501,0)),0))</f>
        <v/>
      </c>
      <c r="G2014" s="32">
        <f>IF(C2014&lt;&gt;"Venta","",D2014*IFERROR(INDEX(Productos!$E$2:$E$501,MATCH(B2014,Productos!$A$2:$A$501,0)),0))</f>
        <v/>
      </c>
      <c r="H2014" s="33">
        <f>IF(A2014="","",MONTH(A2014))</f>
        <v/>
      </c>
      <c r="I2014" s="33">
        <f>IF(A2014="","",YEAR(A2014))</f>
        <v/>
      </c>
    </row>
    <row r="2015" ht="15" customHeight="1" s="21">
      <c r="A2015" s="34" t="n"/>
      <c r="B2015" s="30" t="n"/>
      <c r="C2015" s="30" t="n"/>
      <c r="D2015" s="30" t="n"/>
      <c r="E2015" s="33">
        <f>IF(B2015="","",IFERROR(INDEX(Productos!$B$2:$B$501,MATCH(B2015,Productos!$A$2:$A$501,0)),"¿Código?"))</f>
        <v/>
      </c>
      <c r="F2015" s="32">
        <f>IF(C2015&lt;&gt;"Venta","",D2015*IFERROR(INDEX(Productos!$D$2:$D$501,MATCH(B2015,Productos!$A$2:$A$501,0)),0))</f>
        <v/>
      </c>
      <c r="G2015" s="32">
        <f>IF(C2015&lt;&gt;"Venta","",D2015*IFERROR(INDEX(Productos!$E$2:$E$501,MATCH(B2015,Productos!$A$2:$A$501,0)),0))</f>
        <v/>
      </c>
      <c r="H2015" s="33">
        <f>IF(A2015="","",MONTH(A2015))</f>
        <v/>
      </c>
      <c r="I2015" s="33">
        <f>IF(A2015="","",YEAR(A2015))</f>
        <v/>
      </c>
    </row>
    <row r="2016" ht="15" customHeight="1" s="21">
      <c r="A2016" s="34" t="n"/>
      <c r="B2016" s="30" t="n"/>
      <c r="C2016" s="30" t="n"/>
      <c r="D2016" s="30" t="n"/>
      <c r="E2016" s="33">
        <f>IF(B2016="","",IFERROR(INDEX(Productos!$B$2:$B$501,MATCH(B2016,Productos!$A$2:$A$501,0)),"¿Código?"))</f>
        <v/>
      </c>
      <c r="F2016" s="32">
        <f>IF(C2016&lt;&gt;"Venta","",D2016*IFERROR(INDEX(Productos!$D$2:$D$501,MATCH(B2016,Productos!$A$2:$A$501,0)),0))</f>
        <v/>
      </c>
      <c r="G2016" s="32">
        <f>IF(C2016&lt;&gt;"Venta","",D2016*IFERROR(INDEX(Productos!$E$2:$E$501,MATCH(B2016,Productos!$A$2:$A$501,0)),0))</f>
        <v/>
      </c>
      <c r="H2016" s="33">
        <f>IF(A2016="","",MONTH(A2016))</f>
        <v/>
      </c>
      <c r="I2016" s="33">
        <f>IF(A2016="","",YEAR(A2016))</f>
        <v/>
      </c>
    </row>
    <row r="2017" ht="15" customHeight="1" s="21">
      <c r="A2017" s="34" t="n"/>
      <c r="B2017" s="30" t="n"/>
      <c r="C2017" s="30" t="n"/>
      <c r="D2017" s="30" t="n"/>
      <c r="E2017" s="33">
        <f>IF(B2017="","",IFERROR(INDEX(Productos!$B$2:$B$501,MATCH(B2017,Productos!$A$2:$A$501,0)),"¿Código?"))</f>
        <v/>
      </c>
      <c r="F2017" s="32">
        <f>IF(C2017&lt;&gt;"Venta","",D2017*IFERROR(INDEX(Productos!$D$2:$D$501,MATCH(B2017,Productos!$A$2:$A$501,0)),0))</f>
        <v/>
      </c>
      <c r="G2017" s="32">
        <f>IF(C2017&lt;&gt;"Venta","",D2017*IFERROR(INDEX(Productos!$E$2:$E$501,MATCH(B2017,Productos!$A$2:$A$501,0)),0))</f>
        <v/>
      </c>
      <c r="H2017" s="33">
        <f>IF(A2017="","",MONTH(A2017))</f>
        <v/>
      </c>
      <c r="I2017" s="33">
        <f>IF(A2017="","",YEAR(A2017))</f>
        <v/>
      </c>
    </row>
    <row r="2018" ht="15" customHeight="1" s="21">
      <c r="A2018" s="34" t="n"/>
      <c r="B2018" s="30" t="n"/>
      <c r="C2018" s="30" t="n"/>
      <c r="D2018" s="30" t="n"/>
      <c r="E2018" s="33">
        <f>IF(B2018="","",IFERROR(INDEX(Productos!$B$2:$B$501,MATCH(B2018,Productos!$A$2:$A$501,0)),"¿Código?"))</f>
        <v/>
      </c>
      <c r="F2018" s="32">
        <f>IF(C2018&lt;&gt;"Venta","",D2018*IFERROR(INDEX(Productos!$D$2:$D$501,MATCH(B2018,Productos!$A$2:$A$501,0)),0))</f>
        <v/>
      </c>
      <c r="G2018" s="32">
        <f>IF(C2018&lt;&gt;"Venta","",D2018*IFERROR(INDEX(Productos!$E$2:$E$501,MATCH(B2018,Productos!$A$2:$A$501,0)),0))</f>
        <v/>
      </c>
      <c r="H2018" s="33">
        <f>IF(A2018="","",MONTH(A2018))</f>
        <v/>
      </c>
      <c r="I2018" s="33">
        <f>IF(A2018="","",YEAR(A2018))</f>
        <v/>
      </c>
    </row>
    <row r="2019" ht="15" customHeight="1" s="21">
      <c r="A2019" s="34" t="n"/>
      <c r="B2019" s="30" t="n"/>
      <c r="C2019" s="30" t="n"/>
      <c r="D2019" s="30" t="n"/>
      <c r="E2019" s="33">
        <f>IF(B2019="","",IFERROR(INDEX(Productos!$B$2:$B$501,MATCH(B2019,Productos!$A$2:$A$501,0)),"¿Código?"))</f>
        <v/>
      </c>
      <c r="F2019" s="32">
        <f>IF(C2019&lt;&gt;"Venta","",D2019*IFERROR(INDEX(Productos!$D$2:$D$501,MATCH(B2019,Productos!$A$2:$A$501,0)),0))</f>
        <v/>
      </c>
      <c r="G2019" s="32">
        <f>IF(C2019&lt;&gt;"Venta","",D2019*IFERROR(INDEX(Productos!$E$2:$E$501,MATCH(B2019,Productos!$A$2:$A$501,0)),0))</f>
        <v/>
      </c>
      <c r="H2019" s="33">
        <f>IF(A2019="","",MONTH(A2019))</f>
        <v/>
      </c>
      <c r="I2019" s="33">
        <f>IF(A2019="","",YEAR(A2019))</f>
        <v/>
      </c>
    </row>
    <row r="2020" ht="15" customHeight="1" s="21">
      <c r="A2020" s="34" t="n"/>
      <c r="B2020" s="30" t="n"/>
      <c r="C2020" s="30" t="n"/>
      <c r="D2020" s="30" t="n"/>
      <c r="E2020" s="33">
        <f>IF(B2020="","",IFERROR(INDEX(Productos!$B$2:$B$501,MATCH(B2020,Productos!$A$2:$A$501,0)),"¿Código?"))</f>
        <v/>
      </c>
      <c r="F2020" s="32">
        <f>IF(C2020&lt;&gt;"Venta","",D2020*IFERROR(INDEX(Productos!$D$2:$D$501,MATCH(B2020,Productos!$A$2:$A$501,0)),0))</f>
        <v/>
      </c>
      <c r="G2020" s="32">
        <f>IF(C2020&lt;&gt;"Venta","",D2020*IFERROR(INDEX(Productos!$E$2:$E$501,MATCH(B2020,Productos!$A$2:$A$501,0)),0))</f>
        <v/>
      </c>
      <c r="H2020" s="33">
        <f>IF(A2020="","",MONTH(A2020))</f>
        <v/>
      </c>
      <c r="I2020" s="33">
        <f>IF(A2020="","",YEAR(A2020))</f>
        <v/>
      </c>
    </row>
    <row r="2021" ht="15" customHeight="1" s="21">
      <c r="A2021" s="34" t="n"/>
      <c r="B2021" s="30" t="n"/>
      <c r="C2021" s="30" t="n"/>
      <c r="D2021" s="30" t="n"/>
      <c r="E2021" s="33">
        <f>IF(B2021="","",IFERROR(INDEX(Productos!$B$2:$B$501,MATCH(B2021,Productos!$A$2:$A$501,0)),"¿Código?"))</f>
        <v/>
      </c>
      <c r="F2021" s="32">
        <f>IF(C2021&lt;&gt;"Venta","",D2021*IFERROR(INDEX(Productos!$D$2:$D$501,MATCH(B2021,Productos!$A$2:$A$501,0)),0))</f>
        <v/>
      </c>
      <c r="G2021" s="32">
        <f>IF(C2021&lt;&gt;"Venta","",D2021*IFERROR(INDEX(Productos!$E$2:$E$501,MATCH(B2021,Productos!$A$2:$A$501,0)),0))</f>
        <v/>
      </c>
      <c r="H2021" s="33">
        <f>IF(A2021="","",MONTH(A2021))</f>
        <v/>
      </c>
      <c r="I2021" s="33">
        <f>IF(A2021="","",YEAR(A2021))</f>
        <v/>
      </c>
    </row>
    <row r="2022" ht="15" customHeight="1" s="21">
      <c r="A2022" s="34" t="n"/>
      <c r="B2022" s="30" t="n"/>
      <c r="C2022" s="30" t="n"/>
      <c r="D2022" s="30" t="n"/>
      <c r="E2022" s="33">
        <f>IF(B2022="","",IFERROR(INDEX(Productos!$B$2:$B$501,MATCH(B2022,Productos!$A$2:$A$501,0)),"¿Código?"))</f>
        <v/>
      </c>
      <c r="F2022" s="32">
        <f>IF(C2022&lt;&gt;"Venta","",D2022*IFERROR(INDEX(Productos!$D$2:$D$501,MATCH(B2022,Productos!$A$2:$A$501,0)),0))</f>
        <v/>
      </c>
      <c r="G2022" s="32">
        <f>IF(C2022&lt;&gt;"Venta","",D2022*IFERROR(INDEX(Productos!$E$2:$E$501,MATCH(B2022,Productos!$A$2:$A$501,0)),0))</f>
        <v/>
      </c>
      <c r="H2022" s="33">
        <f>IF(A2022="","",MONTH(A2022))</f>
        <v/>
      </c>
      <c r="I2022" s="33">
        <f>IF(A2022="","",YEAR(A2022))</f>
        <v/>
      </c>
    </row>
    <row r="2023" ht="15" customHeight="1" s="21">
      <c r="A2023" s="34" t="n"/>
      <c r="B2023" s="30" t="n"/>
      <c r="C2023" s="30" t="n"/>
      <c r="D2023" s="30" t="n"/>
      <c r="E2023" s="33">
        <f>IF(B2023="","",IFERROR(INDEX(Productos!$B$2:$B$501,MATCH(B2023,Productos!$A$2:$A$501,0)),"¿Código?"))</f>
        <v/>
      </c>
      <c r="F2023" s="32">
        <f>IF(C2023&lt;&gt;"Venta","",D2023*IFERROR(INDEX(Productos!$D$2:$D$501,MATCH(B2023,Productos!$A$2:$A$501,0)),0))</f>
        <v/>
      </c>
      <c r="G2023" s="32">
        <f>IF(C2023&lt;&gt;"Venta","",D2023*IFERROR(INDEX(Productos!$E$2:$E$501,MATCH(B2023,Productos!$A$2:$A$501,0)),0))</f>
        <v/>
      </c>
      <c r="H2023" s="33">
        <f>IF(A2023="","",MONTH(A2023))</f>
        <v/>
      </c>
      <c r="I2023" s="33">
        <f>IF(A2023="","",YEAR(A2023))</f>
        <v/>
      </c>
    </row>
    <row r="2024" ht="15" customHeight="1" s="21">
      <c r="A2024" s="34" t="n"/>
      <c r="B2024" s="30" t="n"/>
      <c r="C2024" s="30" t="n"/>
      <c r="D2024" s="30" t="n"/>
      <c r="E2024" s="33">
        <f>IF(B2024="","",IFERROR(INDEX(Productos!$B$2:$B$501,MATCH(B2024,Productos!$A$2:$A$501,0)),"¿Código?"))</f>
        <v/>
      </c>
      <c r="F2024" s="32">
        <f>IF(C2024&lt;&gt;"Venta","",D2024*IFERROR(INDEX(Productos!$D$2:$D$501,MATCH(B2024,Productos!$A$2:$A$501,0)),0))</f>
        <v/>
      </c>
      <c r="G2024" s="32">
        <f>IF(C2024&lt;&gt;"Venta","",D2024*IFERROR(INDEX(Productos!$E$2:$E$501,MATCH(B2024,Productos!$A$2:$A$501,0)),0))</f>
        <v/>
      </c>
      <c r="H2024" s="33">
        <f>IF(A2024="","",MONTH(A2024))</f>
        <v/>
      </c>
      <c r="I2024" s="33">
        <f>IF(A2024="","",YEAR(A2024))</f>
        <v/>
      </c>
    </row>
    <row r="2025" ht="15" customHeight="1" s="21">
      <c r="A2025" s="34" t="n"/>
      <c r="B2025" s="30" t="n"/>
      <c r="C2025" s="30" t="n"/>
      <c r="D2025" s="30" t="n"/>
      <c r="E2025" s="33">
        <f>IF(B2025="","",IFERROR(INDEX(Productos!$B$2:$B$501,MATCH(B2025,Productos!$A$2:$A$501,0)),"¿Código?"))</f>
        <v/>
      </c>
      <c r="F2025" s="32">
        <f>IF(C2025&lt;&gt;"Venta","",D2025*IFERROR(INDEX(Productos!$D$2:$D$501,MATCH(B2025,Productos!$A$2:$A$501,0)),0))</f>
        <v/>
      </c>
      <c r="G2025" s="32">
        <f>IF(C2025&lt;&gt;"Venta","",D2025*IFERROR(INDEX(Productos!$E$2:$E$501,MATCH(B2025,Productos!$A$2:$A$501,0)),0))</f>
        <v/>
      </c>
      <c r="H2025" s="33">
        <f>IF(A2025="","",MONTH(A2025))</f>
        <v/>
      </c>
      <c r="I2025" s="33">
        <f>IF(A2025="","",YEAR(A2025))</f>
        <v/>
      </c>
    </row>
    <row r="2026" ht="15" customHeight="1" s="21">
      <c r="A2026" s="34" t="n"/>
      <c r="B2026" s="30" t="n"/>
      <c r="C2026" s="30" t="n"/>
      <c r="D2026" s="30" t="n"/>
      <c r="E2026" s="33">
        <f>IF(B2026="","",IFERROR(INDEX(Productos!$B$2:$B$501,MATCH(B2026,Productos!$A$2:$A$501,0)),"¿Código?"))</f>
        <v/>
      </c>
      <c r="F2026" s="32">
        <f>IF(C2026&lt;&gt;"Venta","",D2026*IFERROR(INDEX(Productos!$D$2:$D$501,MATCH(B2026,Productos!$A$2:$A$501,0)),0))</f>
        <v/>
      </c>
      <c r="G2026" s="32">
        <f>IF(C2026&lt;&gt;"Venta","",D2026*IFERROR(INDEX(Productos!$E$2:$E$501,MATCH(B2026,Productos!$A$2:$A$501,0)),0))</f>
        <v/>
      </c>
      <c r="H2026" s="33">
        <f>IF(A2026="","",MONTH(A2026))</f>
        <v/>
      </c>
      <c r="I2026" s="33">
        <f>IF(A2026="","",YEAR(A2026))</f>
        <v/>
      </c>
    </row>
    <row r="2027" ht="15" customHeight="1" s="21">
      <c r="A2027" s="34" t="n"/>
      <c r="B2027" s="30" t="n"/>
      <c r="C2027" s="30" t="n"/>
      <c r="D2027" s="30" t="n"/>
      <c r="E2027" s="33">
        <f>IF(B2027="","",IFERROR(INDEX(Productos!$B$2:$B$501,MATCH(B2027,Productos!$A$2:$A$501,0)),"¿Código?"))</f>
        <v/>
      </c>
      <c r="F2027" s="32">
        <f>IF(C2027&lt;&gt;"Venta","",D2027*IFERROR(INDEX(Productos!$D$2:$D$501,MATCH(B2027,Productos!$A$2:$A$501,0)),0))</f>
        <v/>
      </c>
      <c r="G2027" s="32">
        <f>IF(C2027&lt;&gt;"Venta","",D2027*IFERROR(INDEX(Productos!$E$2:$E$501,MATCH(B2027,Productos!$A$2:$A$501,0)),0))</f>
        <v/>
      </c>
      <c r="H2027" s="33">
        <f>IF(A2027="","",MONTH(A2027))</f>
        <v/>
      </c>
      <c r="I2027" s="33">
        <f>IF(A2027="","",YEAR(A2027))</f>
        <v/>
      </c>
    </row>
    <row r="2028" ht="15" customHeight="1" s="21">
      <c r="A2028" s="34" t="n"/>
      <c r="B2028" s="30" t="n"/>
      <c r="C2028" s="30" t="n"/>
      <c r="D2028" s="30" t="n"/>
      <c r="E2028" s="33">
        <f>IF(B2028="","",IFERROR(INDEX(Productos!$B$2:$B$501,MATCH(B2028,Productos!$A$2:$A$501,0)),"¿Código?"))</f>
        <v/>
      </c>
      <c r="F2028" s="32">
        <f>IF(C2028&lt;&gt;"Venta","",D2028*IFERROR(INDEX(Productos!$D$2:$D$501,MATCH(B2028,Productos!$A$2:$A$501,0)),0))</f>
        <v/>
      </c>
      <c r="G2028" s="32">
        <f>IF(C2028&lt;&gt;"Venta","",D2028*IFERROR(INDEX(Productos!$E$2:$E$501,MATCH(B2028,Productos!$A$2:$A$501,0)),0))</f>
        <v/>
      </c>
      <c r="H2028" s="33">
        <f>IF(A2028="","",MONTH(A2028))</f>
        <v/>
      </c>
      <c r="I2028" s="33">
        <f>IF(A2028="","",YEAR(A2028))</f>
        <v/>
      </c>
    </row>
    <row r="2029" ht="15" customHeight="1" s="21">
      <c r="A2029" s="34" t="n"/>
      <c r="B2029" s="30" t="n"/>
      <c r="C2029" s="30" t="n"/>
      <c r="D2029" s="30" t="n"/>
      <c r="E2029" s="33">
        <f>IF(B2029="","",IFERROR(INDEX(Productos!$B$2:$B$501,MATCH(B2029,Productos!$A$2:$A$501,0)),"¿Código?"))</f>
        <v/>
      </c>
      <c r="F2029" s="32">
        <f>IF(C2029&lt;&gt;"Venta","",D2029*IFERROR(INDEX(Productos!$D$2:$D$501,MATCH(B2029,Productos!$A$2:$A$501,0)),0))</f>
        <v/>
      </c>
      <c r="G2029" s="32">
        <f>IF(C2029&lt;&gt;"Venta","",D2029*IFERROR(INDEX(Productos!$E$2:$E$501,MATCH(B2029,Productos!$A$2:$A$501,0)),0))</f>
        <v/>
      </c>
      <c r="H2029" s="33">
        <f>IF(A2029="","",MONTH(A2029))</f>
        <v/>
      </c>
      <c r="I2029" s="33">
        <f>IF(A2029="","",YEAR(A2029))</f>
        <v/>
      </c>
    </row>
    <row r="2030" ht="15" customHeight="1" s="21">
      <c r="A2030" s="34" t="n"/>
      <c r="B2030" s="30" t="n"/>
      <c r="C2030" s="30" t="n"/>
      <c r="D2030" s="30" t="n"/>
      <c r="E2030" s="33">
        <f>IF(B2030="","",IFERROR(INDEX(Productos!$B$2:$B$501,MATCH(B2030,Productos!$A$2:$A$501,0)),"¿Código?"))</f>
        <v/>
      </c>
      <c r="F2030" s="32">
        <f>IF(C2030&lt;&gt;"Venta","",D2030*IFERROR(INDEX(Productos!$D$2:$D$501,MATCH(B2030,Productos!$A$2:$A$501,0)),0))</f>
        <v/>
      </c>
      <c r="G2030" s="32">
        <f>IF(C2030&lt;&gt;"Venta","",D2030*IFERROR(INDEX(Productos!$E$2:$E$501,MATCH(B2030,Productos!$A$2:$A$501,0)),0))</f>
        <v/>
      </c>
      <c r="H2030" s="33">
        <f>IF(A2030="","",MONTH(A2030))</f>
        <v/>
      </c>
      <c r="I2030" s="33">
        <f>IF(A2030="","",YEAR(A2030))</f>
        <v/>
      </c>
    </row>
    <row r="2031" ht="15" customHeight="1" s="21">
      <c r="A2031" s="34" t="n"/>
      <c r="B2031" s="30" t="n"/>
      <c r="C2031" s="30" t="n"/>
      <c r="D2031" s="30" t="n"/>
      <c r="E2031" s="33">
        <f>IF(B2031="","",IFERROR(INDEX(Productos!$B$2:$B$501,MATCH(B2031,Productos!$A$2:$A$501,0)),"¿Código?"))</f>
        <v/>
      </c>
      <c r="F2031" s="32">
        <f>IF(C2031&lt;&gt;"Venta","",D2031*IFERROR(INDEX(Productos!$D$2:$D$501,MATCH(B2031,Productos!$A$2:$A$501,0)),0))</f>
        <v/>
      </c>
      <c r="G2031" s="32">
        <f>IF(C2031&lt;&gt;"Venta","",D2031*IFERROR(INDEX(Productos!$E$2:$E$501,MATCH(B2031,Productos!$A$2:$A$501,0)),0))</f>
        <v/>
      </c>
      <c r="H2031" s="33">
        <f>IF(A2031="","",MONTH(A2031))</f>
        <v/>
      </c>
      <c r="I2031" s="33">
        <f>IF(A2031="","",YEAR(A2031))</f>
        <v/>
      </c>
    </row>
    <row r="2032" ht="15" customHeight="1" s="21">
      <c r="A2032" s="34" t="n"/>
      <c r="B2032" s="30" t="n"/>
      <c r="C2032" s="30" t="n"/>
      <c r="D2032" s="30" t="n"/>
      <c r="E2032" s="33">
        <f>IF(B2032="","",IFERROR(INDEX(Productos!$B$2:$B$501,MATCH(B2032,Productos!$A$2:$A$501,0)),"¿Código?"))</f>
        <v/>
      </c>
      <c r="F2032" s="32">
        <f>IF(C2032&lt;&gt;"Venta","",D2032*IFERROR(INDEX(Productos!$D$2:$D$501,MATCH(B2032,Productos!$A$2:$A$501,0)),0))</f>
        <v/>
      </c>
      <c r="G2032" s="32">
        <f>IF(C2032&lt;&gt;"Venta","",D2032*IFERROR(INDEX(Productos!$E$2:$E$501,MATCH(B2032,Productos!$A$2:$A$501,0)),0))</f>
        <v/>
      </c>
      <c r="H2032" s="33">
        <f>IF(A2032="","",MONTH(A2032))</f>
        <v/>
      </c>
      <c r="I2032" s="33">
        <f>IF(A2032="","",YEAR(A2032))</f>
        <v/>
      </c>
    </row>
    <row r="2033" ht="15" customHeight="1" s="21">
      <c r="A2033" s="34" t="n"/>
      <c r="B2033" s="30" t="n"/>
      <c r="C2033" s="30" t="n"/>
      <c r="D2033" s="30" t="n"/>
      <c r="E2033" s="33">
        <f>IF(B2033="","",IFERROR(INDEX(Productos!$B$2:$B$501,MATCH(B2033,Productos!$A$2:$A$501,0)),"¿Código?"))</f>
        <v/>
      </c>
      <c r="F2033" s="32">
        <f>IF(C2033&lt;&gt;"Venta","",D2033*IFERROR(INDEX(Productos!$D$2:$D$501,MATCH(B2033,Productos!$A$2:$A$501,0)),0))</f>
        <v/>
      </c>
      <c r="G2033" s="32">
        <f>IF(C2033&lt;&gt;"Venta","",D2033*IFERROR(INDEX(Productos!$E$2:$E$501,MATCH(B2033,Productos!$A$2:$A$501,0)),0))</f>
        <v/>
      </c>
      <c r="H2033" s="33">
        <f>IF(A2033="","",MONTH(A2033))</f>
        <v/>
      </c>
      <c r="I2033" s="33">
        <f>IF(A2033="","",YEAR(A2033))</f>
        <v/>
      </c>
    </row>
    <row r="2034" ht="15" customHeight="1" s="21">
      <c r="A2034" s="34" t="n"/>
      <c r="B2034" s="30" t="n"/>
      <c r="C2034" s="30" t="n"/>
      <c r="D2034" s="30" t="n"/>
      <c r="E2034" s="33">
        <f>IF(B2034="","",IFERROR(INDEX(Productos!$B$2:$B$501,MATCH(B2034,Productos!$A$2:$A$501,0)),"¿Código?"))</f>
        <v/>
      </c>
      <c r="F2034" s="32">
        <f>IF(C2034&lt;&gt;"Venta","",D2034*IFERROR(INDEX(Productos!$D$2:$D$501,MATCH(B2034,Productos!$A$2:$A$501,0)),0))</f>
        <v/>
      </c>
      <c r="G2034" s="32">
        <f>IF(C2034&lt;&gt;"Venta","",D2034*IFERROR(INDEX(Productos!$E$2:$E$501,MATCH(B2034,Productos!$A$2:$A$501,0)),0))</f>
        <v/>
      </c>
      <c r="H2034" s="33">
        <f>IF(A2034="","",MONTH(A2034))</f>
        <v/>
      </c>
      <c r="I2034" s="33">
        <f>IF(A2034="","",YEAR(A2034))</f>
        <v/>
      </c>
    </row>
    <row r="2035" ht="15" customHeight="1" s="21">
      <c r="A2035" s="34" t="n"/>
      <c r="B2035" s="30" t="n"/>
      <c r="C2035" s="30" t="n"/>
      <c r="D2035" s="30" t="n"/>
      <c r="E2035" s="33">
        <f>IF(B2035="","",IFERROR(INDEX(Productos!$B$2:$B$501,MATCH(B2035,Productos!$A$2:$A$501,0)),"¿Código?"))</f>
        <v/>
      </c>
      <c r="F2035" s="32">
        <f>IF(C2035&lt;&gt;"Venta","",D2035*IFERROR(INDEX(Productos!$D$2:$D$501,MATCH(B2035,Productos!$A$2:$A$501,0)),0))</f>
        <v/>
      </c>
      <c r="G2035" s="32">
        <f>IF(C2035&lt;&gt;"Venta","",D2035*IFERROR(INDEX(Productos!$E$2:$E$501,MATCH(B2035,Productos!$A$2:$A$501,0)),0))</f>
        <v/>
      </c>
      <c r="H2035" s="33">
        <f>IF(A2035="","",MONTH(A2035))</f>
        <v/>
      </c>
      <c r="I2035" s="33">
        <f>IF(A2035="","",YEAR(A2035))</f>
        <v/>
      </c>
    </row>
    <row r="2036" ht="15" customHeight="1" s="21">
      <c r="A2036" s="34" t="n"/>
      <c r="B2036" s="30" t="n"/>
      <c r="C2036" s="30" t="n"/>
      <c r="D2036" s="30" t="n"/>
      <c r="E2036" s="33">
        <f>IF(B2036="","",IFERROR(INDEX(Productos!$B$2:$B$501,MATCH(B2036,Productos!$A$2:$A$501,0)),"¿Código?"))</f>
        <v/>
      </c>
      <c r="F2036" s="32">
        <f>IF(C2036&lt;&gt;"Venta","",D2036*IFERROR(INDEX(Productos!$D$2:$D$501,MATCH(B2036,Productos!$A$2:$A$501,0)),0))</f>
        <v/>
      </c>
      <c r="G2036" s="32">
        <f>IF(C2036&lt;&gt;"Venta","",D2036*IFERROR(INDEX(Productos!$E$2:$E$501,MATCH(B2036,Productos!$A$2:$A$501,0)),0))</f>
        <v/>
      </c>
      <c r="H2036" s="33">
        <f>IF(A2036="","",MONTH(A2036))</f>
        <v/>
      </c>
      <c r="I2036" s="33">
        <f>IF(A2036="","",YEAR(A2036))</f>
        <v/>
      </c>
    </row>
    <row r="2037" ht="15" customHeight="1" s="21">
      <c r="A2037" s="34" t="n"/>
      <c r="B2037" s="30" t="n"/>
      <c r="C2037" s="30" t="n"/>
      <c r="D2037" s="30" t="n"/>
      <c r="E2037" s="33">
        <f>IF(B2037="","",IFERROR(INDEX(Productos!$B$2:$B$501,MATCH(B2037,Productos!$A$2:$A$501,0)),"¿Código?"))</f>
        <v/>
      </c>
      <c r="F2037" s="32">
        <f>IF(C2037&lt;&gt;"Venta","",D2037*IFERROR(INDEX(Productos!$D$2:$D$501,MATCH(B2037,Productos!$A$2:$A$501,0)),0))</f>
        <v/>
      </c>
      <c r="G2037" s="32">
        <f>IF(C2037&lt;&gt;"Venta","",D2037*IFERROR(INDEX(Productos!$E$2:$E$501,MATCH(B2037,Productos!$A$2:$A$501,0)),0))</f>
        <v/>
      </c>
      <c r="H2037" s="33">
        <f>IF(A2037="","",MONTH(A2037))</f>
        <v/>
      </c>
      <c r="I2037" s="33">
        <f>IF(A2037="","",YEAR(A2037))</f>
        <v/>
      </c>
    </row>
    <row r="2038" ht="15" customHeight="1" s="21">
      <c r="A2038" s="34" t="n"/>
      <c r="B2038" s="30" t="n"/>
      <c r="C2038" s="30" t="n"/>
      <c r="D2038" s="30" t="n"/>
      <c r="E2038" s="33">
        <f>IF(B2038="","",IFERROR(INDEX(Productos!$B$2:$B$501,MATCH(B2038,Productos!$A$2:$A$501,0)),"¿Código?"))</f>
        <v/>
      </c>
      <c r="F2038" s="32">
        <f>IF(C2038&lt;&gt;"Venta","",D2038*IFERROR(INDEX(Productos!$D$2:$D$501,MATCH(B2038,Productos!$A$2:$A$501,0)),0))</f>
        <v/>
      </c>
      <c r="G2038" s="32">
        <f>IF(C2038&lt;&gt;"Venta","",D2038*IFERROR(INDEX(Productos!$E$2:$E$501,MATCH(B2038,Productos!$A$2:$A$501,0)),0))</f>
        <v/>
      </c>
      <c r="H2038" s="33">
        <f>IF(A2038="","",MONTH(A2038))</f>
        <v/>
      </c>
      <c r="I2038" s="33">
        <f>IF(A2038="","",YEAR(A2038))</f>
        <v/>
      </c>
    </row>
    <row r="2039" ht="15" customHeight="1" s="21">
      <c r="A2039" s="34" t="n"/>
      <c r="B2039" s="30" t="n"/>
      <c r="C2039" s="30" t="n"/>
      <c r="D2039" s="30" t="n"/>
      <c r="E2039" s="33">
        <f>IF(B2039="","",IFERROR(INDEX(Productos!$B$2:$B$501,MATCH(B2039,Productos!$A$2:$A$501,0)),"¿Código?"))</f>
        <v/>
      </c>
      <c r="F2039" s="32">
        <f>IF(C2039&lt;&gt;"Venta","",D2039*IFERROR(INDEX(Productos!$D$2:$D$501,MATCH(B2039,Productos!$A$2:$A$501,0)),0))</f>
        <v/>
      </c>
      <c r="G2039" s="32">
        <f>IF(C2039&lt;&gt;"Venta","",D2039*IFERROR(INDEX(Productos!$E$2:$E$501,MATCH(B2039,Productos!$A$2:$A$501,0)),0))</f>
        <v/>
      </c>
      <c r="H2039" s="33">
        <f>IF(A2039="","",MONTH(A2039))</f>
        <v/>
      </c>
      <c r="I2039" s="33">
        <f>IF(A2039="","",YEAR(A2039))</f>
        <v/>
      </c>
    </row>
    <row r="2040" ht="15" customHeight="1" s="21">
      <c r="A2040" s="34" t="n"/>
      <c r="B2040" s="30" t="n"/>
      <c r="C2040" s="30" t="n"/>
      <c r="D2040" s="30" t="n"/>
      <c r="E2040" s="33">
        <f>IF(B2040="","",IFERROR(INDEX(Productos!$B$2:$B$501,MATCH(B2040,Productos!$A$2:$A$501,0)),"¿Código?"))</f>
        <v/>
      </c>
      <c r="F2040" s="32">
        <f>IF(C2040&lt;&gt;"Venta","",D2040*IFERROR(INDEX(Productos!$D$2:$D$501,MATCH(B2040,Productos!$A$2:$A$501,0)),0))</f>
        <v/>
      </c>
      <c r="G2040" s="32">
        <f>IF(C2040&lt;&gt;"Venta","",D2040*IFERROR(INDEX(Productos!$E$2:$E$501,MATCH(B2040,Productos!$A$2:$A$501,0)),0))</f>
        <v/>
      </c>
      <c r="H2040" s="33">
        <f>IF(A2040="","",MONTH(A2040))</f>
        <v/>
      </c>
      <c r="I2040" s="33">
        <f>IF(A2040="","",YEAR(A2040))</f>
        <v/>
      </c>
    </row>
    <row r="2041" ht="15" customHeight="1" s="21">
      <c r="A2041" s="34" t="n"/>
      <c r="B2041" s="30" t="n"/>
      <c r="C2041" s="30" t="n"/>
      <c r="D2041" s="30" t="n"/>
      <c r="E2041" s="33">
        <f>IF(B2041="","",IFERROR(INDEX(Productos!$B$2:$B$501,MATCH(B2041,Productos!$A$2:$A$501,0)),"¿Código?"))</f>
        <v/>
      </c>
      <c r="F2041" s="32">
        <f>IF(C2041&lt;&gt;"Venta","",D2041*IFERROR(INDEX(Productos!$D$2:$D$501,MATCH(B2041,Productos!$A$2:$A$501,0)),0))</f>
        <v/>
      </c>
      <c r="G2041" s="32">
        <f>IF(C2041&lt;&gt;"Venta","",D2041*IFERROR(INDEX(Productos!$E$2:$E$501,MATCH(B2041,Productos!$A$2:$A$501,0)),0))</f>
        <v/>
      </c>
      <c r="H2041" s="33">
        <f>IF(A2041="","",MONTH(A2041))</f>
        <v/>
      </c>
      <c r="I2041" s="33">
        <f>IF(A2041="","",YEAR(A2041))</f>
        <v/>
      </c>
    </row>
    <row r="2042" ht="15" customHeight="1" s="21">
      <c r="A2042" s="34" t="n"/>
      <c r="B2042" s="30" t="n"/>
      <c r="C2042" s="30" t="n"/>
      <c r="D2042" s="30" t="n"/>
      <c r="E2042" s="33">
        <f>IF(B2042="","",IFERROR(INDEX(Productos!$B$2:$B$501,MATCH(B2042,Productos!$A$2:$A$501,0)),"¿Código?"))</f>
        <v/>
      </c>
      <c r="F2042" s="32">
        <f>IF(C2042&lt;&gt;"Venta","",D2042*IFERROR(INDEX(Productos!$D$2:$D$501,MATCH(B2042,Productos!$A$2:$A$501,0)),0))</f>
        <v/>
      </c>
      <c r="G2042" s="32">
        <f>IF(C2042&lt;&gt;"Venta","",D2042*IFERROR(INDEX(Productos!$E$2:$E$501,MATCH(B2042,Productos!$A$2:$A$501,0)),0))</f>
        <v/>
      </c>
      <c r="H2042" s="33">
        <f>IF(A2042="","",MONTH(A2042))</f>
        <v/>
      </c>
      <c r="I2042" s="33">
        <f>IF(A2042="","",YEAR(A2042))</f>
        <v/>
      </c>
    </row>
    <row r="2043" ht="15" customHeight="1" s="21">
      <c r="A2043" s="34" t="n"/>
      <c r="B2043" s="30" t="n"/>
      <c r="C2043" s="30" t="n"/>
      <c r="D2043" s="30" t="n"/>
      <c r="E2043" s="33">
        <f>IF(B2043="","",IFERROR(INDEX(Productos!$B$2:$B$501,MATCH(B2043,Productos!$A$2:$A$501,0)),"¿Código?"))</f>
        <v/>
      </c>
      <c r="F2043" s="32">
        <f>IF(C2043&lt;&gt;"Venta","",D2043*IFERROR(INDEX(Productos!$D$2:$D$501,MATCH(B2043,Productos!$A$2:$A$501,0)),0))</f>
        <v/>
      </c>
      <c r="G2043" s="32">
        <f>IF(C2043&lt;&gt;"Venta","",D2043*IFERROR(INDEX(Productos!$E$2:$E$501,MATCH(B2043,Productos!$A$2:$A$501,0)),0))</f>
        <v/>
      </c>
      <c r="H2043" s="33">
        <f>IF(A2043="","",MONTH(A2043))</f>
        <v/>
      </c>
      <c r="I2043" s="33">
        <f>IF(A2043="","",YEAR(A2043))</f>
        <v/>
      </c>
    </row>
    <row r="2044" ht="15" customHeight="1" s="21">
      <c r="A2044" s="34" t="n"/>
      <c r="B2044" s="30" t="n"/>
      <c r="C2044" s="30" t="n"/>
      <c r="D2044" s="30" t="n"/>
      <c r="E2044" s="33">
        <f>IF(B2044="","",IFERROR(INDEX(Productos!$B$2:$B$501,MATCH(B2044,Productos!$A$2:$A$501,0)),"¿Código?"))</f>
        <v/>
      </c>
      <c r="F2044" s="32">
        <f>IF(C2044&lt;&gt;"Venta","",D2044*IFERROR(INDEX(Productos!$D$2:$D$501,MATCH(B2044,Productos!$A$2:$A$501,0)),0))</f>
        <v/>
      </c>
      <c r="G2044" s="32">
        <f>IF(C2044&lt;&gt;"Venta","",D2044*IFERROR(INDEX(Productos!$E$2:$E$501,MATCH(B2044,Productos!$A$2:$A$501,0)),0))</f>
        <v/>
      </c>
      <c r="H2044" s="33">
        <f>IF(A2044="","",MONTH(A2044))</f>
        <v/>
      </c>
      <c r="I2044" s="33">
        <f>IF(A2044="","",YEAR(A2044))</f>
        <v/>
      </c>
    </row>
    <row r="2045" ht="15" customHeight="1" s="21">
      <c r="A2045" s="34" t="n"/>
      <c r="B2045" s="30" t="n"/>
      <c r="C2045" s="30" t="n"/>
      <c r="D2045" s="30" t="n"/>
      <c r="E2045" s="33">
        <f>IF(B2045="","",IFERROR(INDEX(Productos!$B$2:$B$501,MATCH(B2045,Productos!$A$2:$A$501,0)),"¿Código?"))</f>
        <v/>
      </c>
      <c r="F2045" s="32">
        <f>IF(C2045&lt;&gt;"Venta","",D2045*IFERROR(INDEX(Productos!$D$2:$D$501,MATCH(B2045,Productos!$A$2:$A$501,0)),0))</f>
        <v/>
      </c>
      <c r="G2045" s="32">
        <f>IF(C2045&lt;&gt;"Venta","",D2045*IFERROR(INDEX(Productos!$E$2:$E$501,MATCH(B2045,Productos!$A$2:$A$501,0)),0))</f>
        <v/>
      </c>
      <c r="H2045" s="33">
        <f>IF(A2045="","",MONTH(A2045))</f>
        <v/>
      </c>
      <c r="I2045" s="33">
        <f>IF(A2045="","",YEAR(A2045))</f>
        <v/>
      </c>
    </row>
    <row r="2046" ht="15" customHeight="1" s="21">
      <c r="A2046" s="34" t="n"/>
      <c r="B2046" s="30" t="n"/>
      <c r="C2046" s="30" t="n"/>
      <c r="D2046" s="30" t="n"/>
      <c r="E2046" s="33">
        <f>IF(B2046="","",IFERROR(INDEX(Productos!$B$2:$B$501,MATCH(B2046,Productos!$A$2:$A$501,0)),"¿Código?"))</f>
        <v/>
      </c>
      <c r="F2046" s="32">
        <f>IF(C2046&lt;&gt;"Venta","",D2046*IFERROR(INDEX(Productos!$D$2:$D$501,MATCH(B2046,Productos!$A$2:$A$501,0)),0))</f>
        <v/>
      </c>
      <c r="G2046" s="32">
        <f>IF(C2046&lt;&gt;"Venta","",D2046*IFERROR(INDEX(Productos!$E$2:$E$501,MATCH(B2046,Productos!$A$2:$A$501,0)),0))</f>
        <v/>
      </c>
      <c r="H2046" s="33">
        <f>IF(A2046="","",MONTH(A2046))</f>
        <v/>
      </c>
      <c r="I2046" s="33">
        <f>IF(A2046="","",YEAR(A2046))</f>
        <v/>
      </c>
    </row>
    <row r="2047" ht="15" customHeight="1" s="21">
      <c r="A2047" s="34" t="n"/>
      <c r="B2047" s="30" t="n"/>
      <c r="C2047" s="30" t="n"/>
      <c r="D2047" s="30" t="n"/>
      <c r="E2047" s="33">
        <f>IF(B2047="","",IFERROR(INDEX(Productos!$B$2:$B$501,MATCH(B2047,Productos!$A$2:$A$501,0)),"¿Código?"))</f>
        <v/>
      </c>
      <c r="F2047" s="32">
        <f>IF(C2047&lt;&gt;"Venta","",D2047*IFERROR(INDEX(Productos!$D$2:$D$501,MATCH(B2047,Productos!$A$2:$A$501,0)),0))</f>
        <v/>
      </c>
      <c r="G2047" s="32">
        <f>IF(C2047&lt;&gt;"Venta","",D2047*IFERROR(INDEX(Productos!$E$2:$E$501,MATCH(B2047,Productos!$A$2:$A$501,0)),0))</f>
        <v/>
      </c>
      <c r="H2047" s="33">
        <f>IF(A2047="","",MONTH(A2047))</f>
        <v/>
      </c>
      <c r="I2047" s="33">
        <f>IF(A2047="","",YEAR(A2047))</f>
        <v/>
      </c>
    </row>
    <row r="2048" ht="15" customHeight="1" s="21">
      <c r="A2048" s="34" t="n"/>
      <c r="B2048" s="30" t="n"/>
      <c r="C2048" s="30" t="n"/>
      <c r="D2048" s="30" t="n"/>
      <c r="E2048" s="33">
        <f>IF(B2048="","",IFERROR(INDEX(Productos!$B$2:$B$501,MATCH(B2048,Productos!$A$2:$A$501,0)),"¿Código?"))</f>
        <v/>
      </c>
      <c r="F2048" s="32">
        <f>IF(C2048&lt;&gt;"Venta","",D2048*IFERROR(INDEX(Productos!$D$2:$D$501,MATCH(B2048,Productos!$A$2:$A$501,0)),0))</f>
        <v/>
      </c>
      <c r="G2048" s="32">
        <f>IF(C2048&lt;&gt;"Venta","",D2048*IFERROR(INDEX(Productos!$E$2:$E$501,MATCH(B2048,Productos!$A$2:$A$501,0)),0))</f>
        <v/>
      </c>
      <c r="H2048" s="33">
        <f>IF(A2048="","",MONTH(A2048))</f>
        <v/>
      </c>
      <c r="I2048" s="33">
        <f>IF(A2048="","",YEAR(A2048))</f>
        <v/>
      </c>
    </row>
    <row r="2049" ht="15" customHeight="1" s="21">
      <c r="A2049" s="34" t="n"/>
      <c r="B2049" s="30" t="n"/>
      <c r="C2049" s="30" t="n"/>
      <c r="D2049" s="30" t="n"/>
      <c r="E2049" s="33">
        <f>IF(B2049="","",IFERROR(INDEX(Productos!$B$2:$B$501,MATCH(B2049,Productos!$A$2:$A$501,0)),"¿Código?"))</f>
        <v/>
      </c>
      <c r="F2049" s="32">
        <f>IF(C2049&lt;&gt;"Venta","",D2049*IFERROR(INDEX(Productos!$D$2:$D$501,MATCH(B2049,Productos!$A$2:$A$501,0)),0))</f>
        <v/>
      </c>
      <c r="G2049" s="32">
        <f>IF(C2049&lt;&gt;"Venta","",D2049*IFERROR(INDEX(Productos!$E$2:$E$501,MATCH(B2049,Productos!$A$2:$A$501,0)),0))</f>
        <v/>
      </c>
      <c r="H2049" s="33">
        <f>IF(A2049="","",MONTH(A2049))</f>
        <v/>
      </c>
      <c r="I2049" s="33">
        <f>IF(A2049="","",YEAR(A2049))</f>
        <v/>
      </c>
    </row>
    <row r="2050" ht="15" customHeight="1" s="21">
      <c r="A2050" s="34" t="n"/>
      <c r="B2050" s="30" t="n"/>
      <c r="C2050" s="30" t="n"/>
      <c r="D2050" s="30" t="n"/>
      <c r="E2050" s="33">
        <f>IF(B2050="","",IFERROR(INDEX(Productos!$B$2:$B$501,MATCH(B2050,Productos!$A$2:$A$501,0)),"¿Código?"))</f>
        <v/>
      </c>
      <c r="F2050" s="32">
        <f>IF(C2050&lt;&gt;"Venta","",D2050*IFERROR(INDEX(Productos!$D$2:$D$501,MATCH(B2050,Productos!$A$2:$A$501,0)),0))</f>
        <v/>
      </c>
      <c r="G2050" s="32">
        <f>IF(C2050&lt;&gt;"Venta","",D2050*IFERROR(INDEX(Productos!$E$2:$E$501,MATCH(B2050,Productos!$A$2:$A$501,0)),0))</f>
        <v/>
      </c>
      <c r="H2050" s="33">
        <f>IF(A2050="","",MONTH(A2050))</f>
        <v/>
      </c>
      <c r="I2050" s="33">
        <f>IF(A2050="","",YEAR(A2050))</f>
        <v/>
      </c>
    </row>
    <row r="2051" ht="15" customHeight="1" s="21">
      <c r="A2051" s="34" t="n"/>
      <c r="B2051" s="30" t="n"/>
      <c r="C2051" s="30" t="n"/>
      <c r="D2051" s="30" t="n"/>
      <c r="E2051" s="33">
        <f>IF(B2051="","",IFERROR(INDEX(Productos!$B$2:$B$501,MATCH(B2051,Productos!$A$2:$A$501,0)),"¿Código?"))</f>
        <v/>
      </c>
      <c r="F2051" s="32">
        <f>IF(C2051&lt;&gt;"Venta","",D2051*IFERROR(INDEX(Productos!$D$2:$D$501,MATCH(B2051,Productos!$A$2:$A$501,0)),0))</f>
        <v/>
      </c>
      <c r="G2051" s="32">
        <f>IF(C2051&lt;&gt;"Venta","",D2051*IFERROR(INDEX(Productos!$E$2:$E$501,MATCH(B2051,Productos!$A$2:$A$501,0)),0))</f>
        <v/>
      </c>
      <c r="H2051" s="33">
        <f>IF(A2051="","",MONTH(A2051))</f>
        <v/>
      </c>
      <c r="I2051" s="33">
        <f>IF(A2051="","",YEAR(A2051))</f>
        <v/>
      </c>
    </row>
    <row r="2052" ht="15" customHeight="1" s="21">
      <c r="A2052" s="34" t="n"/>
      <c r="B2052" s="30" t="n"/>
      <c r="C2052" s="30" t="n"/>
      <c r="D2052" s="30" t="n"/>
      <c r="E2052" s="33">
        <f>IF(B2052="","",IFERROR(INDEX(Productos!$B$2:$B$501,MATCH(B2052,Productos!$A$2:$A$501,0)),"¿Código?"))</f>
        <v/>
      </c>
      <c r="F2052" s="32">
        <f>IF(C2052&lt;&gt;"Venta","",D2052*IFERROR(INDEX(Productos!$D$2:$D$501,MATCH(B2052,Productos!$A$2:$A$501,0)),0))</f>
        <v/>
      </c>
      <c r="G2052" s="32">
        <f>IF(C2052&lt;&gt;"Venta","",D2052*IFERROR(INDEX(Productos!$E$2:$E$501,MATCH(B2052,Productos!$A$2:$A$501,0)),0))</f>
        <v/>
      </c>
      <c r="H2052" s="33">
        <f>IF(A2052="","",MONTH(A2052))</f>
        <v/>
      </c>
      <c r="I2052" s="33">
        <f>IF(A2052="","",YEAR(A2052))</f>
        <v/>
      </c>
    </row>
    <row r="2053" ht="15" customHeight="1" s="21">
      <c r="A2053" s="34" t="n"/>
      <c r="B2053" s="30" t="n"/>
      <c r="C2053" s="30" t="n"/>
      <c r="D2053" s="30" t="n"/>
      <c r="E2053" s="33">
        <f>IF(B2053="","",IFERROR(INDEX(Productos!$B$2:$B$501,MATCH(B2053,Productos!$A$2:$A$501,0)),"¿Código?"))</f>
        <v/>
      </c>
      <c r="F2053" s="32">
        <f>IF(C2053&lt;&gt;"Venta","",D2053*IFERROR(INDEX(Productos!$D$2:$D$501,MATCH(B2053,Productos!$A$2:$A$501,0)),0))</f>
        <v/>
      </c>
      <c r="G2053" s="32">
        <f>IF(C2053&lt;&gt;"Venta","",D2053*IFERROR(INDEX(Productos!$E$2:$E$501,MATCH(B2053,Productos!$A$2:$A$501,0)),0))</f>
        <v/>
      </c>
      <c r="H2053" s="33">
        <f>IF(A2053="","",MONTH(A2053))</f>
        <v/>
      </c>
      <c r="I2053" s="33">
        <f>IF(A2053="","",YEAR(A2053))</f>
        <v/>
      </c>
    </row>
    <row r="2054" ht="15" customHeight="1" s="21">
      <c r="A2054" s="34" t="n"/>
      <c r="B2054" s="30" t="n"/>
      <c r="C2054" s="30" t="n"/>
      <c r="D2054" s="30" t="n"/>
      <c r="E2054" s="33">
        <f>IF(B2054="","",IFERROR(INDEX(Productos!$B$2:$B$501,MATCH(B2054,Productos!$A$2:$A$501,0)),"¿Código?"))</f>
        <v/>
      </c>
      <c r="F2054" s="32">
        <f>IF(C2054&lt;&gt;"Venta","",D2054*IFERROR(INDEX(Productos!$D$2:$D$501,MATCH(B2054,Productos!$A$2:$A$501,0)),0))</f>
        <v/>
      </c>
      <c r="G2054" s="32">
        <f>IF(C2054&lt;&gt;"Venta","",D2054*IFERROR(INDEX(Productos!$E$2:$E$501,MATCH(B2054,Productos!$A$2:$A$501,0)),0))</f>
        <v/>
      </c>
      <c r="H2054" s="33">
        <f>IF(A2054="","",MONTH(A2054))</f>
        <v/>
      </c>
      <c r="I2054" s="33">
        <f>IF(A2054="","",YEAR(A2054))</f>
        <v/>
      </c>
    </row>
    <row r="2055" ht="15" customHeight="1" s="21">
      <c r="A2055" s="34" t="n"/>
      <c r="B2055" s="30" t="n"/>
      <c r="C2055" s="30" t="n"/>
      <c r="D2055" s="30" t="n"/>
      <c r="E2055" s="33">
        <f>IF(B2055="","",IFERROR(INDEX(Productos!$B$2:$B$501,MATCH(B2055,Productos!$A$2:$A$501,0)),"¿Código?"))</f>
        <v/>
      </c>
      <c r="F2055" s="32">
        <f>IF(C2055&lt;&gt;"Venta","",D2055*IFERROR(INDEX(Productos!$D$2:$D$501,MATCH(B2055,Productos!$A$2:$A$501,0)),0))</f>
        <v/>
      </c>
      <c r="G2055" s="32">
        <f>IF(C2055&lt;&gt;"Venta","",D2055*IFERROR(INDEX(Productos!$E$2:$E$501,MATCH(B2055,Productos!$A$2:$A$501,0)),0))</f>
        <v/>
      </c>
      <c r="H2055" s="33">
        <f>IF(A2055="","",MONTH(A2055))</f>
        <v/>
      </c>
      <c r="I2055" s="33">
        <f>IF(A2055="","",YEAR(A2055))</f>
        <v/>
      </c>
    </row>
    <row r="2056" ht="15" customHeight="1" s="21">
      <c r="A2056" s="34" t="n"/>
      <c r="B2056" s="30" t="n"/>
      <c r="C2056" s="30" t="n"/>
      <c r="D2056" s="30" t="n"/>
      <c r="E2056" s="33">
        <f>IF(B2056="","",IFERROR(INDEX(Productos!$B$2:$B$501,MATCH(B2056,Productos!$A$2:$A$501,0)),"¿Código?"))</f>
        <v/>
      </c>
      <c r="F2056" s="32">
        <f>IF(C2056&lt;&gt;"Venta","",D2056*IFERROR(INDEX(Productos!$D$2:$D$501,MATCH(B2056,Productos!$A$2:$A$501,0)),0))</f>
        <v/>
      </c>
      <c r="G2056" s="32">
        <f>IF(C2056&lt;&gt;"Venta","",D2056*IFERROR(INDEX(Productos!$E$2:$E$501,MATCH(B2056,Productos!$A$2:$A$501,0)),0))</f>
        <v/>
      </c>
      <c r="H2056" s="33">
        <f>IF(A2056="","",MONTH(A2056))</f>
        <v/>
      </c>
      <c r="I2056" s="33">
        <f>IF(A2056="","",YEAR(A2056))</f>
        <v/>
      </c>
    </row>
    <row r="2057" ht="15" customHeight="1" s="21">
      <c r="A2057" s="34" t="n"/>
      <c r="B2057" s="30" t="n"/>
      <c r="C2057" s="30" t="n"/>
      <c r="D2057" s="30" t="n"/>
      <c r="E2057" s="33">
        <f>IF(B2057="","",IFERROR(INDEX(Productos!$B$2:$B$501,MATCH(B2057,Productos!$A$2:$A$501,0)),"¿Código?"))</f>
        <v/>
      </c>
      <c r="F2057" s="32">
        <f>IF(C2057&lt;&gt;"Venta","",D2057*IFERROR(INDEX(Productos!$D$2:$D$501,MATCH(B2057,Productos!$A$2:$A$501,0)),0))</f>
        <v/>
      </c>
      <c r="G2057" s="32">
        <f>IF(C2057&lt;&gt;"Venta","",D2057*IFERROR(INDEX(Productos!$E$2:$E$501,MATCH(B2057,Productos!$A$2:$A$501,0)),0))</f>
        <v/>
      </c>
      <c r="H2057" s="33">
        <f>IF(A2057="","",MONTH(A2057))</f>
        <v/>
      </c>
      <c r="I2057" s="33">
        <f>IF(A2057="","",YEAR(A2057))</f>
        <v/>
      </c>
    </row>
    <row r="2058" ht="15" customHeight="1" s="21">
      <c r="A2058" s="34" t="n"/>
      <c r="B2058" s="30" t="n"/>
      <c r="C2058" s="30" t="n"/>
      <c r="D2058" s="30" t="n"/>
      <c r="E2058" s="33">
        <f>IF(B2058="","",IFERROR(INDEX(Productos!$B$2:$B$501,MATCH(B2058,Productos!$A$2:$A$501,0)),"¿Código?"))</f>
        <v/>
      </c>
      <c r="F2058" s="32">
        <f>IF(C2058&lt;&gt;"Venta","",D2058*IFERROR(INDEX(Productos!$D$2:$D$501,MATCH(B2058,Productos!$A$2:$A$501,0)),0))</f>
        <v/>
      </c>
      <c r="G2058" s="32">
        <f>IF(C2058&lt;&gt;"Venta","",D2058*IFERROR(INDEX(Productos!$E$2:$E$501,MATCH(B2058,Productos!$A$2:$A$501,0)),0))</f>
        <v/>
      </c>
      <c r="H2058" s="33">
        <f>IF(A2058="","",MONTH(A2058))</f>
        <v/>
      </c>
      <c r="I2058" s="33">
        <f>IF(A2058="","",YEAR(A2058))</f>
        <v/>
      </c>
    </row>
    <row r="2059" ht="15" customHeight="1" s="21">
      <c r="A2059" s="34" t="n"/>
      <c r="B2059" s="30" t="n"/>
      <c r="C2059" s="30" t="n"/>
      <c r="D2059" s="30" t="n"/>
      <c r="E2059" s="33">
        <f>IF(B2059="","",IFERROR(INDEX(Productos!$B$2:$B$501,MATCH(B2059,Productos!$A$2:$A$501,0)),"¿Código?"))</f>
        <v/>
      </c>
      <c r="F2059" s="32">
        <f>IF(C2059&lt;&gt;"Venta","",D2059*IFERROR(INDEX(Productos!$D$2:$D$501,MATCH(B2059,Productos!$A$2:$A$501,0)),0))</f>
        <v/>
      </c>
      <c r="G2059" s="32">
        <f>IF(C2059&lt;&gt;"Venta","",D2059*IFERROR(INDEX(Productos!$E$2:$E$501,MATCH(B2059,Productos!$A$2:$A$501,0)),0))</f>
        <v/>
      </c>
      <c r="H2059" s="33">
        <f>IF(A2059="","",MONTH(A2059))</f>
        <v/>
      </c>
      <c r="I2059" s="33">
        <f>IF(A2059="","",YEAR(A2059))</f>
        <v/>
      </c>
    </row>
    <row r="2060" ht="15" customHeight="1" s="21">
      <c r="A2060" s="34" t="n"/>
      <c r="B2060" s="30" t="n"/>
      <c r="C2060" s="30" t="n"/>
      <c r="D2060" s="30" t="n"/>
      <c r="E2060" s="33">
        <f>IF(B2060="","",IFERROR(INDEX(Productos!$B$2:$B$501,MATCH(B2060,Productos!$A$2:$A$501,0)),"¿Código?"))</f>
        <v/>
      </c>
      <c r="F2060" s="32">
        <f>IF(C2060&lt;&gt;"Venta","",D2060*IFERROR(INDEX(Productos!$D$2:$D$501,MATCH(B2060,Productos!$A$2:$A$501,0)),0))</f>
        <v/>
      </c>
      <c r="G2060" s="32">
        <f>IF(C2060&lt;&gt;"Venta","",D2060*IFERROR(INDEX(Productos!$E$2:$E$501,MATCH(B2060,Productos!$A$2:$A$501,0)),0))</f>
        <v/>
      </c>
      <c r="H2060" s="33">
        <f>IF(A2060="","",MONTH(A2060))</f>
        <v/>
      </c>
      <c r="I2060" s="33">
        <f>IF(A2060="","",YEAR(A2060))</f>
        <v/>
      </c>
    </row>
    <row r="2061" ht="15" customHeight="1" s="21">
      <c r="A2061" s="34" t="n"/>
      <c r="B2061" s="30" t="n"/>
      <c r="C2061" s="30" t="n"/>
      <c r="D2061" s="30" t="n"/>
      <c r="E2061" s="33">
        <f>IF(B2061="","",IFERROR(INDEX(Productos!$B$2:$B$501,MATCH(B2061,Productos!$A$2:$A$501,0)),"¿Código?"))</f>
        <v/>
      </c>
      <c r="F2061" s="32">
        <f>IF(C2061&lt;&gt;"Venta","",D2061*IFERROR(INDEX(Productos!$D$2:$D$501,MATCH(B2061,Productos!$A$2:$A$501,0)),0))</f>
        <v/>
      </c>
      <c r="G2061" s="32">
        <f>IF(C2061&lt;&gt;"Venta","",D2061*IFERROR(INDEX(Productos!$E$2:$E$501,MATCH(B2061,Productos!$A$2:$A$501,0)),0))</f>
        <v/>
      </c>
      <c r="H2061" s="33">
        <f>IF(A2061="","",MONTH(A2061))</f>
        <v/>
      </c>
      <c r="I2061" s="33">
        <f>IF(A2061="","",YEAR(A2061))</f>
        <v/>
      </c>
    </row>
    <row r="2062" ht="15" customHeight="1" s="21">
      <c r="A2062" s="34" t="n"/>
      <c r="B2062" s="30" t="n"/>
      <c r="C2062" s="30" t="n"/>
      <c r="D2062" s="30" t="n"/>
      <c r="E2062" s="33">
        <f>IF(B2062="","",IFERROR(INDEX(Productos!$B$2:$B$501,MATCH(B2062,Productos!$A$2:$A$501,0)),"¿Código?"))</f>
        <v/>
      </c>
      <c r="F2062" s="32">
        <f>IF(C2062&lt;&gt;"Venta","",D2062*IFERROR(INDEX(Productos!$D$2:$D$501,MATCH(B2062,Productos!$A$2:$A$501,0)),0))</f>
        <v/>
      </c>
      <c r="G2062" s="32">
        <f>IF(C2062&lt;&gt;"Venta","",D2062*IFERROR(INDEX(Productos!$E$2:$E$501,MATCH(B2062,Productos!$A$2:$A$501,0)),0))</f>
        <v/>
      </c>
      <c r="H2062" s="33">
        <f>IF(A2062="","",MONTH(A2062))</f>
        <v/>
      </c>
      <c r="I2062" s="33">
        <f>IF(A2062="","",YEAR(A2062))</f>
        <v/>
      </c>
    </row>
    <row r="2063" ht="15" customHeight="1" s="21">
      <c r="A2063" s="34" t="n"/>
      <c r="B2063" s="30" t="n"/>
      <c r="C2063" s="30" t="n"/>
      <c r="D2063" s="30" t="n"/>
      <c r="E2063" s="33">
        <f>IF(B2063="","",IFERROR(INDEX(Productos!$B$2:$B$501,MATCH(B2063,Productos!$A$2:$A$501,0)),"¿Código?"))</f>
        <v/>
      </c>
      <c r="F2063" s="32">
        <f>IF(C2063&lt;&gt;"Venta","",D2063*IFERROR(INDEX(Productos!$D$2:$D$501,MATCH(B2063,Productos!$A$2:$A$501,0)),0))</f>
        <v/>
      </c>
      <c r="G2063" s="32">
        <f>IF(C2063&lt;&gt;"Venta","",D2063*IFERROR(INDEX(Productos!$E$2:$E$501,MATCH(B2063,Productos!$A$2:$A$501,0)),0))</f>
        <v/>
      </c>
      <c r="H2063" s="33">
        <f>IF(A2063="","",MONTH(A2063))</f>
        <v/>
      </c>
      <c r="I2063" s="33">
        <f>IF(A2063="","",YEAR(A2063))</f>
        <v/>
      </c>
    </row>
    <row r="2064" ht="15" customHeight="1" s="21">
      <c r="A2064" s="34" t="n"/>
      <c r="B2064" s="30" t="n"/>
      <c r="C2064" s="30" t="n"/>
      <c r="D2064" s="30" t="n"/>
      <c r="E2064" s="33">
        <f>IF(B2064="","",IFERROR(INDEX(Productos!$B$2:$B$501,MATCH(B2064,Productos!$A$2:$A$501,0)),"¿Código?"))</f>
        <v/>
      </c>
      <c r="F2064" s="32">
        <f>IF(C2064&lt;&gt;"Venta","",D2064*IFERROR(INDEX(Productos!$D$2:$D$501,MATCH(B2064,Productos!$A$2:$A$501,0)),0))</f>
        <v/>
      </c>
      <c r="G2064" s="32">
        <f>IF(C2064&lt;&gt;"Venta","",D2064*IFERROR(INDEX(Productos!$E$2:$E$501,MATCH(B2064,Productos!$A$2:$A$501,0)),0))</f>
        <v/>
      </c>
      <c r="H2064" s="33">
        <f>IF(A2064="","",MONTH(A2064))</f>
        <v/>
      </c>
      <c r="I2064" s="33">
        <f>IF(A2064="","",YEAR(A2064))</f>
        <v/>
      </c>
    </row>
    <row r="2065" ht="15" customHeight="1" s="21">
      <c r="A2065" s="34" t="n"/>
      <c r="B2065" s="30" t="n"/>
      <c r="C2065" s="30" t="n"/>
      <c r="D2065" s="30" t="n"/>
      <c r="E2065" s="33">
        <f>IF(B2065="","",IFERROR(INDEX(Productos!$B$2:$B$501,MATCH(B2065,Productos!$A$2:$A$501,0)),"¿Código?"))</f>
        <v/>
      </c>
      <c r="F2065" s="32">
        <f>IF(C2065&lt;&gt;"Venta","",D2065*IFERROR(INDEX(Productos!$D$2:$D$501,MATCH(B2065,Productos!$A$2:$A$501,0)),0))</f>
        <v/>
      </c>
      <c r="G2065" s="32">
        <f>IF(C2065&lt;&gt;"Venta","",D2065*IFERROR(INDEX(Productos!$E$2:$E$501,MATCH(B2065,Productos!$A$2:$A$501,0)),0))</f>
        <v/>
      </c>
      <c r="H2065" s="33">
        <f>IF(A2065="","",MONTH(A2065))</f>
        <v/>
      </c>
      <c r="I2065" s="33">
        <f>IF(A2065="","",YEAR(A2065))</f>
        <v/>
      </c>
    </row>
    <row r="2066" ht="15" customHeight="1" s="21">
      <c r="A2066" s="34" t="n"/>
      <c r="B2066" s="30" t="n"/>
      <c r="C2066" s="30" t="n"/>
      <c r="D2066" s="30" t="n"/>
      <c r="E2066" s="33">
        <f>IF(B2066="","",IFERROR(INDEX(Productos!$B$2:$B$501,MATCH(B2066,Productos!$A$2:$A$501,0)),"¿Código?"))</f>
        <v/>
      </c>
      <c r="F2066" s="32">
        <f>IF(C2066&lt;&gt;"Venta","",D2066*IFERROR(INDEX(Productos!$D$2:$D$501,MATCH(B2066,Productos!$A$2:$A$501,0)),0))</f>
        <v/>
      </c>
      <c r="G2066" s="32">
        <f>IF(C2066&lt;&gt;"Venta","",D2066*IFERROR(INDEX(Productos!$E$2:$E$501,MATCH(B2066,Productos!$A$2:$A$501,0)),0))</f>
        <v/>
      </c>
      <c r="H2066" s="33">
        <f>IF(A2066="","",MONTH(A2066))</f>
        <v/>
      </c>
      <c r="I2066" s="33">
        <f>IF(A2066="","",YEAR(A2066))</f>
        <v/>
      </c>
    </row>
    <row r="2067" ht="15" customHeight="1" s="21">
      <c r="A2067" s="34" t="n"/>
      <c r="B2067" s="30" t="n"/>
      <c r="C2067" s="30" t="n"/>
      <c r="D2067" s="30" t="n"/>
      <c r="E2067" s="33">
        <f>IF(B2067="","",IFERROR(INDEX(Productos!$B$2:$B$501,MATCH(B2067,Productos!$A$2:$A$501,0)),"¿Código?"))</f>
        <v/>
      </c>
      <c r="F2067" s="32">
        <f>IF(C2067&lt;&gt;"Venta","",D2067*IFERROR(INDEX(Productos!$D$2:$D$501,MATCH(B2067,Productos!$A$2:$A$501,0)),0))</f>
        <v/>
      </c>
      <c r="G2067" s="32">
        <f>IF(C2067&lt;&gt;"Venta","",D2067*IFERROR(INDEX(Productos!$E$2:$E$501,MATCH(B2067,Productos!$A$2:$A$501,0)),0))</f>
        <v/>
      </c>
      <c r="H2067" s="33">
        <f>IF(A2067="","",MONTH(A2067))</f>
        <v/>
      </c>
      <c r="I2067" s="33">
        <f>IF(A2067="","",YEAR(A2067))</f>
        <v/>
      </c>
    </row>
    <row r="2068" ht="15" customHeight="1" s="21">
      <c r="A2068" s="34" t="n"/>
      <c r="B2068" s="30" t="n"/>
      <c r="C2068" s="30" t="n"/>
      <c r="D2068" s="30" t="n"/>
      <c r="E2068" s="33">
        <f>IF(B2068="","",IFERROR(INDEX(Productos!$B$2:$B$501,MATCH(B2068,Productos!$A$2:$A$501,0)),"¿Código?"))</f>
        <v/>
      </c>
      <c r="F2068" s="32">
        <f>IF(C2068&lt;&gt;"Venta","",D2068*IFERROR(INDEX(Productos!$D$2:$D$501,MATCH(B2068,Productos!$A$2:$A$501,0)),0))</f>
        <v/>
      </c>
      <c r="G2068" s="32">
        <f>IF(C2068&lt;&gt;"Venta","",D2068*IFERROR(INDEX(Productos!$E$2:$E$501,MATCH(B2068,Productos!$A$2:$A$501,0)),0))</f>
        <v/>
      </c>
      <c r="H2068" s="33">
        <f>IF(A2068="","",MONTH(A2068))</f>
        <v/>
      </c>
      <c r="I2068" s="33">
        <f>IF(A2068="","",YEAR(A2068))</f>
        <v/>
      </c>
    </row>
    <row r="2069" ht="15" customHeight="1" s="21">
      <c r="A2069" s="34" t="n"/>
      <c r="B2069" s="30" t="n"/>
      <c r="C2069" s="30" t="n"/>
      <c r="D2069" s="30" t="n"/>
      <c r="E2069" s="33">
        <f>IF(B2069="","",IFERROR(INDEX(Productos!$B$2:$B$501,MATCH(B2069,Productos!$A$2:$A$501,0)),"¿Código?"))</f>
        <v/>
      </c>
      <c r="F2069" s="32">
        <f>IF(C2069&lt;&gt;"Venta","",D2069*IFERROR(INDEX(Productos!$D$2:$D$501,MATCH(B2069,Productos!$A$2:$A$501,0)),0))</f>
        <v/>
      </c>
      <c r="G2069" s="32">
        <f>IF(C2069&lt;&gt;"Venta","",D2069*IFERROR(INDEX(Productos!$E$2:$E$501,MATCH(B2069,Productos!$A$2:$A$501,0)),0))</f>
        <v/>
      </c>
      <c r="H2069" s="33">
        <f>IF(A2069="","",MONTH(A2069))</f>
        <v/>
      </c>
      <c r="I2069" s="33">
        <f>IF(A2069="","",YEAR(A2069))</f>
        <v/>
      </c>
    </row>
    <row r="2070" ht="15" customHeight="1" s="21">
      <c r="A2070" s="34" t="n"/>
      <c r="B2070" s="30" t="n"/>
      <c r="C2070" s="30" t="n"/>
      <c r="D2070" s="30" t="n"/>
      <c r="E2070" s="33">
        <f>IF(B2070="","",IFERROR(INDEX(Productos!$B$2:$B$501,MATCH(B2070,Productos!$A$2:$A$501,0)),"¿Código?"))</f>
        <v/>
      </c>
      <c r="F2070" s="32">
        <f>IF(C2070&lt;&gt;"Venta","",D2070*IFERROR(INDEX(Productos!$D$2:$D$501,MATCH(B2070,Productos!$A$2:$A$501,0)),0))</f>
        <v/>
      </c>
      <c r="G2070" s="32">
        <f>IF(C2070&lt;&gt;"Venta","",D2070*IFERROR(INDEX(Productos!$E$2:$E$501,MATCH(B2070,Productos!$A$2:$A$501,0)),0))</f>
        <v/>
      </c>
      <c r="H2070" s="33">
        <f>IF(A2070="","",MONTH(A2070))</f>
        <v/>
      </c>
      <c r="I2070" s="33">
        <f>IF(A2070="","",YEAR(A2070))</f>
        <v/>
      </c>
    </row>
    <row r="2071" ht="15" customHeight="1" s="21">
      <c r="A2071" s="34" t="n"/>
      <c r="B2071" s="30" t="n"/>
      <c r="C2071" s="30" t="n"/>
      <c r="D2071" s="30" t="n"/>
      <c r="E2071" s="33">
        <f>IF(B2071="","",IFERROR(INDEX(Productos!$B$2:$B$501,MATCH(B2071,Productos!$A$2:$A$501,0)),"¿Código?"))</f>
        <v/>
      </c>
      <c r="F2071" s="32">
        <f>IF(C2071&lt;&gt;"Venta","",D2071*IFERROR(INDEX(Productos!$D$2:$D$501,MATCH(B2071,Productos!$A$2:$A$501,0)),0))</f>
        <v/>
      </c>
      <c r="G2071" s="32">
        <f>IF(C2071&lt;&gt;"Venta","",D2071*IFERROR(INDEX(Productos!$E$2:$E$501,MATCH(B2071,Productos!$A$2:$A$501,0)),0))</f>
        <v/>
      </c>
      <c r="H2071" s="33">
        <f>IF(A2071="","",MONTH(A2071))</f>
        <v/>
      </c>
      <c r="I2071" s="33">
        <f>IF(A2071="","",YEAR(A2071))</f>
        <v/>
      </c>
    </row>
    <row r="2072" ht="15" customHeight="1" s="21">
      <c r="A2072" s="34" t="n"/>
      <c r="B2072" s="30" t="n"/>
      <c r="C2072" s="30" t="n"/>
      <c r="D2072" s="30" t="n"/>
      <c r="E2072" s="33">
        <f>IF(B2072="","",IFERROR(INDEX(Productos!$B$2:$B$501,MATCH(B2072,Productos!$A$2:$A$501,0)),"¿Código?"))</f>
        <v/>
      </c>
      <c r="F2072" s="32">
        <f>IF(C2072&lt;&gt;"Venta","",D2072*IFERROR(INDEX(Productos!$D$2:$D$501,MATCH(B2072,Productos!$A$2:$A$501,0)),0))</f>
        <v/>
      </c>
      <c r="G2072" s="32">
        <f>IF(C2072&lt;&gt;"Venta","",D2072*IFERROR(INDEX(Productos!$E$2:$E$501,MATCH(B2072,Productos!$A$2:$A$501,0)),0))</f>
        <v/>
      </c>
      <c r="H2072" s="33">
        <f>IF(A2072="","",MONTH(A2072))</f>
        <v/>
      </c>
      <c r="I2072" s="33">
        <f>IF(A2072="","",YEAR(A2072))</f>
        <v/>
      </c>
    </row>
    <row r="2073" ht="15" customHeight="1" s="21">
      <c r="A2073" s="34" t="n"/>
      <c r="B2073" s="30" t="n"/>
      <c r="C2073" s="30" t="n"/>
      <c r="D2073" s="30" t="n"/>
      <c r="E2073" s="33">
        <f>IF(B2073="","",IFERROR(INDEX(Productos!$B$2:$B$501,MATCH(B2073,Productos!$A$2:$A$501,0)),"¿Código?"))</f>
        <v/>
      </c>
      <c r="F2073" s="32">
        <f>IF(C2073&lt;&gt;"Venta","",D2073*IFERROR(INDEX(Productos!$D$2:$D$501,MATCH(B2073,Productos!$A$2:$A$501,0)),0))</f>
        <v/>
      </c>
      <c r="G2073" s="32">
        <f>IF(C2073&lt;&gt;"Venta","",D2073*IFERROR(INDEX(Productos!$E$2:$E$501,MATCH(B2073,Productos!$A$2:$A$501,0)),0))</f>
        <v/>
      </c>
      <c r="H2073" s="33">
        <f>IF(A2073="","",MONTH(A2073))</f>
        <v/>
      </c>
      <c r="I2073" s="33">
        <f>IF(A2073="","",YEAR(A2073))</f>
        <v/>
      </c>
    </row>
    <row r="2074" ht="15" customHeight="1" s="21">
      <c r="A2074" s="34" t="n"/>
      <c r="B2074" s="30" t="n"/>
      <c r="C2074" s="30" t="n"/>
      <c r="D2074" s="30" t="n"/>
      <c r="E2074" s="33">
        <f>IF(B2074="","",IFERROR(INDEX(Productos!$B$2:$B$501,MATCH(B2074,Productos!$A$2:$A$501,0)),"¿Código?"))</f>
        <v/>
      </c>
      <c r="F2074" s="32">
        <f>IF(C2074&lt;&gt;"Venta","",D2074*IFERROR(INDEX(Productos!$D$2:$D$501,MATCH(B2074,Productos!$A$2:$A$501,0)),0))</f>
        <v/>
      </c>
      <c r="G2074" s="32">
        <f>IF(C2074&lt;&gt;"Venta","",D2074*IFERROR(INDEX(Productos!$E$2:$E$501,MATCH(B2074,Productos!$A$2:$A$501,0)),0))</f>
        <v/>
      </c>
      <c r="H2074" s="33">
        <f>IF(A2074="","",MONTH(A2074))</f>
        <v/>
      </c>
      <c r="I2074" s="33">
        <f>IF(A2074="","",YEAR(A2074))</f>
        <v/>
      </c>
    </row>
    <row r="2075" ht="15" customHeight="1" s="21">
      <c r="A2075" s="34" t="n"/>
      <c r="B2075" s="30" t="n"/>
      <c r="C2075" s="30" t="n"/>
      <c r="D2075" s="30" t="n"/>
      <c r="E2075" s="33">
        <f>IF(B2075="","",IFERROR(INDEX(Productos!$B$2:$B$501,MATCH(B2075,Productos!$A$2:$A$501,0)),"¿Código?"))</f>
        <v/>
      </c>
      <c r="F2075" s="32">
        <f>IF(C2075&lt;&gt;"Venta","",D2075*IFERROR(INDEX(Productos!$D$2:$D$501,MATCH(B2075,Productos!$A$2:$A$501,0)),0))</f>
        <v/>
      </c>
      <c r="G2075" s="32">
        <f>IF(C2075&lt;&gt;"Venta","",D2075*IFERROR(INDEX(Productos!$E$2:$E$501,MATCH(B2075,Productos!$A$2:$A$501,0)),0))</f>
        <v/>
      </c>
      <c r="H2075" s="33">
        <f>IF(A2075="","",MONTH(A2075))</f>
        <v/>
      </c>
      <c r="I2075" s="33">
        <f>IF(A2075="","",YEAR(A2075))</f>
        <v/>
      </c>
    </row>
    <row r="2076" ht="15" customHeight="1" s="21">
      <c r="A2076" s="34" t="n"/>
      <c r="B2076" s="30" t="n"/>
      <c r="C2076" s="30" t="n"/>
      <c r="D2076" s="30" t="n"/>
      <c r="E2076" s="33">
        <f>IF(B2076="","",IFERROR(INDEX(Productos!$B$2:$B$501,MATCH(B2076,Productos!$A$2:$A$501,0)),"¿Código?"))</f>
        <v/>
      </c>
      <c r="F2076" s="32">
        <f>IF(C2076&lt;&gt;"Venta","",D2076*IFERROR(INDEX(Productos!$D$2:$D$501,MATCH(B2076,Productos!$A$2:$A$501,0)),0))</f>
        <v/>
      </c>
      <c r="G2076" s="32">
        <f>IF(C2076&lt;&gt;"Venta","",D2076*IFERROR(INDEX(Productos!$E$2:$E$501,MATCH(B2076,Productos!$A$2:$A$501,0)),0))</f>
        <v/>
      </c>
      <c r="H2076" s="33">
        <f>IF(A2076="","",MONTH(A2076))</f>
        <v/>
      </c>
      <c r="I2076" s="33">
        <f>IF(A2076="","",YEAR(A2076))</f>
        <v/>
      </c>
    </row>
    <row r="2077" ht="15" customHeight="1" s="21">
      <c r="A2077" s="34" t="n"/>
      <c r="B2077" s="30" t="n"/>
      <c r="C2077" s="30" t="n"/>
      <c r="D2077" s="30" t="n"/>
      <c r="E2077" s="33">
        <f>IF(B2077="","",IFERROR(INDEX(Productos!$B$2:$B$501,MATCH(B2077,Productos!$A$2:$A$501,0)),"¿Código?"))</f>
        <v/>
      </c>
      <c r="F2077" s="32">
        <f>IF(C2077&lt;&gt;"Venta","",D2077*IFERROR(INDEX(Productos!$D$2:$D$501,MATCH(B2077,Productos!$A$2:$A$501,0)),0))</f>
        <v/>
      </c>
      <c r="G2077" s="32">
        <f>IF(C2077&lt;&gt;"Venta","",D2077*IFERROR(INDEX(Productos!$E$2:$E$501,MATCH(B2077,Productos!$A$2:$A$501,0)),0))</f>
        <v/>
      </c>
      <c r="H2077" s="33">
        <f>IF(A2077="","",MONTH(A2077))</f>
        <v/>
      </c>
      <c r="I2077" s="33">
        <f>IF(A2077="","",YEAR(A2077))</f>
        <v/>
      </c>
    </row>
    <row r="2078" ht="15" customHeight="1" s="21">
      <c r="A2078" s="34" t="n"/>
      <c r="B2078" s="30" t="n"/>
      <c r="C2078" s="30" t="n"/>
      <c r="D2078" s="30" t="n"/>
      <c r="E2078" s="33">
        <f>IF(B2078="","",IFERROR(INDEX(Productos!$B$2:$B$501,MATCH(B2078,Productos!$A$2:$A$501,0)),"¿Código?"))</f>
        <v/>
      </c>
      <c r="F2078" s="32">
        <f>IF(C2078&lt;&gt;"Venta","",D2078*IFERROR(INDEX(Productos!$D$2:$D$501,MATCH(B2078,Productos!$A$2:$A$501,0)),0))</f>
        <v/>
      </c>
      <c r="G2078" s="32">
        <f>IF(C2078&lt;&gt;"Venta","",D2078*IFERROR(INDEX(Productos!$E$2:$E$501,MATCH(B2078,Productos!$A$2:$A$501,0)),0))</f>
        <v/>
      </c>
      <c r="H2078" s="33">
        <f>IF(A2078="","",MONTH(A2078))</f>
        <v/>
      </c>
      <c r="I2078" s="33">
        <f>IF(A2078="","",YEAR(A2078))</f>
        <v/>
      </c>
    </row>
    <row r="2079" ht="15" customHeight="1" s="21">
      <c r="A2079" s="34" t="n"/>
      <c r="B2079" s="30" t="n"/>
      <c r="C2079" s="30" t="n"/>
      <c r="D2079" s="30" t="n"/>
      <c r="E2079" s="33">
        <f>IF(B2079="","",IFERROR(INDEX(Productos!$B$2:$B$501,MATCH(B2079,Productos!$A$2:$A$501,0)),"¿Código?"))</f>
        <v/>
      </c>
      <c r="F2079" s="32">
        <f>IF(C2079&lt;&gt;"Venta","",D2079*IFERROR(INDEX(Productos!$D$2:$D$501,MATCH(B2079,Productos!$A$2:$A$501,0)),0))</f>
        <v/>
      </c>
      <c r="G2079" s="32">
        <f>IF(C2079&lt;&gt;"Venta","",D2079*IFERROR(INDEX(Productos!$E$2:$E$501,MATCH(B2079,Productos!$A$2:$A$501,0)),0))</f>
        <v/>
      </c>
      <c r="H2079" s="33">
        <f>IF(A2079="","",MONTH(A2079))</f>
        <v/>
      </c>
      <c r="I2079" s="33">
        <f>IF(A2079="","",YEAR(A2079))</f>
        <v/>
      </c>
    </row>
    <row r="2080" ht="15" customHeight="1" s="21">
      <c r="A2080" s="34" t="n"/>
      <c r="B2080" s="30" t="n"/>
      <c r="C2080" s="30" t="n"/>
      <c r="D2080" s="30" t="n"/>
      <c r="E2080" s="33">
        <f>IF(B2080="","",IFERROR(INDEX(Productos!$B$2:$B$501,MATCH(B2080,Productos!$A$2:$A$501,0)),"¿Código?"))</f>
        <v/>
      </c>
      <c r="F2080" s="32">
        <f>IF(C2080&lt;&gt;"Venta","",D2080*IFERROR(INDEX(Productos!$D$2:$D$501,MATCH(B2080,Productos!$A$2:$A$501,0)),0))</f>
        <v/>
      </c>
      <c r="G2080" s="32">
        <f>IF(C2080&lt;&gt;"Venta","",D2080*IFERROR(INDEX(Productos!$E$2:$E$501,MATCH(B2080,Productos!$A$2:$A$501,0)),0))</f>
        <v/>
      </c>
      <c r="H2080" s="33">
        <f>IF(A2080="","",MONTH(A2080))</f>
        <v/>
      </c>
      <c r="I2080" s="33">
        <f>IF(A2080="","",YEAR(A2080))</f>
        <v/>
      </c>
    </row>
    <row r="2081" ht="15" customHeight="1" s="21">
      <c r="A2081" s="34" t="n"/>
      <c r="B2081" s="30" t="n"/>
      <c r="C2081" s="30" t="n"/>
      <c r="D2081" s="30" t="n"/>
      <c r="E2081" s="33">
        <f>IF(B2081="","",IFERROR(INDEX(Productos!$B$2:$B$501,MATCH(B2081,Productos!$A$2:$A$501,0)),"¿Código?"))</f>
        <v/>
      </c>
      <c r="F2081" s="32">
        <f>IF(C2081&lt;&gt;"Venta","",D2081*IFERROR(INDEX(Productos!$D$2:$D$501,MATCH(B2081,Productos!$A$2:$A$501,0)),0))</f>
        <v/>
      </c>
      <c r="G2081" s="32">
        <f>IF(C2081&lt;&gt;"Venta","",D2081*IFERROR(INDEX(Productos!$E$2:$E$501,MATCH(B2081,Productos!$A$2:$A$501,0)),0))</f>
        <v/>
      </c>
      <c r="H2081" s="33">
        <f>IF(A2081="","",MONTH(A2081))</f>
        <v/>
      </c>
      <c r="I2081" s="33">
        <f>IF(A2081="","",YEAR(A2081))</f>
        <v/>
      </c>
    </row>
    <row r="2082" ht="15" customHeight="1" s="21">
      <c r="A2082" s="34" t="n"/>
      <c r="B2082" s="30" t="n"/>
      <c r="C2082" s="30" t="n"/>
      <c r="D2082" s="30" t="n"/>
      <c r="E2082" s="33">
        <f>IF(B2082="","",IFERROR(INDEX(Productos!$B$2:$B$501,MATCH(B2082,Productos!$A$2:$A$501,0)),"¿Código?"))</f>
        <v/>
      </c>
      <c r="F2082" s="32">
        <f>IF(C2082&lt;&gt;"Venta","",D2082*IFERROR(INDEX(Productos!$D$2:$D$501,MATCH(B2082,Productos!$A$2:$A$501,0)),0))</f>
        <v/>
      </c>
      <c r="G2082" s="32">
        <f>IF(C2082&lt;&gt;"Venta","",D2082*IFERROR(INDEX(Productos!$E$2:$E$501,MATCH(B2082,Productos!$A$2:$A$501,0)),0))</f>
        <v/>
      </c>
      <c r="H2082" s="33">
        <f>IF(A2082="","",MONTH(A2082))</f>
        <v/>
      </c>
      <c r="I2082" s="33">
        <f>IF(A2082="","",YEAR(A2082))</f>
        <v/>
      </c>
    </row>
    <row r="2083" ht="15" customHeight="1" s="21">
      <c r="A2083" s="34" t="n"/>
      <c r="B2083" s="30" t="n"/>
      <c r="C2083" s="30" t="n"/>
      <c r="D2083" s="30" t="n"/>
      <c r="E2083" s="33">
        <f>IF(B2083="","",IFERROR(INDEX(Productos!$B$2:$B$501,MATCH(B2083,Productos!$A$2:$A$501,0)),"¿Código?"))</f>
        <v/>
      </c>
      <c r="F2083" s="32">
        <f>IF(C2083&lt;&gt;"Venta","",D2083*IFERROR(INDEX(Productos!$D$2:$D$501,MATCH(B2083,Productos!$A$2:$A$501,0)),0))</f>
        <v/>
      </c>
      <c r="G2083" s="32">
        <f>IF(C2083&lt;&gt;"Venta","",D2083*IFERROR(INDEX(Productos!$E$2:$E$501,MATCH(B2083,Productos!$A$2:$A$501,0)),0))</f>
        <v/>
      </c>
      <c r="H2083" s="33">
        <f>IF(A2083="","",MONTH(A2083))</f>
        <v/>
      </c>
      <c r="I2083" s="33">
        <f>IF(A2083="","",YEAR(A2083))</f>
        <v/>
      </c>
    </row>
    <row r="2084" ht="15" customHeight="1" s="21">
      <c r="A2084" s="34" t="n"/>
      <c r="B2084" s="30" t="n"/>
      <c r="C2084" s="30" t="n"/>
      <c r="D2084" s="30" t="n"/>
      <c r="E2084" s="33">
        <f>IF(B2084="","",IFERROR(INDEX(Productos!$B$2:$B$501,MATCH(B2084,Productos!$A$2:$A$501,0)),"¿Código?"))</f>
        <v/>
      </c>
      <c r="F2084" s="32">
        <f>IF(C2084&lt;&gt;"Venta","",D2084*IFERROR(INDEX(Productos!$D$2:$D$501,MATCH(B2084,Productos!$A$2:$A$501,0)),0))</f>
        <v/>
      </c>
      <c r="G2084" s="32">
        <f>IF(C2084&lt;&gt;"Venta","",D2084*IFERROR(INDEX(Productos!$E$2:$E$501,MATCH(B2084,Productos!$A$2:$A$501,0)),0))</f>
        <v/>
      </c>
      <c r="H2084" s="33">
        <f>IF(A2084="","",MONTH(A2084))</f>
        <v/>
      </c>
      <c r="I2084" s="33">
        <f>IF(A2084="","",YEAR(A2084))</f>
        <v/>
      </c>
    </row>
    <row r="2085" ht="15" customHeight="1" s="21">
      <c r="A2085" s="34" t="n"/>
      <c r="B2085" s="30" t="n"/>
      <c r="C2085" s="30" t="n"/>
      <c r="D2085" s="30" t="n"/>
      <c r="E2085" s="33">
        <f>IF(B2085="","",IFERROR(INDEX(Productos!$B$2:$B$501,MATCH(B2085,Productos!$A$2:$A$501,0)),"¿Código?"))</f>
        <v/>
      </c>
      <c r="F2085" s="32">
        <f>IF(C2085&lt;&gt;"Venta","",D2085*IFERROR(INDEX(Productos!$D$2:$D$501,MATCH(B2085,Productos!$A$2:$A$501,0)),0))</f>
        <v/>
      </c>
      <c r="G2085" s="32">
        <f>IF(C2085&lt;&gt;"Venta","",D2085*IFERROR(INDEX(Productos!$E$2:$E$501,MATCH(B2085,Productos!$A$2:$A$501,0)),0))</f>
        <v/>
      </c>
      <c r="H2085" s="33">
        <f>IF(A2085="","",MONTH(A2085))</f>
        <v/>
      </c>
      <c r="I2085" s="33">
        <f>IF(A2085="","",YEAR(A2085))</f>
        <v/>
      </c>
    </row>
    <row r="2086" ht="15" customHeight="1" s="21">
      <c r="A2086" s="34" t="n"/>
      <c r="B2086" s="30" t="n"/>
      <c r="C2086" s="30" t="n"/>
      <c r="D2086" s="30" t="n"/>
      <c r="E2086" s="33">
        <f>IF(B2086="","",IFERROR(INDEX(Productos!$B$2:$B$501,MATCH(B2086,Productos!$A$2:$A$501,0)),"¿Código?"))</f>
        <v/>
      </c>
      <c r="F2086" s="32">
        <f>IF(C2086&lt;&gt;"Venta","",D2086*IFERROR(INDEX(Productos!$D$2:$D$501,MATCH(B2086,Productos!$A$2:$A$501,0)),0))</f>
        <v/>
      </c>
      <c r="G2086" s="32">
        <f>IF(C2086&lt;&gt;"Venta","",D2086*IFERROR(INDEX(Productos!$E$2:$E$501,MATCH(B2086,Productos!$A$2:$A$501,0)),0))</f>
        <v/>
      </c>
      <c r="H2086" s="33">
        <f>IF(A2086="","",MONTH(A2086))</f>
        <v/>
      </c>
      <c r="I2086" s="33">
        <f>IF(A2086="","",YEAR(A2086))</f>
        <v/>
      </c>
    </row>
    <row r="2087" ht="15" customHeight="1" s="21">
      <c r="A2087" s="34" t="n"/>
      <c r="B2087" s="30" t="n"/>
      <c r="C2087" s="30" t="n"/>
      <c r="D2087" s="30" t="n"/>
      <c r="E2087" s="33">
        <f>IF(B2087="","",IFERROR(INDEX(Productos!$B$2:$B$501,MATCH(B2087,Productos!$A$2:$A$501,0)),"¿Código?"))</f>
        <v/>
      </c>
      <c r="F2087" s="32">
        <f>IF(C2087&lt;&gt;"Venta","",D2087*IFERROR(INDEX(Productos!$D$2:$D$501,MATCH(B2087,Productos!$A$2:$A$501,0)),0))</f>
        <v/>
      </c>
      <c r="G2087" s="32">
        <f>IF(C2087&lt;&gt;"Venta","",D2087*IFERROR(INDEX(Productos!$E$2:$E$501,MATCH(B2087,Productos!$A$2:$A$501,0)),0))</f>
        <v/>
      </c>
      <c r="H2087" s="33">
        <f>IF(A2087="","",MONTH(A2087))</f>
        <v/>
      </c>
      <c r="I2087" s="33">
        <f>IF(A2087="","",YEAR(A2087))</f>
        <v/>
      </c>
    </row>
    <row r="2088" ht="15" customHeight="1" s="21">
      <c r="A2088" s="34" t="n"/>
      <c r="B2088" s="30" t="n"/>
      <c r="C2088" s="30" t="n"/>
      <c r="D2088" s="30" t="n"/>
      <c r="E2088" s="33">
        <f>IF(B2088="","",IFERROR(INDEX(Productos!$B$2:$B$501,MATCH(B2088,Productos!$A$2:$A$501,0)),"¿Código?"))</f>
        <v/>
      </c>
      <c r="F2088" s="32">
        <f>IF(C2088&lt;&gt;"Venta","",D2088*IFERROR(INDEX(Productos!$D$2:$D$501,MATCH(B2088,Productos!$A$2:$A$501,0)),0))</f>
        <v/>
      </c>
      <c r="G2088" s="32">
        <f>IF(C2088&lt;&gt;"Venta","",D2088*IFERROR(INDEX(Productos!$E$2:$E$501,MATCH(B2088,Productos!$A$2:$A$501,0)),0))</f>
        <v/>
      </c>
      <c r="H2088" s="33">
        <f>IF(A2088="","",MONTH(A2088))</f>
        <v/>
      </c>
      <c r="I2088" s="33">
        <f>IF(A2088="","",YEAR(A2088))</f>
        <v/>
      </c>
    </row>
    <row r="2089" ht="15" customHeight="1" s="21">
      <c r="A2089" s="34" t="n"/>
      <c r="B2089" s="30" t="n"/>
      <c r="C2089" s="30" t="n"/>
      <c r="D2089" s="30" t="n"/>
      <c r="E2089" s="33">
        <f>IF(B2089="","",IFERROR(INDEX(Productos!$B$2:$B$501,MATCH(B2089,Productos!$A$2:$A$501,0)),"¿Código?"))</f>
        <v/>
      </c>
      <c r="F2089" s="32">
        <f>IF(C2089&lt;&gt;"Venta","",D2089*IFERROR(INDEX(Productos!$D$2:$D$501,MATCH(B2089,Productos!$A$2:$A$501,0)),0))</f>
        <v/>
      </c>
      <c r="G2089" s="32">
        <f>IF(C2089&lt;&gt;"Venta","",D2089*IFERROR(INDEX(Productos!$E$2:$E$501,MATCH(B2089,Productos!$A$2:$A$501,0)),0))</f>
        <v/>
      </c>
      <c r="H2089" s="33">
        <f>IF(A2089="","",MONTH(A2089))</f>
        <v/>
      </c>
      <c r="I2089" s="33">
        <f>IF(A2089="","",YEAR(A2089))</f>
        <v/>
      </c>
    </row>
    <row r="2090" ht="15" customHeight="1" s="21">
      <c r="A2090" s="34" t="n"/>
      <c r="B2090" s="30" t="n"/>
      <c r="C2090" s="30" t="n"/>
      <c r="D2090" s="30" t="n"/>
      <c r="E2090" s="33">
        <f>IF(B2090="","",IFERROR(INDEX(Productos!$B$2:$B$501,MATCH(B2090,Productos!$A$2:$A$501,0)),"¿Código?"))</f>
        <v/>
      </c>
      <c r="F2090" s="32">
        <f>IF(C2090&lt;&gt;"Venta","",D2090*IFERROR(INDEX(Productos!$D$2:$D$501,MATCH(B2090,Productos!$A$2:$A$501,0)),0))</f>
        <v/>
      </c>
      <c r="G2090" s="32">
        <f>IF(C2090&lt;&gt;"Venta","",D2090*IFERROR(INDEX(Productos!$E$2:$E$501,MATCH(B2090,Productos!$A$2:$A$501,0)),0))</f>
        <v/>
      </c>
      <c r="H2090" s="33">
        <f>IF(A2090="","",MONTH(A2090))</f>
        <v/>
      </c>
      <c r="I2090" s="33">
        <f>IF(A2090="","",YEAR(A2090))</f>
        <v/>
      </c>
    </row>
    <row r="2091" ht="15" customHeight="1" s="21">
      <c r="A2091" s="34" t="n"/>
      <c r="B2091" s="30" t="n"/>
      <c r="C2091" s="30" t="n"/>
      <c r="D2091" s="30" t="n"/>
      <c r="E2091" s="33">
        <f>IF(B2091="","",IFERROR(INDEX(Productos!$B$2:$B$501,MATCH(B2091,Productos!$A$2:$A$501,0)),"¿Código?"))</f>
        <v/>
      </c>
      <c r="F2091" s="32">
        <f>IF(C2091&lt;&gt;"Venta","",D2091*IFERROR(INDEX(Productos!$D$2:$D$501,MATCH(B2091,Productos!$A$2:$A$501,0)),0))</f>
        <v/>
      </c>
      <c r="G2091" s="32">
        <f>IF(C2091&lt;&gt;"Venta","",D2091*IFERROR(INDEX(Productos!$E$2:$E$501,MATCH(B2091,Productos!$A$2:$A$501,0)),0))</f>
        <v/>
      </c>
      <c r="H2091" s="33">
        <f>IF(A2091="","",MONTH(A2091))</f>
        <v/>
      </c>
      <c r="I2091" s="33">
        <f>IF(A2091="","",YEAR(A2091))</f>
        <v/>
      </c>
    </row>
    <row r="2092" ht="15" customHeight="1" s="21">
      <c r="A2092" s="34" t="n"/>
      <c r="B2092" s="30" t="n"/>
      <c r="C2092" s="30" t="n"/>
      <c r="D2092" s="30" t="n"/>
      <c r="E2092" s="33">
        <f>IF(B2092="","",IFERROR(INDEX(Productos!$B$2:$B$501,MATCH(B2092,Productos!$A$2:$A$501,0)),"¿Código?"))</f>
        <v/>
      </c>
      <c r="F2092" s="32">
        <f>IF(C2092&lt;&gt;"Venta","",D2092*IFERROR(INDEX(Productos!$D$2:$D$501,MATCH(B2092,Productos!$A$2:$A$501,0)),0))</f>
        <v/>
      </c>
      <c r="G2092" s="32">
        <f>IF(C2092&lt;&gt;"Venta","",D2092*IFERROR(INDEX(Productos!$E$2:$E$501,MATCH(B2092,Productos!$A$2:$A$501,0)),0))</f>
        <v/>
      </c>
      <c r="H2092" s="33">
        <f>IF(A2092="","",MONTH(A2092))</f>
        <v/>
      </c>
      <c r="I2092" s="33">
        <f>IF(A2092="","",YEAR(A2092))</f>
        <v/>
      </c>
    </row>
    <row r="2093" ht="15" customHeight="1" s="21">
      <c r="A2093" s="34" t="n"/>
      <c r="B2093" s="30" t="n"/>
      <c r="C2093" s="30" t="n"/>
      <c r="D2093" s="30" t="n"/>
      <c r="E2093" s="33">
        <f>IF(B2093="","",IFERROR(INDEX(Productos!$B$2:$B$501,MATCH(B2093,Productos!$A$2:$A$501,0)),"¿Código?"))</f>
        <v/>
      </c>
      <c r="F2093" s="32">
        <f>IF(C2093&lt;&gt;"Venta","",D2093*IFERROR(INDEX(Productos!$D$2:$D$501,MATCH(B2093,Productos!$A$2:$A$501,0)),0))</f>
        <v/>
      </c>
      <c r="G2093" s="32">
        <f>IF(C2093&lt;&gt;"Venta","",D2093*IFERROR(INDEX(Productos!$E$2:$E$501,MATCH(B2093,Productos!$A$2:$A$501,0)),0))</f>
        <v/>
      </c>
      <c r="H2093" s="33">
        <f>IF(A2093="","",MONTH(A2093))</f>
        <v/>
      </c>
      <c r="I2093" s="33">
        <f>IF(A2093="","",YEAR(A2093))</f>
        <v/>
      </c>
    </row>
    <row r="2094" ht="15" customHeight="1" s="21">
      <c r="A2094" s="34" t="n"/>
      <c r="B2094" s="30" t="n"/>
      <c r="C2094" s="30" t="n"/>
      <c r="D2094" s="30" t="n"/>
      <c r="E2094" s="33">
        <f>IF(B2094="","",IFERROR(INDEX(Productos!$B$2:$B$501,MATCH(B2094,Productos!$A$2:$A$501,0)),"¿Código?"))</f>
        <v/>
      </c>
      <c r="F2094" s="32">
        <f>IF(C2094&lt;&gt;"Venta","",D2094*IFERROR(INDEX(Productos!$D$2:$D$501,MATCH(B2094,Productos!$A$2:$A$501,0)),0))</f>
        <v/>
      </c>
      <c r="G2094" s="32">
        <f>IF(C2094&lt;&gt;"Venta","",D2094*IFERROR(INDEX(Productos!$E$2:$E$501,MATCH(B2094,Productos!$A$2:$A$501,0)),0))</f>
        <v/>
      </c>
      <c r="H2094" s="33">
        <f>IF(A2094="","",MONTH(A2094))</f>
        <v/>
      </c>
      <c r="I2094" s="33">
        <f>IF(A2094="","",YEAR(A2094))</f>
        <v/>
      </c>
    </row>
    <row r="2095" ht="15" customHeight="1" s="21">
      <c r="A2095" s="34" t="n"/>
      <c r="B2095" s="30" t="n"/>
      <c r="C2095" s="30" t="n"/>
      <c r="D2095" s="30" t="n"/>
      <c r="E2095" s="33">
        <f>IF(B2095="","",IFERROR(INDEX(Productos!$B$2:$B$501,MATCH(B2095,Productos!$A$2:$A$501,0)),"¿Código?"))</f>
        <v/>
      </c>
      <c r="F2095" s="32">
        <f>IF(C2095&lt;&gt;"Venta","",D2095*IFERROR(INDEX(Productos!$D$2:$D$501,MATCH(B2095,Productos!$A$2:$A$501,0)),0))</f>
        <v/>
      </c>
      <c r="G2095" s="32">
        <f>IF(C2095&lt;&gt;"Venta","",D2095*IFERROR(INDEX(Productos!$E$2:$E$501,MATCH(B2095,Productos!$A$2:$A$501,0)),0))</f>
        <v/>
      </c>
      <c r="H2095" s="33">
        <f>IF(A2095="","",MONTH(A2095))</f>
        <v/>
      </c>
      <c r="I2095" s="33">
        <f>IF(A2095="","",YEAR(A2095))</f>
        <v/>
      </c>
    </row>
    <row r="2096" ht="15" customHeight="1" s="21">
      <c r="A2096" s="34" t="n"/>
      <c r="B2096" s="30" t="n"/>
      <c r="C2096" s="30" t="n"/>
      <c r="D2096" s="30" t="n"/>
      <c r="E2096" s="33">
        <f>IF(B2096="","",IFERROR(INDEX(Productos!$B$2:$B$501,MATCH(B2096,Productos!$A$2:$A$501,0)),"¿Código?"))</f>
        <v/>
      </c>
      <c r="F2096" s="32">
        <f>IF(C2096&lt;&gt;"Venta","",D2096*IFERROR(INDEX(Productos!$D$2:$D$501,MATCH(B2096,Productos!$A$2:$A$501,0)),0))</f>
        <v/>
      </c>
      <c r="G2096" s="32">
        <f>IF(C2096&lt;&gt;"Venta","",D2096*IFERROR(INDEX(Productos!$E$2:$E$501,MATCH(B2096,Productos!$A$2:$A$501,0)),0))</f>
        <v/>
      </c>
      <c r="H2096" s="33">
        <f>IF(A2096="","",MONTH(A2096))</f>
        <v/>
      </c>
      <c r="I2096" s="33">
        <f>IF(A2096="","",YEAR(A2096))</f>
        <v/>
      </c>
    </row>
    <row r="2097" ht="15" customHeight="1" s="21">
      <c r="A2097" s="34" t="n"/>
      <c r="B2097" s="30" t="n"/>
      <c r="C2097" s="30" t="n"/>
      <c r="D2097" s="30" t="n"/>
      <c r="E2097" s="33">
        <f>IF(B2097="","",IFERROR(INDEX(Productos!$B$2:$B$501,MATCH(B2097,Productos!$A$2:$A$501,0)),"¿Código?"))</f>
        <v/>
      </c>
      <c r="F2097" s="32">
        <f>IF(C2097&lt;&gt;"Venta","",D2097*IFERROR(INDEX(Productos!$D$2:$D$501,MATCH(B2097,Productos!$A$2:$A$501,0)),0))</f>
        <v/>
      </c>
      <c r="G2097" s="32">
        <f>IF(C2097&lt;&gt;"Venta","",D2097*IFERROR(INDEX(Productos!$E$2:$E$501,MATCH(B2097,Productos!$A$2:$A$501,0)),0))</f>
        <v/>
      </c>
      <c r="H2097" s="33">
        <f>IF(A2097="","",MONTH(A2097))</f>
        <v/>
      </c>
      <c r="I2097" s="33">
        <f>IF(A2097="","",YEAR(A2097))</f>
        <v/>
      </c>
    </row>
    <row r="2098" ht="15" customHeight="1" s="21">
      <c r="A2098" s="34" t="n"/>
      <c r="B2098" s="30" t="n"/>
      <c r="C2098" s="30" t="n"/>
      <c r="D2098" s="30" t="n"/>
      <c r="E2098" s="33">
        <f>IF(B2098="","",IFERROR(INDEX(Productos!$B$2:$B$501,MATCH(B2098,Productos!$A$2:$A$501,0)),"¿Código?"))</f>
        <v/>
      </c>
      <c r="F2098" s="32">
        <f>IF(C2098&lt;&gt;"Venta","",D2098*IFERROR(INDEX(Productos!$D$2:$D$501,MATCH(B2098,Productos!$A$2:$A$501,0)),0))</f>
        <v/>
      </c>
      <c r="G2098" s="32">
        <f>IF(C2098&lt;&gt;"Venta","",D2098*IFERROR(INDEX(Productos!$E$2:$E$501,MATCH(B2098,Productos!$A$2:$A$501,0)),0))</f>
        <v/>
      </c>
      <c r="H2098" s="33">
        <f>IF(A2098="","",MONTH(A2098))</f>
        <v/>
      </c>
      <c r="I2098" s="33">
        <f>IF(A2098="","",YEAR(A2098))</f>
        <v/>
      </c>
    </row>
    <row r="2099" ht="15" customHeight="1" s="21">
      <c r="A2099" s="34" t="n"/>
      <c r="B2099" s="30" t="n"/>
      <c r="C2099" s="30" t="n"/>
      <c r="D2099" s="30" t="n"/>
      <c r="E2099" s="33">
        <f>IF(B2099="","",IFERROR(INDEX(Productos!$B$2:$B$501,MATCH(B2099,Productos!$A$2:$A$501,0)),"¿Código?"))</f>
        <v/>
      </c>
      <c r="F2099" s="32">
        <f>IF(C2099&lt;&gt;"Venta","",D2099*IFERROR(INDEX(Productos!$D$2:$D$501,MATCH(B2099,Productos!$A$2:$A$501,0)),0))</f>
        <v/>
      </c>
      <c r="G2099" s="32">
        <f>IF(C2099&lt;&gt;"Venta","",D2099*IFERROR(INDEX(Productos!$E$2:$E$501,MATCH(B2099,Productos!$A$2:$A$501,0)),0))</f>
        <v/>
      </c>
      <c r="H2099" s="33">
        <f>IF(A2099="","",MONTH(A2099))</f>
        <v/>
      </c>
      <c r="I2099" s="33">
        <f>IF(A2099="","",YEAR(A2099))</f>
        <v/>
      </c>
    </row>
    <row r="2100" ht="15" customHeight="1" s="21">
      <c r="A2100" s="34" t="n"/>
      <c r="B2100" s="30" t="n"/>
      <c r="C2100" s="30" t="n"/>
      <c r="D2100" s="30" t="n"/>
      <c r="E2100" s="33">
        <f>IF(B2100="","",IFERROR(INDEX(Productos!$B$2:$B$501,MATCH(B2100,Productos!$A$2:$A$501,0)),"¿Código?"))</f>
        <v/>
      </c>
      <c r="F2100" s="32">
        <f>IF(C2100&lt;&gt;"Venta","",D2100*IFERROR(INDEX(Productos!$D$2:$D$501,MATCH(B2100,Productos!$A$2:$A$501,0)),0))</f>
        <v/>
      </c>
      <c r="G2100" s="32">
        <f>IF(C2100&lt;&gt;"Venta","",D2100*IFERROR(INDEX(Productos!$E$2:$E$501,MATCH(B2100,Productos!$A$2:$A$501,0)),0))</f>
        <v/>
      </c>
      <c r="H2100" s="33">
        <f>IF(A2100="","",MONTH(A2100))</f>
        <v/>
      </c>
      <c r="I2100" s="33">
        <f>IF(A2100="","",YEAR(A2100))</f>
        <v/>
      </c>
    </row>
    <row r="2101" ht="15" customHeight="1" s="21">
      <c r="A2101" s="34" t="n"/>
      <c r="B2101" s="30" t="n"/>
      <c r="C2101" s="30" t="n"/>
      <c r="D2101" s="30" t="n"/>
      <c r="E2101" s="33">
        <f>IF(B2101="","",IFERROR(INDEX(Productos!$B$2:$B$501,MATCH(B2101,Productos!$A$2:$A$501,0)),"¿Código?"))</f>
        <v/>
      </c>
      <c r="F2101" s="32">
        <f>IF(C2101&lt;&gt;"Venta","",D2101*IFERROR(INDEX(Productos!$D$2:$D$501,MATCH(B2101,Productos!$A$2:$A$501,0)),0))</f>
        <v/>
      </c>
      <c r="G2101" s="32">
        <f>IF(C2101&lt;&gt;"Venta","",D2101*IFERROR(INDEX(Productos!$E$2:$E$501,MATCH(B2101,Productos!$A$2:$A$501,0)),0))</f>
        <v/>
      </c>
      <c r="H2101" s="33">
        <f>IF(A2101="","",MONTH(A2101))</f>
        <v/>
      </c>
      <c r="I2101" s="33">
        <f>IF(A2101="","",YEAR(A2101))</f>
        <v/>
      </c>
    </row>
    <row r="2102" ht="15" customHeight="1" s="21">
      <c r="A2102" s="34" t="n"/>
      <c r="B2102" s="30" t="n"/>
      <c r="C2102" s="30" t="n"/>
      <c r="D2102" s="30" t="n"/>
      <c r="E2102" s="33">
        <f>IF(B2102="","",IFERROR(INDEX(Productos!$B$2:$B$501,MATCH(B2102,Productos!$A$2:$A$501,0)),"¿Código?"))</f>
        <v/>
      </c>
      <c r="F2102" s="32">
        <f>IF(C2102&lt;&gt;"Venta","",D2102*IFERROR(INDEX(Productos!$D$2:$D$501,MATCH(B2102,Productos!$A$2:$A$501,0)),0))</f>
        <v/>
      </c>
      <c r="G2102" s="32">
        <f>IF(C2102&lt;&gt;"Venta","",D2102*IFERROR(INDEX(Productos!$E$2:$E$501,MATCH(B2102,Productos!$A$2:$A$501,0)),0))</f>
        <v/>
      </c>
      <c r="H2102" s="33">
        <f>IF(A2102="","",MONTH(A2102))</f>
        <v/>
      </c>
      <c r="I2102" s="33">
        <f>IF(A2102="","",YEAR(A2102))</f>
        <v/>
      </c>
    </row>
    <row r="2103" ht="15" customHeight="1" s="21">
      <c r="A2103" s="34" t="n"/>
      <c r="B2103" s="30" t="n"/>
      <c r="C2103" s="30" t="n"/>
      <c r="D2103" s="30" t="n"/>
      <c r="E2103" s="33">
        <f>IF(B2103="","",IFERROR(INDEX(Productos!$B$2:$B$501,MATCH(B2103,Productos!$A$2:$A$501,0)),"¿Código?"))</f>
        <v/>
      </c>
      <c r="F2103" s="32">
        <f>IF(C2103&lt;&gt;"Venta","",D2103*IFERROR(INDEX(Productos!$D$2:$D$501,MATCH(B2103,Productos!$A$2:$A$501,0)),0))</f>
        <v/>
      </c>
      <c r="G2103" s="32">
        <f>IF(C2103&lt;&gt;"Venta","",D2103*IFERROR(INDEX(Productos!$E$2:$E$501,MATCH(B2103,Productos!$A$2:$A$501,0)),0))</f>
        <v/>
      </c>
      <c r="H2103" s="33">
        <f>IF(A2103="","",MONTH(A2103))</f>
        <v/>
      </c>
      <c r="I2103" s="33">
        <f>IF(A2103="","",YEAR(A2103))</f>
        <v/>
      </c>
    </row>
    <row r="2104" ht="15" customHeight="1" s="21">
      <c r="A2104" s="34" t="n"/>
      <c r="B2104" s="30" t="n"/>
      <c r="C2104" s="30" t="n"/>
      <c r="D2104" s="30" t="n"/>
      <c r="E2104" s="33">
        <f>IF(B2104="","",IFERROR(INDEX(Productos!$B$2:$B$501,MATCH(B2104,Productos!$A$2:$A$501,0)),"¿Código?"))</f>
        <v/>
      </c>
      <c r="F2104" s="32">
        <f>IF(C2104&lt;&gt;"Venta","",D2104*IFERROR(INDEX(Productos!$D$2:$D$501,MATCH(B2104,Productos!$A$2:$A$501,0)),0))</f>
        <v/>
      </c>
      <c r="G2104" s="32">
        <f>IF(C2104&lt;&gt;"Venta","",D2104*IFERROR(INDEX(Productos!$E$2:$E$501,MATCH(B2104,Productos!$A$2:$A$501,0)),0))</f>
        <v/>
      </c>
      <c r="H2104" s="33">
        <f>IF(A2104="","",MONTH(A2104))</f>
        <v/>
      </c>
      <c r="I2104" s="33">
        <f>IF(A2104="","",YEAR(A2104))</f>
        <v/>
      </c>
    </row>
    <row r="2105" ht="15" customHeight="1" s="21">
      <c r="A2105" s="34" t="n"/>
      <c r="B2105" s="30" t="n"/>
      <c r="C2105" s="30" t="n"/>
      <c r="D2105" s="30" t="n"/>
      <c r="E2105" s="33">
        <f>IF(B2105="","",IFERROR(INDEX(Productos!$B$2:$B$501,MATCH(B2105,Productos!$A$2:$A$501,0)),"¿Código?"))</f>
        <v/>
      </c>
      <c r="F2105" s="32">
        <f>IF(C2105&lt;&gt;"Venta","",D2105*IFERROR(INDEX(Productos!$D$2:$D$501,MATCH(B2105,Productos!$A$2:$A$501,0)),0))</f>
        <v/>
      </c>
      <c r="G2105" s="32">
        <f>IF(C2105&lt;&gt;"Venta","",D2105*IFERROR(INDEX(Productos!$E$2:$E$501,MATCH(B2105,Productos!$A$2:$A$501,0)),0))</f>
        <v/>
      </c>
      <c r="H2105" s="33">
        <f>IF(A2105="","",MONTH(A2105))</f>
        <v/>
      </c>
      <c r="I2105" s="33">
        <f>IF(A2105="","",YEAR(A2105))</f>
        <v/>
      </c>
    </row>
    <row r="2106" ht="15" customHeight="1" s="21">
      <c r="A2106" s="34" t="n"/>
      <c r="B2106" s="30" t="n"/>
      <c r="C2106" s="30" t="n"/>
      <c r="D2106" s="30" t="n"/>
      <c r="E2106" s="33">
        <f>IF(B2106="","",IFERROR(INDEX(Productos!$B$2:$B$501,MATCH(B2106,Productos!$A$2:$A$501,0)),"¿Código?"))</f>
        <v/>
      </c>
      <c r="F2106" s="32">
        <f>IF(C2106&lt;&gt;"Venta","",D2106*IFERROR(INDEX(Productos!$D$2:$D$501,MATCH(B2106,Productos!$A$2:$A$501,0)),0))</f>
        <v/>
      </c>
      <c r="G2106" s="32">
        <f>IF(C2106&lt;&gt;"Venta","",D2106*IFERROR(INDEX(Productos!$E$2:$E$501,MATCH(B2106,Productos!$A$2:$A$501,0)),0))</f>
        <v/>
      </c>
      <c r="H2106" s="33">
        <f>IF(A2106="","",MONTH(A2106))</f>
        <v/>
      </c>
      <c r="I2106" s="33">
        <f>IF(A2106="","",YEAR(A2106))</f>
        <v/>
      </c>
    </row>
    <row r="2107" ht="15" customHeight="1" s="21">
      <c r="A2107" s="34" t="n"/>
      <c r="B2107" s="30" t="n"/>
      <c r="C2107" s="30" t="n"/>
      <c r="D2107" s="30" t="n"/>
      <c r="E2107" s="33">
        <f>IF(B2107="","",IFERROR(INDEX(Productos!$B$2:$B$501,MATCH(B2107,Productos!$A$2:$A$501,0)),"¿Código?"))</f>
        <v/>
      </c>
      <c r="F2107" s="32">
        <f>IF(C2107&lt;&gt;"Venta","",D2107*IFERROR(INDEX(Productos!$D$2:$D$501,MATCH(B2107,Productos!$A$2:$A$501,0)),0))</f>
        <v/>
      </c>
      <c r="G2107" s="32">
        <f>IF(C2107&lt;&gt;"Venta","",D2107*IFERROR(INDEX(Productos!$E$2:$E$501,MATCH(B2107,Productos!$A$2:$A$501,0)),0))</f>
        <v/>
      </c>
      <c r="H2107" s="33">
        <f>IF(A2107="","",MONTH(A2107))</f>
        <v/>
      </c>
      <c r="I2107" s="33">
        <f>IF(A2107="","",YEAR(A2107))</f>
        <v/>
      </c>
    </row>
    <row r="2108" ht="15" customHeight="1" s="21">
      <c r="A2108" s="34" t="n"/>
      <c r="B2108" s="30" t="n"/>
      <c r="C2108" s="30" t="n"/>
      <c r="D2108" s="30" t="n"/>
      <c r="E2108" s="33">
        <f>IF(B2108="","",IFERROR(INDEX(Productos!$B$2:$B$501,MATCH(B2108,Productos!$A$2:$A$501,0)),"¿Código?"))</f>
        <v/>
      </c>
      <c r="F2108" s="32">
        <f>IF(C2108&lt;&gt;"Venta","",D2108*IFERROR(INDEX(Productos!$D$2:$D$501,MATCH(B2108,Productos!$A$2:$A$501,0)),0))</f>
        <v/>
      </c>
      <c r="G2108" s="32">
        <f>IF(C2108&lt;&gt;"Venta","",D2108*IFERROR(INDEX(Productos!$E$2:$E$501,MATCH(B2108,Productos!$A$2:$A$501,0)),0))</f>
        <v/>
      </c>
      <c r="H2108" s="33">
        <f>IF(A2108="","",MONTH(A2108))</f>
        <v/>
      </c>
      <c r="I2108" s="33">
        <f>IF(A2108="","",YEAR(A2108))</f>
        <v/>
      </c>
    </row>
    <row r="2109" ht="15" customHeight="1" s="21">
      <c r="A2109" s="34" t="n"/>
      <c r="B2109" s="30" t="n"/>
      <c r="C2109" s="30" t="n"/>
      <c r="D2109" s="30" t="n"/>
      <c r="E2109" s="33">
        <f>IF(B2109="","",IFERROR(INDEX(Productos!$B$2:$B$501,MATCH(B2109,Productos!$A$2:$A$501,0)),"¿Código?"))</f>
        <v/>
      </c>
      <c r="F2109" s="32">
        <f>IF(C2109&lt;&gt;"Venta","",D2109*IFERROR(INDEX(Productos!$D$2:$D$501,MATCH(B2109,Productos!$A$2:$A$501,0)),0))</f>
        <v/>
      </c>
      <c r="G2109" s="32">
        <f>IF(C2109&lt;&gt;"Venta","",D2109*IFERROR(INDEX(Productos!$E$2:$E$501,MATCH(B2109,Productos!$A$2:$A$501,0)),0))</f>
        <v/>
      </c>
      <c r="H2109" s="33">
        <f>IF(A2109="","",MONTH(A2109))</f>
        <v/>
      </c>
      <c r="I2109" s="33">
        <f>IF(A2109="","",YEAR(A2109))</f>
        <v/>
      </c>
    </row>
    <row r="2110" ht="15" customHeight="1" s="21">
      <c r="A2110" s="34" t="n"/>
      <c r="B2110" s="30" t="n"/>
      <c r="C2110" s="30" t="n"/>
      <c r="D2110" s="30" t="n"/>
      <c r="E2110" s="33">
        <f>IF(B2110="","",IFERROR(INDEX(Productos!$B$2:$B$501,MATCH(B2110,Productos!$A$2:$A$501,0)),"¿Código?"))</f>
        <v/>
      </c>
      <c r="F2110" s="32">
        <f>IF(C2110&lt;&gt;"Venta","",D2110*IFERROR(INDEX(Productos!$D$2:$D$501,MATCH(B2110,Productos!$A$2:$A$501,0)),0))</f>
        <v/>
      </c>
      <c r="G2110" s="32">
        <f>IF(C2110&lt;&gt;"Venta","",D2110*IFERROR(INDEX(Productos!$E$2:$E$501,MATCH(B2110,Productos!$A$2:$A$501,0)),0))</f>
        <v/>
      </c>
      <c r="H2110" s="33">
        <f>IF(A2110="","",MONTH(A2110))</f>
        <v/>
      </c>
      <c r="I2110" s="33">
        <f>IF(A2110="","",YEAR(A2110))</f>
        <v/>
      </c>
    </row>
    <row r="2111" ht="15" customHeight="1" s="21">
      <c r="A2111" s="34" t="n"/>
      <c r="B2111" s="30" t="n"/>
      <c r="C2111" s="30" t="n"/>
      <c r="D2111" s="30" t="n"/>
      <c r="E2111" s="33">
        <f>IF(B2111="","",IFERROR(INDEX(Productos!$B$2:$B$501,MATCH(B2111,Productos!$A$2:$A$501,0)),"¿Código?"))</f>
        <v/>
      </c>
      <c r="F2111" s="32">
        <f>IF(C2111&lt;&gt;"Venta","",D2111*IFERROR(INDEX(Productos!$D$2:$D$501,MATCH(B2111,Productos!$A$2:$A$501,0)),0))</f>
        <v/>
      </c>
      <c r="G2111" s="32">
        <f>IF(C2111&lt;&gt;"Venta","",D2111*IFERROR(INDEX(Productos!$E$2:$E$501,MATCH(B2111,Productos!$A$2:$A$501,0)),0))</f>
        <v/>
      </c>
      <c r="H2111" s="33">
        <f>IF(A2111="","",MONTH(A2111))</f>
        <v/>
      </c>
      <c r="I2111" s="33">
        <f>IF(A2111="","",YEAR(A2111))</f>
        <v/>
      </c>
    </row>
    <row r="2112" ht="15" customHeight="1" s="21">
      <c r="A2112" s="34" t="n"/>
      <c r="B2112" s="30" t="n"/>
      <c r="C2112" s="30" t="n"/>
      <c r="D2112" s="30" t="n"/>
      <c r="E2112" s="33">
        <f>IF(B2112="","",IFERROR(INDEX(Productos!$B$2:$B$501,MATCH(B2112,Productos!$A$2:$A$501,0)),"¿Código?"))</f>
        <v/>
      </c>
      <c r="F2112" s="32">
        <f>IF(C2112&lt;&gt;"Venta","",D2112*IFERROR(INDEX(Productos!$D$2:$D$501,MATCH(B2112,Productos!$A$2:$A$501,0)),0))</f>
        <v/>
      </c>
      <c r="G2112" s="32">
        <f>IF(C2112&lt;&gt;"Venta","",D2112*IFERROR(INDEX(Productos!$E$2:$E$501,MATCH(B2112,Productos!$A$2:$A$501,0)),0))</f>
        <v/>
      </c>
      <c r="H2112" s="33">
        <f>IF(A2112="","",MONTH(A2112))</f>
        <v/>
      </c>
      <c r="I2112" s="33">
        <f>IF(A2112="","",YEAR(A2112))</f>
        <v/>
      </c>
    </row>
    <row r="2113" ht="15" customHeight="1" s="21">
      <c r="A2113" s="34" t="n"/>
      <c r="B2113" s="30" t="n"/>
      <c r="C2113" s="30" t="n"/>
      <c r="D2113" s="30" t="n"/>
      <c r="E2113" s="33">
        <f>IF(B2113="","",IFERROR(INDEX(Productos!$B$2:$B$501,MATCH(B2113,Productos!$A$2:$A$501,0)),"¿Código?"))</f>
        <v/>
      </c>
      <c r="F2113" s="32">
        <f>IF(C2113&lt;&gt;"Venta","",D2113*IFERROR(INDEX(Productos!$D$2:$D$501,MATCH(B2113,Productos!$A$2:$A$501,0)),0))</f>
        <v/>
      </c>
      <c r="G2113" s="32">
        <f>IF(C2113&lt;&gt;"Venta","",D2113*IFERROR(INDEX(Productos!$E$2:$E$501,MATCH(B2113,Productos!$A$2:$A$501,0)),0))</f>
        <v/>
      </c>
      <c r="H2113" s="33">
        <f>IF(A2113="","",MONTH(A2113))</f>
        <v/>
      </c>
      <c r="I2113" s="33">
        <f>IF(A2113="","",YEAR(A2113))</f>
        <v/>
      </c>
    </row>
    <row r="2114" ht="15" customHeight="1" s="21">
      <c r="A2114" s="34" t="n"/>
      <c r="B2114" s="30" t="n"/>
      <c r="C2114" s="30" t="n"/>
      <c r="D2114" s="30" t="n"/>
      <c r="E2114" s="33">
        <f>IF(B2114="","",IFERROR(INDEX(Productos!$B$2:$B$501,MATCH(B2114,Productos!$A$2:$A$501,0)),"¿Código?"))</f>
        <v/>
      </c>
      <c r="F2114" s="32">
        <f>IF(C2114&lt;&gt;"Venta","",D2114*IFERROR(INDEX(Productos!$D$2:$D$501,MATCH(B2114,Productos!$A$2:$A$501,0)),0))</f>
        <v/>
      </c>
      <c r="G2114" s="32">
        <f>IF(C2114&lt;&gt;"Venta","",D2114*IFERROR(INDEX(Productos!$E$2:$E$501,MATCH(B2114,Productos!$A$2:$A$501,0)),0))</f>
        <v/>
      </c>
      <c r="H2114" s="33">
        <f>IF(A2114="","",MONTH(A2114))</f>
        <v/>
      </c>
      <c r="I2114" s="33">
        <f>IF(A2114="","",YEAR(A2114))</f>
        <v/>
      </c>
    </row>
    <row r="2115" ht="15" customHeight="1" s="21">
      <c r="A2115" s="34" t="n"/>
      <c r="B2115" s="30" t="n"/>
      <c r="C2115" s="30" t="n"/>
      <c r="D2115" s="30" t="n"/>
      <c r="E2115" s="33">
        <f>IF(B2115="","",IFERROR(INDEX(Productos!$B$2:$B$501,MATCH(B2115,Productos!$A$2:$A$501,0)),"¿Código?"))</f>
        <v/>
      </c>
      <c r="F2115" s="32">
        <f>IF(C2115&lt;&gt;"Venta","",D2115*IFERROR(INDEX(Productos!$D$2:$D$501,MATCH(B2115,Productos!$A$2:$A$501,0)),0))</f>
        <v/>
      </c>
      <c r="G2115" s="32">
        <f>IF(C2115&lt;&gt;"Venta","",D2115*IFERROR(INDEX(Productos!$E$2:$E$501,MATCH(B2115,Productos!$A$2:$A$501,0)),0))</f>
        <v/>
      </c>
      <c r="H2115" s="33">
        <f>IF(A2115="","",MONTH(A2115))</f>
        <v/>
      </c>
      <c r="I2115" s="33">
        <f>IF(A2115="","",YEAR(A2115))</f>
        <v/>
      </c>
    </row>
    <row r="2116" ht="15" customHeight="1" s="21">
      <c r="A2116" s="34" t="n"/>
      <c r="B2116" s="30" t="n"/>
      <c r="C2116" s="30" t="n"/>
      <c r="D2116" s="30" t="n"/>
      <c r="E2116" s="33">
        <f>IF(B2116="","",IFERROR(INDEX(Productos!$B$2:$B$501,MATCH(B2116,Productos!$A$2:$A$501,0)),"¿Código?"))</f>
        <v/>
      </c>
      <c r="F2116" s="32">
        <f>IF(C2116&lt;&gt;"Venta","",D2116*IFERROR(INDEX(Productos!$D$2:$D$501,MATCH(B2116,Productos!$A$2:$A$501,0)),0))</f>
        <v/>
      </c>
      <c r="G2116" s="32">
        <f>IF(C2116&lt;&gt;"Venta","",D2116*IFERROR(INDEX(Productos!$E$2:$E$501,MATCH(B2116,Productos!$A$2:$A$501,0)),0))</f>
        <v/>
      </c>
      <c r="H2116" s="33">
        <f>IF(A2116="","",MONTH(A2116))</f>
        <v/>
      </c>
      <c r="I2116" s="33">
        <f>IF(A2116="","",YEAR(A2116))</f>
        <v/>
      </c>
    </row>
    <row r="2117" ht="15" customHeight="1" s="21">
      <c r="A2117" s="34" t="n"/>
      <c r="B2117" s="30" t="n"/>
      <c r="C2117" s="30" t="n"/>
      <c r="D2117" s="30" t="n"/>
      <c r="E2117" s="33">
        <f>IF(B2117="","",IFERROR(INDEX(Productos!$B$2:$B$501,MATCH(B2117,Productos!$A$2:$A$501,0)),"¿Código?"))</f>
        <v/>
      </c>
      <c r="F2117" s="32">
        <f>IF(C2117&lt;&gt;"Venta","",D2117*IFERROR(INDEX(Productos!$D$2:$D$501,MATCH(B2117,Productos!$A$2:$A$501,0)),0))</f>
        <v/>
      </c>
      <c r="G2117" s="32">
        <f>IF(C2117&lt;&gt;"Venta","",D2117*IFERROR(INDEX(Productos!$E$2:$E$501,MATCH(B2117,Productos!$A$2:$A$501,0)),0))</f>
        <v/>
      </c>
      <c r="H2117" s="33">
        <f>IF(A2117="","",MONTH(A2117))</f>
        <v/>
      </c>
      <c r="I2117" s="33">
        <f>IF(A2117="","",YEAR(A2117))</f>
        <v/>
      </c>
    </row>
    <row r="2118" ht="15" customHeight="1" s="21">
      <c r="A2118" s="34" t="n"/>
      <c r="B2118" s="30" t="n"/>
      <c r="C2118" s="30" t="n"/>
      <c r="D2118" s="30" t="n"/>
      <c r="E2118" s="33">
        <f>IF(B2118="","",IFERROR(INDEX(Productos!$B$2:$B$501,MATCH(B2118,Productos!$A$2:$A$501,0)),"¿Código?"))</f>
        <v/>
      </c>
      <c r="F2118" s="32">
        <f>IF(C2118&lt;&gt;"Venta","",D2118*IFERROR(INDEX(Productos!$D$2:$D$501,MATCH(B2118,Productos!$A$2:$A$501,0)),0))</f>
        <v/>
      </c>
      <c r="G2118" s="32">
        <f>IF(C2118&lt;&gt;"Venta","",D2118*IFERROR(INDEX(Productos!$E$2:$E$501,MATCH(B2118,Productos!$A$2:$A$501,0)),0))</f>
        <v/>
      </c>
      <c r="H2118" s="33">
        <f>IF(A2118="","",MONTH(A2118))</f>
        <v/>
      </c>
      <c r="I2118" s="33">
        <f>IF(A2118="","",YEAR(A2118))</f>
        <v/>
      </c>
    </row>
    <row r="2119" ht="15" customHeight="1" s="21">
      <c r="A2119" s="34" t="n"/>
      <c r="B2119" s="30" t="n"/>
      <c r="C2119" s="30" t="n"/>
      <c r="D2119" s="30" t="n"/>
      <c r="E2119" s="33">
        <f>IF(B2119="","",IFERROR(INDEX(Productos!$B$2:$B$501,MATCH(B2119,Productos!$A$2:$A$501,0)),"¿Código?"))</f>
        <v/>
      </c>
      <c r="F2119" s="32">
        <f>IF(C2119&lt;&gt;"Venta","",D2119*IFERROR(INDEX(Productos!$D$2:$D$501,MATCH(B2119,Productos!$A$2:$A$501,0)),0))</f>
        <v/>
      </c>
      <c r="G2119" s="32">
        <f>IF(C2119&lt;&gt;"Venta","",D2119*IFERROR(INDEX(Productos!$E$2:$E$501,MATCH(B2119,Productos!$A$2:$A$501,0)),0))</f>
        <v/>
      </c>
      <c r="H2119" s="33">
        <f>IF(A2119="","",MONTH(A2119))</f>
        <v/>
      </c>
      <c r="I2119" s="33">
        <f>IF(A2119="","",YEAR(A2119))</f>
        <v/>
      </c>
    </row>
    <row r="2120" ht="15" customHeight="1" s="21">
      <c r="A2120" s="34" t="n"/>
      <c r="B2120" s="30" t="n"/>
      <c r="C2120" s="30" t="n"/>
      <c r="D2120" s="30" t="n"/>
      <c r="E2120" s="33">
        <f>IF(B2120="","",IFERROR(INDEX(Productos!$B$2:$B$501,MATCH(B2120,Productos!$A$2:$A$501,0)),"¿Código?"))</f>
        <v/>
      </c>
      <c r="F2120" s="32">
        <f>IF(C2120&lt;&gt;"Venta","",D2120*IFERROR(INDEX(Productos!$D$2:$D$501,MATCH(B2120,Productos!$A$2:$A$501,0)),0))</f>
        <v/>
      </c>
      <c r="G2120" s="32">
        <f>IF(C2120&lt;&gt;"Venta","",D2120*IFERROR(INDEX(Productos!$E$2:$E$501,MATCH(B2120,Productos!$A$2:$A$501,0)),0))</f>
        <v/>
      </c>
      <c r="H2120" s="33">
        <f>IF(A2120="","",MONTH(A2120))</f>
        <v/>
      </c>
      <c r="I2120" s="33">
        <f>IF(A2120="","",YEAR(A2120))</f>
        <v/>
      </c>
    </row>
    <row r="2121" ht="15" customHeight="1" s="21">
      <c r="A2121" s="34" t="n"/>
      <c r="B2121" s="30" t="n"/>
      <c r="C2121" s="30" t="n"/>
      <c r="D2121" s="30" t="n"/>
      <c r="E2121" s="33">
        <f>IF(B2121="","",IFERROR(INDEX(Productos!$B$2:$B$501,MATCH(B2121,Productos!$A$2:$A$501,0)),"¿Código?"))</f>
        <v/>
      </c>
      <c r="F2121" s="32">
        <f>IF(C2121&lt;&gt;"Venta","",D2121*IFERROR(INDEX(Productos!$D$2:$D$501,MATCH(B2121,Productos!$A$2:$A$501,0)),0))</f>
        <v/>
      </c>
      <c r="G2121" s="32">
        <f>IF(C2121&lt;&gt;"Venta","",D2121*IFERROR(INDEX(Productos!$E$2:$E$501,MATCH(B2121,Productos!$A$2:$A$501,0)),0))</f>
        <v/>
      </c>
      <c r="H2121" s="33">
        <f>IF(A2121="","",MONTH(A2121))</f>
        <v/>
      </c>
      <c r="I2121" s="33">
        <f>IF(A2121="","",YEAR(A2121))</f>
        <v/>
      </c>
    </row>
    <row r="2122" ht="15" customHeight="1" s="21">
      <c r="A2122" s="34" t="n"/>
      <c r="B2122" s="30" t="n"/>
      <c r="C2122" s="30" t="n"/>
      <c r="D2122" s="30" t="n"/>
      <c r="E2122" s="33">
        <f>IF(B2122="","",IFERROR(INDEX(Productos!$B$2:$B$501,MATCH(B2122,Productos!$A$2:$A$501,0)),"¿Código?"))</f>
        <v/>
      </c>
      <c r="F2122" s="32">
        <f>IF(C2122&lt;&gt;"Venta","",D2122*IFERROR(INDEX(Productos!$D$2:$D$501,MATCH(B2122,Productos!$A$2:$A$501,0)),0))</f>
        <v/>
      </c>
      <c r="G2122" s="32">
        <f>IF(C2122&lt;&gt;"Venta","",D2122*IFERROR(INDEX(Productos!$E$2:$E$501,MATCH(B2122,Productos!$A$2:$A$501,0)),0))</f>
        <v/>
      </c>
      <c r="H2122" s="33">
        <f>IF(A2122="","",MONTH(A2122))</f>
        <v/>
      </c>
      <c r="I2122" s="33">
        <f>IF(A2122="","",YEAR(A2122))</f>
        <v/>
      </c>
    </row>
    <row r="2123" ht="15" customHeight="1" s="21">
      <c r="A2123" s="34" t="n"/>
      <c r="B2123" s="30" t="n"/>
      <c r="C2123" s="30" t="n"/>
      <c r="D2123" s="30" t="n"/>
      <c r="E2123" s="33">
        <f>IF(B2123="","",IFERROR(INDEX(Productos!$B$2:$B$501,MATCH(B2123,Productos!$A$2:$A$501,0)),"¿Código?"))</f>
        <v/>
      </c>
      <c r="F2123" s="32">
        <f>IF(C2123&lt;&gt;"Venta","",D2123*IFERROR(INDEX(Productos!$D$2:$D$501,MATCH(B2123,Productos!$A$2:$A$501,0)),0))</f>
        <v/>
      </c>
      <c r="G2123" s="32">
        <f>IF(C2123&lt;&gt;"Venta","",D2123*IFERROR(INDEX(Productos!$E$2:$E$501,MATCH(B2123,Productos!$A$2:$A$501,0)),0))</f>
        <v/>
      </c>
      <c r="H2123" s="33">
        <f>IF(A2123="","",MONTH(A2123))</f>
        <v/>
      </c>
      <c r="I2123" s="33">
        <f>IF(A2123="","",YEAR(A2123))</f>
        <v/>
      </c>
    </row>
    <row r="2124" ht="15" customHeight="1" s="21">
      <c r="A2124" s="34" t="n"/>
      <c r="B2124" s="30" t="n"/>
      <c r="C2124" s="30" t="n"/>
      <c r="D2124" s="30" t="n"/>
      <c r="E2124" s="33">
        <f>IF(B2124="","",IFERROR(INDEX(Productos!$B$2:$B$501,MATCH(B2124,Productos!$A$2:$A$501,0)),"¿Código?"))</f>
        <v/>
      </c>
      <c r="F2124" s="32">
        <f>IF(C2124&lt;&gt;"Venta","",D2124*IFERROR(INDEX(Productos!$D$2:$D$501,MATCH(B2124,Productos!$A$2:$A$501,0)),0))</f>
        <v/>
      </c>
      <c r="G2124" s="32">
        <f>IF(C2124&lt;&gt;"Venta","",D2124*IFERROR(INDEX(Productos!$E$2:$E$501,MATCH(B2124,Productos!$A$2:$A$501,0)),0))</f>
        <v/>
      </c>
      <c r="H2124" s="33">
        <f>IF(A2124="","",MONTH(A2124))</f>
        <v/>
      </c>
      <c r="I2124" s="33">
        <f>IF(A2124="","",YEAR(A2124))</f>
        <v/>
      </c>
    </row>
    <row r="2125" ht="15" customHeight="1" s="21">
      <c r="A2125" s="34" t="n"/>
      <c r="B2125" s="30" t="n"/>
      <c r="C2125" s="30" t="n"/>
      <c r="D2125" s="30" t="n"/>
      <c r="E2125" s="33">
        <f>IF(B2125="","",IFERROR(INDEX(Productos!$B$2:$B$501,MATCH(B2125,Productos!$A$2:$A$501,0)),"¿Código?"))</f>
        <v/>
      </c>
      <c r="F2125" s="32">
        <f>IF(C2125&lt;&gt;"Venta","",D2125*IFERROR(INDEX(Productos!$D$2:$D$501,MATCH(B2125,Productos!$A$2:$A$501,0)),0))</f>
        <v/>
      </c>
      <c r="G2125" s="32">
        <f>IF(C2125&lt;&gt;"Venta","",D2125*IFERROR(INDEX(Productos!$E$2:$E$501,MATCH(B2125,Productos!$A$2:$A$501,0)),0))</f>
        <v/>
      </c>
      <c r="H2125" s="33">
        <f>IF(A2125="","",MONTH(A2125))</f>
        <v/>
      </c>
      <c r="I2125" s="33">
        <f>IF(A2125="","",YEAR(A2125))</f>
        <v/>
      </c>
    </row>
    <row r="2126" ht="15" customHeight="1" s="21">
      <c r="A2126" s="34" t="n"/>
      <c r="B2126" s="30" t="n"/>
      <c r="C2126" s="30" t="n"/>
      <c r="D2126" s="30" t="n"/>
      <c r="E2126" s="33">
        <f>IF(B2126="","",IFERROR(INDEX(Productos!$B$2:$B$501,MATCH(B2126,Productos!$A$2:$A$501,0)),"¿Código?"))</f>
        <v/>
      </c>
      <c r="F2126" s="32">
        <f>IF(C2126&lt;&gt;"Venta","",D2126*IFERROR(INDEX(Productos!$D$2:$D$501,MATCH(B2126,Productos!$A$2:$A$501,0)),0))</f>
        <v/>
      </c>
      <c r="G2126" s="32">
        <f>IF(C2126&lt;&gt;"Venta","",D2126*IFERROR(INDEX(Productos!$E$2:$E$501,MATCH(B2126,Productos!$A$2:$A$501,0)),0))</f>
        <v/>
      </c>
      <c r="H2126" s="33">
        <f>IF(A2126="","",MONTH(A2126))</f>
        <v/>
      </c>
      <c r="I2126" s="33">
        <f>IF(A2126="","",YEAR(A2126))</f>
        <v/>
      </c>
    </row>
    <row r="2127" ht="15" customHeight="1" s="21">
      <c r="A2127" s="34" t="n"/>
      <c r="B2127" s="30" t="n"/>
      <c r="C2127" s="30" t="n"/>
      <c r="D2127" s="30" t="n"/>
      <c r="E2127" s="33">
        <f>IF(B2127="","",IFERROR(INDEX(Productos!$B$2:$B$501,MATCH(B2127,Productos!$A$2:$A$501,0)),"¿Código?"))</f>
        <v/>
      </c>
      <c r="F2127" s="32">
        <f>IF(C2127&lt;&gt;"Venta","",D2127*IFERROR(INDEX(Productos!$D$2:$D$501,MATCH(B2127,Productos!$A$2:$A$501,0)),0))</f>
        <v/>
      </c>
      <c r="G2127" s="32">
        <f>IF(C2127&lt;&gt;"Venta","",D2127*IFERROR(INDEX(Productos!$E$2:$E$501,MATCH(B2127,Productos!$A$2:$A$501,0)),0))</f>
        <v/>
      </c>
      <c r="H2127" s="33">
        <f>IF(A2127="","",MONTH(A2127))</f>
        <v/>
      </c>
      <c r="I2127" s="33">
        <f>IF(A2127="","",YEAR(A2127))</f>
        <v/>
      </c>
    </row>
    <row r="2128" ht="15" customHeight="1" s="21">
      <c r="A2128" s="34" t="n"/>
      <c r="B2128" s="30" t="n"/>
      <c r="C2128" s="30" t="n"/>
      <c r="D2128" s="30" t="n"/>
      <c r="E2128" s="33">
        <f>IF(B2128="","",IFERROR(INDEX(Productos!$B$2:$B$501,MATCH(B2128,Productos!$A$2:$A$501,0)),"¿Código?"))</f>
        <v/>
      </c>
      <c r="F2128" s="32">
        <f>IF(C2128&lt;&gt;"Venta","",D2128*IFERROR(INDEX(Productos!$D$2:$D$501,MATCH(B2128,Productos!$A$2:$A$501,0)),0))</f>
        <v/>
      </c>
      <c r="G2128" s="32">
        <f>IF(C2128&lt;&gt;"Venta","",D2128*IFERROR(INDEX(Productos!$E$2:$E$501,MATCH(B2128,Productos!$A$2:$A$501,0)),0))</f>
        <v/>
      </c>
      <c r="H2128" s="33">
        <f>IF(A2128="","",MONTH(A2128))</f>
        <v/>
      </c>
      <c r="I2128" s="33">
        <f>IF(A2128="","",YEAR(A2128))</f>
        <v/>
      </c>
    </row>
    <row r="2129" ht="15" customHeight="1" s="21">
      <c r="A2129" s="34" t="n"/>
      <c r="B2129" s="30" t="n"/>
      <c r="C2129" s="30" t="n"/>
      <c r="D2129" s="30" t="n"/>
      <c r="E2129" s="33">
        <f>IF(B2129="","",IFERROR(INDEX(Productos!$B$2:$B$501,MATCH(B2129,Productos!$A$2:$A$501,0)),"¿Código?"))</f>
        <v/>
      </c>
      <c r="F2129" s="32">
        <f>IF(C2129&lt;&gt;"Venta","",D2129*IFERROR(INDEX(Productos!$D$2:$D$501,MATCH(B2129,Productos!$A$2:$A$501,0)),0))</f>
        <v/>
      </c>
      <c r="G2129" s="32">
        <f>IF(C2129&lt;&gt;"Venta","",D2129*IFERROR(INDEX(Productos!$E$2:$E$501,MATCH(B2129,Productos!$A$2:$A$501,0)),0))</f>
        <v/>
      </c>
      <c r="H2129" s="33">
        <f>IF(A2129="","",MONTH(A2129))</f>
        <v/>
      </c>
      <c r="I2129" s="33">
        <f>IF(A2129="","",YEAR(A2129))</f>
        <v/>
      </c>
    </row>
    <row r="2130" ht="15" customHeight="1" s="21">
      <c r="A2130" s="34" t="n"/>
      <c r="B2130" s="30" t="n"/>
      <c r="C2130" s="30" t="n"/>
      <c r="D2130" s="30" t="n"/>
      <c r="E2130" s="33">
        <f>IF(B2130="","",IFERROR(INDEX(Productos!$B$2:$B$501,MATCH(B2130,Productos!$A$2:$A$501,0)),"¿Código?"))</f>
        <v/>
      </c>
      <c r="F2130" s="32">
        <f>IF(C2130&lt;&gt;"Venta","",D2130*IFERROR(INDEX(Productos!$D$2:$D$501,MATCH(B2130,Productos!$A$2:$A$501,0)),0))</f>
        <v/>
      </c>
      <c r="G2130" s="32">
        <f>IF(C2130&lt;&gt;"Venta","",D2130*IFERROR(INDEX(Productos!$E$2:$E$501,MATCH(B2130,Productos!$A$2:$A$501,0)),0))</f>
        <v/>
      </c>
      <c r="H2130" s="33">
        <f>IF(A2130="","",MONTH(A2130))</f>
        <v/>
      </c>
      <c r="I2130" s="33">
        <f>IF(A2130="","",YEAR(A2130))</f>
        <v/>
      </c>
    </row>
    <row r="2131" ht="15" customHeight="1" s="21">
      <c r="A2131" s="34" t="n"/>
      <c r="B2131" s="30" t="n"/>
      <c r="C2131" s="30" t="n"/>
      <c r="D2131" s="30" t="n"/>
      <c r="E2131" s="33">
        <f>IF(B2131="","",IFERROR(INDEX(Productos!$B$2:$B$501,MATCH(B2131,Productos!$A$2:$A$501,0)),"¿Código?"))</f>
        <v/>
      </c>
      <c r="F2131" s="32">
        <f>IF(C2131&lt;&gt;"Venta","",D2131*IFERROR(INDEX(Productos!$D$2:$D$501,MATCH(B2131,Productos!$A$2:$A$501,0)),0))</f>
        <v/>
      </c>
      <c r="G2131" s="32">
        <f>IF(C2131&lt;&gt;"Venta","",D2131*IFERROR(INDEX(Productos!$E$2:$E$501,MATCH(B2131,Productos!$A$2:$A$501,0)),0))</f>
        <v/>
      </c>
      <c r="H2131" s="33">
        <f>IF(A2131="","",MONTH(A2131))</f>
        <v/>
      </c>
      <c r="I2131" s="33">
        <f>IF(A2131="","",YEAR(A2131))</f>
        <v/>
      </c>
    </row>
    <row r="2132" ht="15" customHeight="1" s="21">
      <c r="A2132" s="34" t="n"/>
      <c r="B2132" s="30" t="n"/>
      <c r="C2132" s="30" t="n"/>
      <c r="D2132" s="30" t="n"/>
      <c r="E2132" s="33">
        <f>IF(B2132="","",IFERROR(INDEX(Productos!$B$2:$B$501,MATCH(B2132,Productos!$A$2:$A$501,0)),"¿Código?"))</f>
        <v/>
      </c>
      <c r="F2132" s="32">
        <f>IF(C2132&lt;&gt;"Venta","",D2132*IFERROR(INDEX(Productos!$D$2:$D$501,MATCH(B2132,Productos!$A$2:$A$501,0)),0))</f>
        <v/>
      </c>
      <c r="G2132" s="32">
        <f>IF(C2132&lt;&gt;"Venta","",D2132*IFERROR(INDEX(Productos!$E$2:$E$501,MATCH(B2132,Productos!$A$2:$A$501,0)),0))</f>
        <v/>
      </c>
      <c r="H2132" s="33">
        <f>IF(A2132="","",MONTH(A2132))</f>
        <v/>
      </c>
      <c r="I2132" s="33">
        <f>IF(A2132="","",YEAR(A2132))</f>
        <v/>
      </c>
    </row>
    <row r="2133" ht="15" customHeight="1" s="21">
      <c r="A2133" s="34" t="n"/>
      <c r="B2133" s="30" t="n"/>
      <c r="C2133" s="30" t="n"/>
      <c r="D2133" s="30" t="n"/>
      <c r="E2133" s="33">
        <f>IF(B2133="","",IFERROR(INDEX(Productos!$B$2:$B$501,MATCH(B2133,Productos!$A$2:$A$501,0)),"¿Código?"))</f>
        <v/>
      </c>
      <c r="F2133" s="32">
        <f>IF(C2133&lt;&gt;"Venta","",D2133*IFERROR(INDEX(Productos!$D$2:$D$501,MATCH(B2133,Productos!$A$2:$A$501,0)),0))</f>
        <v/>
      </c>
      <c r="G2133" s="32">
        <f>IF(C2133&lt;&gt;"Venta","",D2133*IFERROR(INDEX(Productos!$E$2:$E$501,MATCH(B2133,Productos!$A$2:$A$501,0)),0))</f>
        <v/>
      </c>
      <c r="H2133" s="33">
        <f>IF(A2133="","",MONTH(A2133))</f>
        <v/>
      </c>
      <c r="I2133" s="33">
        <f>IF(A2133="","",YEAR(A2133))</f>
        <v/>
      </c>
    </row>
    <row r="2134" ht="15" customHeight="1" s="21">
      <c r="A2134" s="34" t="n"/>
      <c r="B2134" s="30" t="n"/>
      <c r="C2134" s="30" t="n"/>
      <c r="D2134" s="30" t="n"/>
      <c r="E2134" s="33">
        <f>IF(B2134="","",IFERROR(INDEX(Productos!$B$2:$B$501,MATCH(B2134,Productos!$A$2:$A$501,0)),"¿Código?"))</f>
        <v/>
      </c>
      <c r="F2134" s="32">
        <f>IF(C2134&lt;&gt;"Venta","",D2134*IFERROR(INDEX(Productos!$D$2:$D$501,MATCH(B2134,Productos!$A$2:$A$501,0)),0))</f>
        <v/>
      </c>
      <c r="G2134" s="32">
        <f>IF(C2134&lt;&gt;"Venta","",D2134*IFERROR(INDEX(Productos!$E$2:$E$501,MATCH(B2134,Productos!$A$2:$A$501,0)),0))</f>
        <v/>
      </c>
      <c r="H2134" s="33">
        <f>IF(A2134="","",MONTH(A2134))</f>
        <v/>
      </c>
      <c r="I2134" s="33">
        <f>IF(A2134="","",YEAR(A2134))</f>
        <v/>
      </c>
    </row>
    <row r="2135" ht="15" customHeight="1" s="21">
      <c r="A2135" s="34" t="n"/>
      <c r="B2135" s="30" t="n"/>
      <c r="C2135" s="30" t="n"/>
      <c r="D2135" s="30" t="n"/>
      <c r="E2135" s="33">
        <f>IF(B2135="","",IFERROR(INDEX(Productos!$B$2:$B$501,MATCH(B2135,Productos!$A$2:$A$501,0)),"¿Código?"))</f>
        <v/>
      </c>
      <c r="F2135" s="32">
        <f>IF(C2135&lt;&gt;"Venta","",D2135*IFERROR(INDEX(Productos!$D$2:$D$501,MATCH(B2135,Productos!$A$2:$A$501,0)),0))</f>
        <v/>
      </c>
      <c r="G2135" s="32">
        <f>IF(C2135&lt;&gt;"Venta","",D2135*IFERROR(INDEX(Productos!$E$2:$E$501,MATCH(B2135,Productos!$A$2:$A$501,0)),0))</f>
        <v/>
      </c>
      <c r="H2135" s="33">
        <f>IF(A2135="","",MONTH(A2135))</f>
        <v/>
      </c>
      <c r="I2135" s="33">
        <f>IF(A2135="","",YEAR(A2135))</f>
        <v/>
      </c>
    </row>
    <row r="2136" ht="15" customHeight="1" s="21">
      <c r="A2136" s="34" t="n"/>
      <c r="B2136" s="30" t="n"/>
      <c r="C2136" s="30" t="n"/>
      <c r="D2136" s="30" t="n"/>
      <c r="E2136" s="33">
        <f>IF(B2136="","",IFERROR(INDEX(Productos!$B$2:$B$501,MATCH(B2136,Productos!$A$2:$A$501,0)),"¿Código?"))</f>
        <v/>
      </c>
      <c r="F2136" s="32">
        <f>IF(C2136&lt;&gt;"Venta","",D2136*IFERROR(INDEX(Productos!$D$2:$D$501,MATCH(B2136,Productos!$A$2:$A$501,0)),0))</f>
        <v/>
      </c>
      <c r="G2136" s="32">
        <f>IF(C2136&lt;&gt;"Venta","",D2136*IFERROR(INDEX(Productos!$E$2:$E$501,MATCH(B2136,Productos!$A$2:$A$501,0)),0))</f>
        <v/>
      </c>
      <c r="H2136" s="33">
        <f>IF(A2136="","",MONTH(A2136))</f>
        <v/>
      </c>
      <c r="I2136" s="33">
        <f>IF(A2136="","",YEAR(A2136))</f>
        <v/>
      </c>
    </row>
    <row r="2137" ht="15" customHeight="1" s="21">
      <c r="A2137" s="34" t="n"/>
      <c r="B2137" s="30" t="n"/>
      <c r="C2137" s="30" t="n"/>
      <c r="D2137" s="30" t="n"/>
      <c r="E2137" s="33">
        <f>IF(B2137="","",IFERROR(INDEX(Productos!$B$2:$B$501,MATCH(B2137,Productos!$A$2:$A$501,0)),"¿Código?"))</f>
        <v/>
      </c>
      <c r="F2137" s="32">
        <f>IF(C2137&lt;&gt;"Venta","",D2137*IFERROR(INDEX(Productos!$D$2:$D$501,MATCH(B2137,Productos!$A$2:$A$501,0)),0))</f>
        <v/>
      </c>
      <c r="G2137" s="32">
        <f>IF(C2137&lt;&gt;"Venta","",D2137*IFERROR(INDEX(Productos!$E$2:$E$501,MATCH(B2137,Productos!$A$2:$A$501,0)),0))</f>
        <v/>
      </c>
      <c r="H2137" s="33">
        <f>IF(A2137="","",MONTH(A2137))</f>
        <v/>
      </c>
      <c r="I2137" s="33">
        <f>IF(A2137="","",YEAR(A2137))</f>
        <v/>
      </c>
    </row>
    <row r="2138" ht="15" customHeight="1" s="21">
      <c r="A2138" s="34" t="n"/>
      <c r="B2138" s="30" t="n"/>
      <c r="C2138" s="30" t="n"/>
      <c r="D2138" s="30" t="n"/>
      <c r="E2138" s="33">
        <f>IF(B2138="","",IFERROR(INDEX(Productos!$B$2:$B$501,MATCH(B2138,Productos!$A$2:$A$501,0)),"¿Código?"))</f>
        <v/>
      </c>
      <c r="F2138" s="32">
        <f>IF(C2138&lt;&gt;"Venta","",D2138*IFERROR(INDEX(Productos!$D$2:$D$501,MATCH(B2138,Productos!$A$2:$A$501,0)),0))</f>
        <v/>
      </c>
      <c r="G2138" s="32">
        <f>IF(C2138&lt;&gt;"Venta","",D2138*IFERROR(INDEX(Productos!$E$2:$E$501,MATCH(B2138,Productos!$A$2:$A$501,0)),0))</f>
        <v/>
      </c>
      <c r="H2138" s="33">
        <f>IF(A2138="","",MONTH(A2138))</f>
        <v/>
      </c>
      <c r="I2138" s="33">
        <f>IF(A2138="","",YEAR(A2138))</f>
        <v/>
      </c>
    </row>
    <row r="2139" ht="15" customHeight="1" s="21">
      <c r="A2139" s="34" t="n"/>
      <c r="B2139" s="30" t="n"/>
      <c r="C2139" s="30" t="n"/>
      <c r="D2139" s="30" t="n"/>
      <c r="E2139" s="33">
        <f>IF(B2139="","",IFERROR(INDEX(Productos!$B$2:$B$501,MATCH(B2139,Productos!$A$2:$A$501,0)),"¿Código?"))</f>
        <v/>
      </c>
      <c r="F2139" s="32">
        <f>IF(C2139&lt;&gt;"Venta","",D2139*IFERROR(INDEX(Productos!$D$2:$D$501,MATCH(B2139,Productos!$A$2:$A$501,0)),0))</f>
        <v/>
      </c>
      <c r="G2139" s="32">
        <f>IF(C2139&lt;&gt;"Venta","",D2139*IFERROR(INDEX(Productos!$E$2:$E$501,MATCH(B2139,Productos!$A$2:$A$501,0)),0))</f>
        <v/>
      </c>
      <c r="H2139" s="33">
        <f>IF(A2139="","",MONTH(A2139))</f>
        <v/>
      </c>
      <c r="I2139" s="33">
        <f>IF(A2139="","",YEAR(A2139))</f>
        <v/>
      </c>
    </row>
    <row r="2140" ht="15" customHeight="1" s="21">
      <c r="A2140" s="34" t="n"/>
      <c r="B2140" s="30" t="n"/>
      <c r="C2140" s="30" t="n"/>
      <c r="D2140" s="30" t="n"/>
      <c r="E2140" s="33">
        <f>IF(B2140="","",IFERROR(INDEX(Productos!$B$2:$B$501,MATCH(B2140,Productos!$A$2:$A$501,0)),"¿Código?"))</f>
        <v/>
      </c>
      <c r="F2140" s="32">
        <f>IF(C2140&lt;&gt;"Venta","",D2140*IFERROR(INDEX(Productos!$D$2:$D$501,MATCH(B2140,Productos!$A$2:$A$501,0)),0))</f>
        <v/>
      </c>
      <c r="G2140" s="32">
        <f>IF(C2140&lt;&gt;"Venta","",D2140*IFERROR(INDEX(Productos!$E$2:$E$501,MATCH(B2140,Productos!$A$2:$A$501,0)),0))</f>
        <v/>
      </c>
      <c r="H2140" s="33">
        <f>IF(A2140="","",MONTH(A2140))</f>
        <v/>
      </c>
      <c r="I2140" s="33">
        <f>IF(A2140="","",YEAR(A2140))</f>
        <v/>
      </c>
    </row>
    <row r="2141" ht="15" customHeight="1" s="21">
      <c r="A2141" s="34" t="n"/>
      <c r="B2141" s="30" t="n"/>
      <c r="C2141" s="30" t="n"/>
      <c r="D2141" s="30" t="n"/>
      <c r="E2141" s="33">
        <f>IF(B2141="","",IFERROR(INDEX(Productos!$B$2:$B$501,MATCH(B2141,Productos!$A$2:$A$501,0)),"¿Código?"))</f>
        <v/>
      </c>
      <c r="F2141" s="32">
        <f>IF(C2141&lt;&gt;"Venta","",D2141*IFERROR(INDEX(Productos!$D$2:$D$501,MATCH(B2141,Productos!$A$2:$A$501,0)),0))</f>
        <v/>
      </c>
      <c r="G2141" s="32">
        <f>IF(C2141&lt;&gt;"Venta","",D2141*IFERROR(INDEX(Productos!$E$2:$E$501,MATCH(B2141,Productos!$A$2:$A$501,0)),0))</f>
        <v/>
      </c>
      <c r="H2141" s="33">
        <f>IF(A2141="","",MONTH(A2141))</f>
        <v/>
      </c>
      <c r="I2141" s="33">
        <f>IF(A2141="","",YEAR(A2141))</f>
        <v/>
      </c>
    </row>
    <row r="2142" ht="15" customHeight="1" s="21">
      <c r="A2142" s="34" t="n"/>
      <c r="B2142" s="30" t="n"/>
      <c r="C2142" s="30" t="n"/>
      <c r="D2142" s="30" t="n"/>
      <c r="E2142" s="33">
        <f>IF(B2142="","",IFERROR(INDEX(Productos!$B$2:$B$501,MATCH(B2142,Productos!$A$2:$A$501,0)),"¿Código?"))</f>
        <v/>
      </c>
      <c r="F2142" s="32">
        <f>IF(C2142&lt;&gt;"Venta","",D2142*IFERROR(INDEX(Productos!$D$2:$D$501,MATCH(B2142,Productos!$A$2:$A$501,0)),0))</f>
        <v/>
      </c>
      <c r="G2142" s="32">
        <f>IF(C2142&lt;&gt;"Venta","",D2142*IFERROR(INDEX(Productos!$E$2:$E$501,MATCH(B2142,Productos!$A$2:$A$501,0)),0))</f>
        <v/>
      </c>
      <c r="H2142" s="33">
        <f>IF(A2142="","",MONTH(A2142))</f>
        <v/>
      </c>
      <c r="I2142" s="33">
        <f>IF(A2142="","",YEAR(A2142))</f>
        <v/>
      </c>
    </row>
    <row r="2143" ht="15" customHeight="1" s="21">
      <c r="A2143" s="34" t="n"/>
      <c r="B2143" s="30" t="n"/>
      <c r="C2143" s="30" t="n"/>
      <c r="D2143" s="30" t="n"/>
      <c r="E2143" s="33">
        <f>IF(B2143="","",IFERROR(INDEX(Productos!$B$2:$B$501,MATCH(B2143,Productos!$A$2:$A$501,0)),"¿Código?"))</f>
        <v/>
      </c>
      <c r="F2143" s="32">
        <f>IF(C2143&lt;&gt;"Venta","",D2143*IFERROR(INDEX(Productos!$D$2:$D$501,MATCH(B2143,Productos!$A$2:$A$501,0)),0))</f>
        <v/>
      </c>
      <c r="G2143" s="32">
        <f>IF(C2143&lt;&gt;"Venta","",D2143*IFERROR(INDEX(Productos!$E$2:$E$501,MATCH(B2143,Productos!$A$2:$A$501,0)),0))</f>
        <v/>
      </c>
      <c r="H2143" s="33">
        <f>IF(A2143="","",MONTH(A2143))</f>
        <v/>
      </c>
      <c r="I2143" s="33">
        <f>IF(A2143="","",YEAR(A2143))</f>
        <v/>
      </c>
    </row>
    <row r="2144" ht="15" customHeight="1" s="21">
      <c r="A2144" s="34" t="n"/>
      <c r="B2144" s="30" t="n"/>
      <c r="C2144" s="30" t="n"/>
      <c r="D2144" s="30" t="n"/>
      <c r="E2144" s="33">
        <f>IF(B2144="","",IFERROR(INDEX(Productos!$B$2:$B$501,MATCH(B2144,Productos!$A$2:$A$501,0)),"¿Código?"))</f>
        <v/>
      </c>
      <c r="F2144" s="32">
        <f>IF(C2144&lt;&gt;"Venta","",D2144*IFERROR(INDEX(Productos!$D$2:$D$501,MATCH(B2144,Productos!$A$2:$A$501,0)),0))</f>
        <v/>
      </c>
      <c r="G2144" s="32">
        <f>IF(C2144&lt;&gt;"Venta","",D2144*IFERROR(INDEX(Productos!$E$2:$E$501,MATCH(B2144,Productos!$A$2:$A$501,0)),0))</f>
        <v/>
      </c>
      <c r="H2144" s="33">
        <f>IF(A2144="","",MONTH(A2144))</f>
        <v/>
      </c>
      <c r="I2144" s="33">
        <f>IF(A2144="","",YEAR(A2144))</f>
        <v/>
      </c>
    </row>
    <row r="2145" ht="15" customHeight="1" s="21">
      <c r="A2145" s="34" t="n"/>
      <c r="B2145" s="30" t="n"/>
      <c r="C2145" s="30" t="n"/>
      <c r="D2145" s="30" t="n"/>
      <c r="E2145" s="33">
        <f>IF(B2145="","",IFERROR(INDEX(Productos!$B$2:$B$501,MATCH(B2145,Productos!$A$2:$A$501,0)),"¿Código?"))</f>
        <v/>
      </c>
      <c r="F2145" s="32">
        <f>IF(C2145&lt;&gt;"Venta","",D2145*IFERROR(INDEX(Productos!$D$2:$D$501,MATCH(B2145,Productos!$A$2:$A$501,0)),0))</f>
        <v/>
      </c>
      <c r="G2145" s="32">
        <f>IF(C2145&lt;&gt;"Venta","",D2145*IFERROR(INDEX(Productos!$E$2:$E$501,MATCH(B2145,Productos!$A$2:$A$501,0)),0))</f>
        <v/>
      </c>
      <c r="H2145" s="33">
        <f>IF(A2145="","",MONTH(A2145))</f>
        <v/>
      </c>
      <c r="I2145" s="33">
        <f>IF(A2145="","",YEAR(A2145))</f>
        <v/>
      </c>
    </row>
    <row r="2146" ht="15" customHeight="1" s="21">
      <c r="A2146" s="34" t="n"/>
      <c r="B2146" s="30" t="n"/>
      <c r="C2146" s="30" t="n"/>
      <c r="D2146" s="30" t="n"/>
      <c r="E2146" s="33">
        <f>IF(B2146="","",IFERROR(INDEX(Productos!$B$2:$B$501,MATCH(B2146,Productos!$A$2:$A$501,0)),"¿Código?"))</f>
        <v/>
      </c>
      <c r="F2146" s="32">
        <f>IF(C2146&lt;&gt;"Venta","",D2146*IFERROR(INDEX(Productos!$D$2:$D$501,MATCH(B2146,Productos!$A$2:$A$501,0)),0))</f>
        <v/>
      </c>
      <c r="G2146" s="32">
        <f>IF(C2146&lt;&gt;"Venta","",D2146*IFERROR(INDEX(Productos!$E$2:$E$501,MATCH(B2146,Productos!$A$2:$A$501,0)),0))</f>
        <v/>
      </c>
      <c r="H2146" s="33">
        <f>IF(A2146="","",MONTH(A2146))</f>
        <v/>
      </c>
      <c r="I2146" s="33">
        <f>IF(A2146="","",YEAR(A2146))</f>
        <v/>
      </c>
    </row>
    <row r="2147" ht="15" customHeight="1" s="21">
      <c r="A2147" s="34" t="n"/>
      <c r="B2147" s="30" t="n"/>
      <c r="C2147" s="30" t="n"/>
      <c r="D2147" s="30" t="n"/>
      <c r="E2147" s="33">
        <f>IF(B2147="","",IFERROR(INDEX(Productos!$B$2:$B$501,MATCH(B2147,Productos!$A$2:$A$501,0)),"¿Código?"))</f>
        <v/>
      </c>
      <c r="F2147" s="32">
        <f>IF(C2147&lt;&gt;"Venta","",D2147*IFERROR(INDEX(Productos!$D$2:$D$501,MATCH(B2147,Productos!$A$2:$A$501,0)),0))</f>
        <v/>
      </c>
      <c r="G2147" s="32">
        <f>IF(C2147&lt;&gt;"Venta","",D2147*IFERROR(INDEX(Productos!$E$2:$E$501,MATCH(B2147,Productos!$A$2:$A$501,0)),0))</f>
        <v/>
      </c>
      <c r="H2147" s="33">
        <f>IF(A2147="","",MONTH(A2147))</f>
        <v/>
      </c>
      <c r="I2147" s="33">
        <f>IF(A2147="","",YEAR(A2147))</f>
        <v/>
      </c>
    </row>
    <row r="2148" ht="15" customHeight="1" s="21">
      <c r="A2148" s="34" t="n"/>
      <c r="B2148" s="30" t="n"/>
      <c r="C2148" s="30" t="n"/>
      <c r="D2148" s="30" t="n"/>
      <c r="E2148" s="33">
        <f>IF(B2148="","",IFERROR(INDEX(Productos!$B$2:$B$501,MATCH(B2148,Productos!$A$2:$A$501,0)),"¿Código?"))</f>
        <v/>
      </c>
      <c r="F2148" s="32">
        <f>IF(C2148&lt;&gt;"Venta","",D2148*IFERROR(INDEX(Productos!$D$2:$D$501,MATCH(B2148,Productos!$A$2:$A$501,0)),0))</f>
        <v/>
      </c>
      <c r="G2148" s="32">
        <f>IF(C2148&lt;&gt;"Venta","",D2148*IFERROR(INDEX(Productos!$E$2:$E$501,MATCH(B2148,Productos!$A$2:$A$501,0)),0))</f>
        <v/>
      </c>
      <c r="H2148" s="33">
        <f>IF(A2148="","",MONTH(A2148))</f>
        <v/>
      </c>
      <c r="I2148" s="33">
        <f>IF(A2148="","",YEAR(A2148))</f>
        <v/>
      </c>
    </row>
    <row r="2149" ht="15" customHeight="1" s="21">
      <c r="A2149" s="34" t="n"/>
      <c r="B2149" s="30" t="n"/>
      <c r="C2149" s="30" t="n"/>
      <c r="D2149" s="30" t="n"/>
      <c r="E2149" s="33">
        <f>IF(B2149="","",IFERROR(INDEX(Productos!$B$2:$B$501,MATCH(B2149,Productos!$A$2:$A$501,0)),"¿Código?"))</f>
        <v/>
      </c>
      <c r="F2149" s="32">
        <f>IF(C2149&lt;&gt;"Venta","",D2149*IFERROR(INDEX(Productos!$D$2:$D$501,MATCH(B2149,Productos!$A$2:$A$501,0)),0))</f>
        <v/>
      </c>
      <c r="G2149" s="32">
        <f>IF(C2149&lt;&gt;"Venta","",D2149*IFERROR(INDEX(Productos!$E$2:$E$501,MATCH(B2149,Productos!$A$2:$A$501,0)),0))</f>
        <v/>
      </c>
      <c r="H2149" s="33">
        <f>IF(A2149="","",MONTH(A2149))</f>
        <v/>
      </c>
      <c r="I2149" s="33">
        <f>IF(A2149="","",YEAR(A2149))</f>
        <v/>
      </c>
    </row>
    <row r="2150" ht="15" customHeight="1" s="21">
      <c r="A2150" s="34" t="n"/>
      <c r="B2150" s="30" t="n"/>
      <c r="C2150" s="30" t="n"/>
      <c r="D2150" s="30" t="n"/>
      <c r="E2150" s="33">
        <f>IF(B2150="","",IFERROR(INDEX(Productos!$B$2:$B$501,MATCH(B2150,Productos!$A$2:$A$501,0)),"¿Código?"))</f>
        <v/>
      </c>
      <c r="F2150" s="32">
        <f>IF(C2150&lt;&gt;"Venta","",D2150*IFERROR(INDEX(Productos!$D$2:$D$501,MATCH(B2150,Productos!$A$2:$A$501,0)),0))</f>
        <v/>
      </c>
      <c r="G2150" s="32">
        <f>IF(C2150&lt;&gt;"Venta","",D2150*IFERROR(INDEX(Productos!$E$2:$E$501,MATCH(B2150,Productos!$A$2:$A$501,0)),0))</f>
        <v/>
      </c>
      <c r="H2150" s="33">
        <f>IF(A2150="","",MONTH(A2150))</f>
        <v/>
      </c>
      <c r="I2150" s="33">
        <f>IF(A2150="","",YEAR(A2150))</f>
        <v/>
      </c>
    </row>
    <row r="2151" ht="15" customHeight="1" s="21">
      <c r="A2151" s="34" t="n"/>
      <c r="B2151" s="30" t="n"/>
      <c r="C2151" s="30" t="n"/>
      <c r="D2151" s="30" t="n"/>
      <c r="E2151" s="33">
        <f>IF(B2151="","",IFERROR(INDEX(Productos!$B$2:$B$501,MATCH(B2151,Productos!$A$2:$A$501,0)),"¿Código?"))</f>
        <v/>
      </c>
      <c r="F2151" s="32">
        <f>IF(C2151&lt;&gt;"Venta","",D2151*IFERROR(INDEX(Productos!$D$2:$D$501,MATCH(B2151,Productos!$A$2:$A$501,0)),0))</f>
        <v/>
      </c>
      <c r="G2151" s="32">
        <f>IF(C2151&lt;&gt;"Venta","",D2151*IFERROR(INDEX(Productos!$E$2:$E$501,MATCH(B2151,Productos!$A$2:$A$501,0)),0))</f>
        <v/>
      </c>
      <c r="H2151" s="33">
        <f>IF(A2151="","",MONTH(A2151))</f>
        <v/>
      </c>
      <c r="I2151" s="33">
        <f>IF(A2151="","",YEAR(A2151))</f>
        <v/>
      </c>
    </row>
    <row r="2152" ht="15" customHeight="1" s="21">
      <c r="A2152" s="34" t="n"/>
      <c r="B2152" s="30" t="n"/>
      <c r="C2152" s="30" t="n"/>
      <c r="D2152" s="30" t="n"/>
      <c r="E2152" s="33">
        <f>IF(B2152="","",IFERROR(INDEX(Productos!$B$2:$B$501,MATCH(B2152,Productos!$A$2:$A$501,0)),"¿Código?"))</f>
        <v/>
      </c>
      <c r="F2152" s="32">
        <f>IF(C2152&lt;&gt;"Venta","",D2152*IFERROR(INDEX(Productos!$D$2:$D$501,MATCH(B2152,Productos!$A$2:$A$501,0)),0))</f>
        <v/>
      </c>
      <c r="G2152" s="32">
        <f>IF(C2152&lt;&gt;"Venta","",D2152*IFERROR(INDEX(Productos!$E$2:$E$501,MATCH(B2152,Productos!$A$2:$A$501,0)),0))</f>
        <v/>
      </c>
      <c r="H2152" s="33">
        <f>IF(A2152="","",MONTH(A2152))</f>
        <v/>
      </c>
      <c r="I2152" s="33">
        <f>IF(A2152="","",YEAR(A2152))</f>
        <v/>
      </c>
    </row>
    <row r="2153" ht="15" customHeight="1" s="21">
      <c r="A2153" s="34" t="n"/>
      <c r="B2153" s="30" t="n"/>
      <c r="C2153" s="30" t="n"/>
      <c r="D2153" s="30" t="n"/>
      <c r="E2153" s="33">
        <f>IF(B2153="","",IFERROR(INDEX(Productos!$B$2:$B$501,MATCH(B2153,Productos!$A$2:$A$501,0)),"¿Código?"))</f>
        <v/>
      </c>
      <c r="F2153" s="32">
        <f>IF(C2153&lt;&gt;"Venta","",D2153*IFERROR(INDEX(Productos!$D$2:$D$501,MATCH(B2153,Productos!$A$2:$A$501,0)),0))</f>
        <v/>
      </c>
      <c r="G2153" s="32">
        <f>IF(C2153&lt;&gt;"Venta","",D2153*IFERROR(INDEX(Productos!$E$2:$E$501,MATCH(B2153,Productos!$A$2:$A$501,0)),0))</f>
        <v/>
      </c>
      <c r="H2153" s="33">
        <f>IF(A2153="","",MONTH(A2153))</f>
        <v/>
      </c>
      <c r="I2153" s="33">
        <f>IF(A2153="","",YEAR(A2153))</f>
        <v/>
      </c>
    </row>
    <row r="2154" ht="15" customHeight="1" s="21">
      <c r="A2154" s="34" t="n"/>
      <c r="B2154" s="30" t="n"/>
      <c r="C2154" s="30" t="n"/>
      <c r="D2154" s="30" t="n"/>
      <c r="E2154" s="33">
        <f>IF(B2154="","",IFERROR(INDEX(Productos!$B$2:$B$501,MATCH(B2154,Productos!$A$2:$A$501,0)),"¿Código?"))</f>
        <v/>
      </c>
      <c r="F2154" s="32">
        <f>IF(C2154&lt;&gt;"Venta","",D2154*IFERROR(INDEX(Productos!$D$2:$D$501,MATCH(B2154,Productos!$A$2:$A$501,0)),0))</f>
        <v/>
      </c>
      <c r="G2154" s="32">
        <f>IF(C2154&lt;&gt;"Venta","",D2154*IFERROR(INDEX(Productos!$E$2:$E$501,MATCH(B2154,Productos!$A$2:$A$501,0)),0))</f>
        <v/>
      </c>
      <c r="H2154" s="33">
        <f>IF(A2154="","",MONTH(A2154))</f>
        <v/>
      </c>
      <c r="I2154" s="33">
        <f>IF(A2154="","",YEAR(A2154))</f>
        <v/>
      </c>
    </row>
    <row r="2155" ht="15" customHeight="1" s="21">
      <c r="A2155" s="34" t="n"/>
      <c r="B2155" s="30" t="n"/>
      <c r="C2155" s="30" t="n"/>
      <c r="D2155" s="30" t="n"/>
      <c r="E2155" s="33">
        <f>IF(B2155="","",IFERROR(INDEX(Productos!$B$2:$B$501,MATCH(B2155,Productos!$A$2:$A$501,0)),"¿Código?"))</f>
        <v/>
      </c>
      <c r="F2155" s="32">
        <f>IF(C2155&lt;&gt;"Venta","",D2155*IFERROR(INDEX(Productos!$D$2:$D$501,MATCH(B2155,Productos!$A$2:$A$501,0)),0))</f>
        <v/>
      </c>
      <c r="G2155" s="32">
        <f>IF(C2155&lt;&gt;"Venta","",D2155*IFERROR(INDEX(Productos!$E$2:$E$501,MATCH(B2155,Productos!$A$2:$A$501,0)),0))</f>
        <v/>
      </c>
      <c r="H2155" s="33">
        <f>IF(A2155="","",MONTH(A2155))</f>
        <v/>
      </c>
      <c r="I2155" s="33">
        <f>IF(A2155="","",YEAR(A2155))</f>
        <v/>
      </c>
    </row>
    <row r="2156" ht="15" customHeight="1" s="21">
      <c r="A2156" s="34" t="n"/>
      <c r="B2156" s="30" t="n"/>
      <c r="C2156" s="30" t="n"/>
      <c r="D2156" s="30" t="n"/>
      <c r="E2156" s="33">
        <f>IF(B2156="","",IFERROR(INDEX(Productos!$B$2:$B$501,MATCH(B2156,Productos!$A$2:$A$501,0)),"¿Código?"))</f>
        <v/>
      </c>
      <c r="F2156" s="32">
        <f>IF(C2156&lt;&gt;"Venta","",D2156*IFERROR(INDEX(Productos!$D$2:$D$501,MATCH(B2156,Productos!$A$2:$A$501,0)),0))</f>
        <v/>
      </c>
      <c r="G2156" s="32">
        <f>IF(C2156&lt;&gt;"Venta","",D2156*IFERROR(INDEX(Productos!$E$2:$E$501,MATCH(B2156,Productos!$A$2:$A$501,0)),0))</f>
        <v/>
      </c>
      <c r="H2156" s="33">
        <f>IF(A2156="","",MONTH(A2156))</f>
        <v/>
      </c>
      <c r="I2156" s="33">
        <f>IF(A2156="","",YEAR(A2156))</f>
        <v/>
      </c>
    </row>
    <row r="2157" ht="15" customHeight="1" s="21">
      <c r="A2157" s="34" t="n"/>
      <c r="B2157" s="30" t="n"/>
      <c r="C2157" s="30" t="n"/>
      <c r="D2157" s="30" t="n"/>
      <c r="E2157" s="33">
        <f>IF(B2157="","",IFERROR(INDEX(Productos!$B$2:$B$501,MATCH(B2157,Productos!$A$2:$A$501,0)),"¿Código?"))</f>
        <v/>
      </c>
      <c r="F2157" s="32">
        <f>IF(C2157&lt;&gt;"Venta","",D2157*IFERROR(INDEX(Productos!$D$2:$D$501,MATCH(B2157,Productos!$A$2:$A$501,0)),0))</f>
        <v/>
      </c>
      <c r="G2157" s="32">
        <f>IF(C2157&lt;&gt;"Venta","",D2157*IFERROR(INDEX(Productos!$E$2:$E$501,MATCH(B2157,Productos!$A$2:$A$501,0)),0))</f>
        <v/>
      </c>
      <c r="H2157" s="33">
        <f>IF(A2157="","",MONTH(A2157))</f>
        <v/>
      </c>
      <c r="I2157" s="33">
        <f>IF(A2157="","",YEAR(A2157))</f>
        <v/>
      </c>
    </row>
    <row r="2158" ht="15" customHeight="1" s="21">
      <c r="A2158" s="34" t="n"/>
      <c r="B2158" s="30" t="n"/>
      <c r="C2158" s="30" t="n"/>
      <c r="D2158" s="30" t="n"/>
      <c r="E2158" s="33">
        <f>IF(B2158="","",IFERROR(INDEX(Productos!$B$2:$B$501,MATCH(B2158,Productos!$A$2:$A$501,0)),"¿Código?"))</f>
        <v/>
      </c>
      <c r="F2158" s="32">
        <f>IF(C2158&lt;&gt;"Venta","",D2158*IFERROR(INDEX(Productos!$D$2:$D$501,MATCH(B2158,Productos!$A$2:$A$501,0)),0))</f>
        <v/>
      </c>
      <c r="G2158" s="32">
        <f>IF(C2158&lt;&gt;"Venta","",D2158*IFERROR(INDEX(Productos!$E$2:$E$501,MATCH(B2158,Productos!$A$2:$A$501,0)),0))</f>
        <v/>
      </c>
      <c r="H2158" s="33">
        <f>IF(A2158="","",MONTH(A2158))</f>
        <v/>
      </c>
      <c r="I2158" s="33">
        <f>IF(A2158="","",YEAR(A2158))</f>
        <v/>
      </c>
    </row>
    <row r="2159" ht="15" customHeight="1" s="21">
      <c r="A2159" s="34" t="n"/>
      <c r="B2159" s="30" t="n"/>
      <c r="C2159" s="30" t="n"/>
      <c r="D2159" s="30" t="n"/>
      <c r="E2159" s="33">
        <f>IF(B2159="","",IFERROR(INDEX(Productos!$B$2:$B$501,MATCH(B2159,Productos!$A$2:$A$501,0)),"¿Código?"))</f>
        <v/>
      </c>
      <c r="F2159" s="32">
        <f>IF(C2159&lt;&gt;"Venta","",D2159*IFERROR(INDEX(Productos!$D$2:$D$501,MATCH(B2159,Productos!$A$2:$A$501,0)),0))</f>
        <v/>
      </c>
      <c r="G2159" s="32">
        <f>IF(C2159&lt;&gt;"Venta","",D2159*IFERROR(INDEX(Productos!$E$2:$E$501,MATCH(B2159,Productos!$A$2:$A$501,0)),0))</f>
        <v/>
      </c>
      <c r="H2159" s="33">
        <f>IF(A2159="","",MONTH(A2159))</f>
        <v/>
      </c>
      <c r="I2159" s="33">
        <f>IF(A2159="","",YEAR(A2159))</f>
        <v/>
      </c>
    </row>
    <row r="2160" ht="15" customHeight="1" s="21">
      <c r="A2160" s="34" t="n"/>
      <c r="B2160" s="30" t="n"/>
      <c r="C2160" s="30" t="n"/>
      <c r="D2160" s="30" t="n"/>
      <c r="E2160" s="33">
        <f>IF(B2160="","",IFERROR(INDEX(Productos!$B$2:$B$501,MATCH(B2160,Productos!$A$2:$A$501,0)),"¿Código?"))</f>
        <v/>
      </c>
      <c r="F2160" s="32">
        <f>IF(C2160&lt;&gt;"Venta","",D2160*IFERROR(INDEX(Productos!$D$2:$D$501,MATCH(B2160,Productos!$A$2:$A$501,0)),0))</f>
        <v/>
      </c>
      <c r="G2160" s="32">
        <f>IF(C2160&lt;&gt;"Venta","",D2160*IFERROR(INDEX(Productos!$E$2:$E$501,MATCH(B2160,Productos!$A$2:$A$501,0)),0))</f>
        <v/>
      </c>
      <c r="H2160" s="33">
        <f>IF(A2160="","",MONTH(A2160))</f>
        <v/>
      </c>
      <c r="I2160" s="33">
        <f>IF(A2160="","",YEAR(A2160))</f>
        <v/>
      </c>
    </row>
    <row r="2161" ht="15" customHeight="1" s="21">
      <c r="A2161" s="34" t="n"/>
      <c r="B2161" s="30" t="n"/>
      <c r="C2161" s="30" t="n"/>
      <c r="D2161" s="30" t="n"/>
      <c r="E2161" s="33">
        <f>IF(B2161="","",IFERROR(INDEX(Productos!$B$2:$B$501,MATCH(B2161,Productos!$A$2:$A$501,0)),"¿Código?"))</f>
        <v/>
      </c>
      <c r="F2161" s="32">
        <f>IF(C2161&lt;&gt;"Venta","",D2161*IFERROR(INDEX(Productos!$D$2:$D$501,MATCH(B2161,Productos!$A$2:$A$501,0)),0))</f>
        <v/>
      </c>
      <c r="G2161" s="32">
        <f>IF(C2161&lt;&gt;"Venta","",D2161*IFERROR(INDEX(Productos!$E$2:$E$501,MATCH(B2161,Productos!$A$2:$A$501,0)),0))</f>
        <v/>
      </c>
      <c r="H2161" s="33">
        <f>IF(A2161="","",MONTH(A2161))</f>
        <v/>
      </c>
      <c r="I2161" s="33">
        <f>IF(A2161="","",YEAR(A2161))</f>
        <v/>
      </c>
    </row>
    <row r="2162" ht="15" customHeight="1" s="21">
      <c r="A2162" s="34" t="n"/>
      <c r="B2162" s="30" t="n"/>
      <c r="C2162" s="30" t="n"/>
      <c r="D2162" s="30" t="n"/>
      <c r="E2162" s="33">
        <f>IF(B2162="","",IFERROR(INDEX(Productos!$B$2:$B$501,MATCH(B2162,Productos!$A$2:$A$501,0)),"¿Código?"))</f>
        <v/>
      </c>
      <c r="F2162" s="32">
        <f>IF(C2162&lt;&gt;"Venta","",D2162*IFERROR(INDEX(Productos!$D$2:$D$501,MATCH(B2162,Productos!$A$2:$A$501,0)),0))</f>
        <v/>
      </c>
      <c r="G2162" s="32">
        <f>IF(C2162&lt;&gt;"Venta","",D2162*IFERROR(INDEX(Productos!$E$2:$E$501,MATCH(B2162,Productos!$A$2:$A$501,0)),0))</f>
        <v/>
      </c>
      <c r="H2162" s="33">
        <f>IF(A2162="","",MONTH(A2162))</f>
        <v/>
      </c>
      <c r="I2162" s="33">
        <f>IF(A2162="","",YEAR(A2162))</f>
        <v/>
      </c>
    </row>
    <row r="2163" ht="15" customHeight="1" s="21">
      <c r="A2163" s="34" t="n"/>
      <c r="B2163" s="30" t="n"/>
      <c r="C2163" s="30" t="n"/>
      <c r="D2163" s="30" t="n"/>
      <c r="E2163" s="33">
        <f>IF(B2163="","",IFERROR(INDEX(Productos!$B$2:$B$501,MATCH(B2163,Productos!$A$2:$A$501,0)),"¿Código?"))</f>
        <v/>
      </c>
      <c r="F2163" s="32">
        <f>IF(C2163&lt;&gt;"Venta","",D2163*IFERROR(INDEX(Productos!$D$2:$D$501,MATCH(B2163,Productos!$A$2:$A$501,0)),0))</f>
        <v/>
      </c>
      <c r="G2163" s="32">
        <f>IF(C2163&lt;&gt;"Venta","",D2163*IFERROR(INDEX(Productos!$E$2:$E$501,MATCH(B2163,Productos!$A$2:$A$501,0)),0))</f>
        <v/>
      </c>
      <c r="H2163" s="33">
        <f>IF(A2163="","",MONTH(A2163))</f>
        <v/>
      </c>
      <c r="I2163" s="33">
        <f>IF(A2163="","",YEAR(A2163))</f>
        <v/>
      </c>
    </row>
    <row r="2164" ht="15" customHeight="1" s="21">
      <c r="A2164" s="34" t="n"/>
      <c r="B2164" s="30" t="n"/>
      <c r="C2164" s="30" t="n"/>
      <c r="D2164" s="30" t="n"/>
      <c r="E2164" s="33">
        <f>IF(B2164="","",IFERROR(INDEX(Productos!$B$2:$B$501,MATCH(B2164,Productos!$A$2:$A$501,0)),"¿Código?"))</f>
        <v/>
      </c>
      <c r="F2164" s="32">
        <f>IF(C2164&lt;&gt;"Venta","",D2164*IFERROR(INDEX(Productos!$D$2:$D$501,MATCH(B2164,Productos!$A$2:$A$501,0)),0))</f>
        <v/>
      </c>
      <c r="G2164" s="32">
        <f>IF(C2164&lt;&gt;"Venta","",D2164*IFERROR(INDEX(Productos!$E$2:$E$501,MATCH(B2164,Productos!$A$2:$A$501,0)),0))</f>
        <v/>
      </c>
      <c r="H2164" s="33">
        <f>IF(A2164="","",MONTH(A2164))</f>
        <v/>
      </c>
      <c r="I2164" s="33">
        <f>IF(A2164="","",YEAR(A2164))</f>
        <v/>
      </c>
    </row>
    <row r="2165" ht="15" customHeight="1" s="21">
      <c r="A2165" s="34" t="n"/>
      <c r="B2165" s="30" t="n"/>
      <c r="C2165" s="30" t="n"/>
      <c r="D2165" s="30" t="n"/>
      <c r="E2165" s="33">
        <f>IF(B2165="","",IFERROR(INDEX(Productos!$B$2:$B$501,MATCH(B2165,Productos!$A$2:$A$501,0)),"¿Código?"))</f>
        <v/>
      </c>
      <c r="F2165" s="32">
        <f>IF(C2165&lt;&gt;"Venta","",D2165*IFERROR(INDEX(Productos!$D$2:$D$501,MATCH(B2165,Productos!$A$2:$A$501,0)),0))</f>
        <v/>
      </c>
      <c r="G2165" s="32">
        <f>IF(C2165&lt;&gt;"Venta","",D2165*IFERROR(INDEX(Productos!$E$2:$E$501,MATCH(B2165,Productos!$A$2:$A$501,0)),0))</f>
        <v/>
      </c>
      <c r="H2165" s="33">
        <f>IF(A2165="","",MONTH(A2165))</f>
        <v/>
      </c>
      <c r="I2165" s="33">
        <f>IF(A2165="","",YEAR(A2165))</f>
        <v/>
      </c>
    </row>
    <row r="2166" ht="15" customHeight="1" s="21">
      <c r="A2166" s="34" t="n"/>
      <c r="B2166" s="30" t="n"/>
      <c r="C2166" s="30" t="n"/>
      <c r="D2166" s="30" t="n"/>
      <c r="E2166" s="33">
        <f>IF(B2166="","",IFERROR(INDEX(Productos!$B$2:$B$501,MATCH(B2166,Productos!$A$2:$A$501,0)),"¿Código?"))</f>
        <v/>
      </c>
      <c r="F2166" s="32">
        <f>IF(C2166&lt;&gt;"Venta","",D2166*IFERROR(INDEX(Productos!$D$2:$D$501,MATCH(B2166,Productos!$A$2:$A$501,0)),0))</f>
        <v/>
      </c>
      <c r="G2166" s="32">
        <f>IF(C2166&lt;&gt;"Venta","",D2166*IFERROR(INDEX(Productos!$E$2:$E$501,MATCH(B2166,Productos!$A$2:$A$501,0)),0))</f>
        <v/>
      </c>
      <c r="H2166" s="33">
        <f>IF(A2166="","",MONTH(A2166))</f>
        <v/>
      </c>
      <c r="I2166" s="33">
        <f>IF(A2166="","",YEAR(A2166))</f>
        <v/>
      </c>
    </row>
    <row r="2167" ht="15" customHeight="1" s="21">
      <c r="A2167" s="34" t="n"/>
      <c r="B2167" s="30" t="n"/>
      <c r="C2167" s="30" t="n"/>
      <c r="D2167" s="30" t="n"/>
      <c r="E2167" s="33">
        <f>IF(B2167="","",IFERROR(INDEX(Productos!$B$2:$B$501,MATCH(B2167,Productos!$A$2:$A$501,0)),"¿Código?"))</f>
        <v/>
      </c>
      <c r="F2167" s="32">
        <f>IF(C2167&lt;&gt;"Venta","",D2167*IFERROR(INDEX(Productos!$D$2:$D$501,MATCH(B2167,Productos!$A$2:$A$501,0)),0))</f>
        <v/>
      </c>
      <c r="G2167" s="32">
        <f>IF(C2167&lt;&gt;"Venta","",D2167*IFERROR(INDEX(Productos!$E$2:$E$501,MATCH(B2167,Productos!$A$2:$A$501,0)),0))</f>
        <v/>
      </c>
      <c r="H2167" s="33">
        <f>IF(A2167="","",MONTH(A2167))</f>
        <v/>
      </c>
      <c r="I2167" s="33">
        <f>IF(A2167="","",YEAR(A2167))</f>
        <v/>
      </c>
    </row>
    <row r="2168" ht="15" customHeight="1" s="21">
      <c r="A2168" s="34" t="n"/>
      <c r="B2168" s="30" t="n"/>
      <c r="C2168" s="30" t="n"/>
      <c r="D2168" s="30" t="n"/>
      <c r="E2168" s="33">
        <f>IF(B2168="","",IFERROR(INDEX(Productos!$B$2:$B$501,MATCH(B2168,Productos!$A$2:$A$501,0)),"¿Código?"))</f>
        <v/>
      </c>
      <c r="F2168" s="32">
        <f>IF(C2168&lt;&gt;"Venta","",D2168*IFERROR(INDEX(Productos!$D$2:$D$501,MATCH(B2168,Productos!$A$2:$A$501,0)),0))</f>
        <v/>
      </c>
      <c r="G2168" s="32">
        <f>IF(C2168&lt;&gt;"Venta","",D2168*IFERROR(INDEX(Productos!$E$2:$E$501,MATCH(B2168,Productos!$A$2:$A$501,0)),0))</f>
        <v/>
      </c>
      <c r="H2168" s="33">
        <f>IF(A2168="","",MONTH(A2168))</f>
        <v/>
      </c>
      <c r="I2168" s="33">
        <f>IF(A2168="","",YEAR(A2168))</f>
        <v/>
      </c>
    </row>
    <row r="2169" ht="15" customHeight="1" s="21">
      <c r="A2169" s="34" t="n"/>
      <c r="B2169" s="30" t="n"/>
      <c r="C2169" s="30" t="n"/>
      <c r="D2169" s="30" t="n"/>
      <c r="E2169" s="33">
        <f>IF(B2169="","",IFERROR(INDEX(Productos!$B$2:$B$501,MATCH(B2169,Productos!$A$2:$A$501,0)),"¿Código?"))</f>
        <v/>
      </c>
      <c r="F2169" s="32">
        <f>IF(C2169&lt;&gt;"Venta","",D2169*IFERROR(INDEX(Productos!$D$2:$D$501,MATCH(B2169,Productos!$A$2:$A$501,0)),0))</f>
        <v/>
      </c>
      <c r="G2169" s="32">
        <f>IF(C2169&lt;&gt;"Venta","",D2169*IFERROR(INDEX(Productos!$E$2:$E$501,MATCH(B2169,Productos!$A$2:$A$501,0)),0))</f>
        <v/>
      </c>
      <c r="H2169" s="33">
        <f>IF(A2169="","",MONTH(A2169))</f>
        <v/>
      </c>
      <c r="I2169" s="33">
        <f>IF(A2169="","",YEAR(A2169))</f>
        <v/>
      </c>
    </row>
    <row r="2170" ht="15" customHeight="1" s="21">
      <c r="A2170" s="34" t="n"/>
      <c r="B2170" s="30" t="n"/>
      <c r="C2170" s="30" t="n"/>
      <c r="D2170" s="30" t="n"/>
      <c r="E2170" s="33">
        <f>IF(B2170="","",IFERROR(INDEX(Productos!$B$2:$B$501,MATCH(B2170,Productos!$A$2:$A$501,0)),"¿Código?"))</f>
        <v/>
      </c>
      <c r="F2170" s="32">
        <f>IF(C2170&lt;&gt;"Venta","",D2170*IFERROR(INDEX(Productos!$D$2:$D$501,MATCH(B2170,Productos!$A$2:$A$501,0)),0))</f>
        <v/>
      </c>
      <c r="G2170" s="32">
        <f>IF(C2170&lt;&gt;"Venta","",D2170*IFERROR(INDEX(Productos!$E$2:$E$501,MATCH(B2170,Productos!$A$2:$A$501,0)),0))</f>
        <v/>
      </c>
      <c r="H2170" s="33">
        <f>IF(A2170="","",MONTH(A2170))</f>
        <v/>
      </c>
      <c r="I2170" s="33">
        <f>IF(A2170="","",YEAR(A2170))</f>
        <v/>
      </c>
    </row>
    <row r="2171" ht="15" customHeight="1" s="21">
      <c r="A2171" s="34" t="n"/>
      <c r="B2171" s="30" t="n"/>
      <c r="C2171" s="30" t="n"/>
      <c r="D2171" s="30" t="n"/>
      <c r="E2171" s="33">
        <f>IF(B2171="","",IFERROR(INDEX(Productos!$B$2:$B$501,MATCH(B2171,Productos!$A$2:$A$501,0)),"¿Código?"))</f>
        <v/>
      </c>
      <c r="F2171" s="32">
        <f>IF(C2171&lt;&gt;"Venta","",D2171*IFERROR(INDEX(Productos!$D$2:$D$501,MATCH(B2171,Productos!$A$2:$A$501,0)),0))</f>
        <v/>
      </c>
      <c r="G2171" s="32">
        <f>IF(C2171&lt;&gt;"Venta","",D2171*IFERROR(INDEX(Productos!$E$2:$E$501,MATCH(B2171,Productos!$A$2:$A$501,0)),0))</f>
        <v/>
      </c>
      <c r="H2171" s="33">
        <f>IF(A2171="","",MONTH(A2171))</f>
        <v/>
      </c>
      <c r="I2171" s="33">
        <f>IF(A2171="","",YEAR(A2171))</f>
        <v/>
      </c>
    </row>
    <row r="2172" ht="15" customHeight="1" s="21">
      <c r="A2172" s="34" t="n"/>
      <c r="B2172" s="30" t="n"/>
      <c r="C2172" s="30" t="n"/>
      <c r="D2172" s="30" t="n"/>
      <c r="E2172" s="33">
        <f>IF(B2172="","",IFERROR(INDEX(Productos!$B$2:$B$501,MATCH(B2172,Productos!$A$2:$A$501,0)),"¿Código?"))</f>
        <v/>
      </c>
      <c r="F2172" s="32">
        <f>IF(C2172&lt;&gt;"Venta","",D2172*IFERROR(INDEX(Productos!$D$2:$D$501,MATCH(B2172,Productos!$A$2:$A$501,0)),0))</f>
        <v/>
      </c>
      <c r="G2172" s="32">
        <f>IF(C2172&lt;&gt;"Venta","",D2172*IFERROR(INDEX(Productos!$E$2:$E$501,MATCH(B2172,Productos!$A$2:$A$501,0)),0))</f>
        <v/>
      </c>
      <c r="H2172" s="33">
        <f>IF(A2172="","",MONTH(A2172))</f>
        <v/>
      </c>
      <c r="I2172" s="33">
        <f>IF(A2172="","",YEAR(A2172))</f>
        <v/>
      </c>
    </row>
    <row r="2173" ht="15" customHeight="1" s="21">
      <c r="A2173" s="34" t="n"/>
      <c r="B2173" s="30" t="n"/>
      <c r="C2173" s="30" t="n"/>
      <c r="D2173" s="30" t="n"/>
      <c r="E2173" s="33">
        <f>IF(B2173="","",IFERROR(INDEX(Productos!$B$2:$B$501,MATCH(B2173,Productos!$A$2:$A$501,0)),"¿Código?"))</f>
        <v/>
      </c>
      <c r="F2173" s="32">
        <f>IF(C2173&lt;&gt;"Venta","",D2173*IFERROR(INDEX(Productos!$D$2:$D$501,MATCH(B2173,Productos!$A$2:$A$501,0)),0))</f>
        <v/>
      </c>
      <c r="G2173" s="32">
        <f>IF(C2173&lt;&gt;"Venta","",D2173*IFERROR(INDEX(Productos!$E$2:$E$501,MATCH(B2173,Productos!$A$2:$A$501,0)),0))</f>
        <v/>
      </c>
      <c r="H2173" s="33">
        <f>IF(A2173="","",MONTH(A2173))</f>
        <v/>
      </c>
      <c r="I2173" s="33">
        <f>IF(A2173="","",YEAR(A2173))</f>
        <v/>
      </c>
    </row>
    <row r="2174" ht="15" customHeight="1" s="21">
      <c r="A2174" s="34" t="n"/>
      <c r="B2174" s="30" t="n"/>
      <c r="C2174" s="30" t="n"/>
      <c r="D2174" s="30" t="n"/>
      <c r="E2174" s="33">
        <f>IF(B2174="","",IFERROR(INDEX(Productos!$B$2:$B$501,MATCH(B2174,Productos!$A$2:$A$501,0)),"¿Código?"))</f>
        <v/>
      </c>
      <c r="F2174" s="32">
        <f>IF(C2174&lt;&gt;"Venta","",D2174*IFERROR(INDEX(Productos!$D$2:$D$501,MATCH(B2174,Productos!$A$2:$A$501,0)),0))</f>
        <v/>
      </c>
      <c r="G2174" s="32">
        <f>IF(C2174&lt;&gt;"Venta","",D2174*IFERROR(INDEX(Productos!$E$2:$E$501,MATCH(B2174,Productos!$A$2:$A$501,0)),0))</f>
        <v/>
      </c>
      <c r="H2174" s="33">
        <f>IF(A2174="","",MONTH(A2174))</f>
        <v/>
      </c>
      <c r="I2174" s="33">
        <f>IF(A2174="","",YEAR(A2174))</f>
        <v/>
      </c>
    </row>
    <row r="2175" ht="15" customHeight="1" s="21">
      <c r="A2175" s="34" t="n"/>
      <c r="B2175" s="30" t="n"/>
      <c r="C2175" s="30" t="n"/>
      <c r="D2175" s="30" t="n"/>
      <c r="E2175" s="33">
        <f>IF(B2175="","",IFERROR(INDEX(Productos!$B$2:$B$501,MATCH(B2175,Productos!$A$2:$A$501,0)),"¿Código?"))</f>
        <v/>
      </c>
      <c r="F2175" s="32">
        <f>IF(C2175&lt;&gt;"Venta","",D2175*IFERROR(INDEX(Productos!$D$2:$D$501,MATCH(B2175,Productos!$A$2:$A$501,0)),0))</f>
        <v/>
      </c>
      <c r="G2175" s="32">
        <f>IF(C2175&lt;&gt;"Venta","",D2175*IFERROR(INDEX(Productos!$E$2:$E$501,MATCH(B2175,Productos!$A$2:$A$501,0)),0))</f>
        <v/>
      </c>
      <c r="H2175" s="33">
        <f>IF(A2175="","",MONTH(A2175))</f>
        <v/>
      </c>
      <c r="I2175" s="33">
        <f>IF(A2175="","",YEAR(A2175))</f>
        <v/>
      </c>
    </row>
    <row r="2176" ht="15" customHeight="1" s="21">
      <c r="A2176" s="34" t="n"/>
      <c r="B2176" s="30" t="n"/>
      <c r="C2176" s="30" t="n"/>
      <c r="D2176" s="30" t="n"/>
      <c r="E2176" s="33">
        <f>IF(B2176="","",IFERROR(INDEX(Productos!$B$2:$B$501,MATCH(B2176,Productos!$A$2:$A$501,0)),"¿Código?"))</f>
        <v/>
      </c>
      <c r="F2176" s="32">
        <f>IF(C2176&lt;&gt;"Venta","",D2176*IFERROR(INDEX(Productos!$D$2:$D$501,MATCH(B2176,Productos!$A$2:$A$501,0)),0))</f>
        <v/>
      </c>
      <c r="G2176" s="32">
        <f>IF(C2176&lt;&gt;"Venta","",D2176*IFERROR(INDEX(Productos!$E$2:$E$501,MATCH(B2176,Productos!$A$2:$A$501,0)),0))</f>
        <v/>
      </c>
      <c r="H2176" s="33">
        <f>IF(A2176="","",MONTH(A2176))</f>
        <v/>
      </c>
      <c r="I2176" s="33">
        <f>IF(A2176="","",YEAR(A2176))</f>
        <v/>
      </c>
    </row>
    <row r="2177" ht="15" customHeight="1" s="21">
      <c r="A2177" s="34" t="n"/>
      <c r="B2177" s="30" t="n"/>
      <c r="C2177" s="30" t="n"/>
      <c r="D2177" s="30" t="n"/>
      <c r="E2177" s="33">
        <f>IF(B2177="","",IFERROR(INDEX(Productos!$B$2:$B$501,MATCH(B2177,Productos!$A$2:$A$501,0)),"¿Código?"))</f>
        <v/>
      </c>
      <c r="F2177" s="32">
        <f>IF(C2177&lt;&gt;"Venta","",D2177*IFERROR(INDEX(Productos!$D$2:$D$501,MATCH(B2177,Productos!$A$2:$A$501,0)),0))</f>
        <v/>
      </c>
      <c r="G2177" s="32">
        <f>IF(C2177&lt;&gt;"Venta","",D2177*IFERROR(INDEX(Productos!$E$2:$E$501,MATCH(B2177,Productos!$A$2:$A$501,0)),0))</f>
        <v/>
      </c>
      <c r="H2177" s="33">
        <f>IF(A2177="","",MONTH(A2177))</f>
        <v/>
      </c>
      <c r="I2177" s="33">
        <f>IF(A2177="","",YEAR(A2177))</f>
        <v/>
      </c>
    </row>
    <row r="2178" ht="15" customHeight="1" s="21">
      <c r="A2178" s="34" t="n"/>
      <c r="B2178" s="30" t="n"/>
      <c r="C2178" s="30" t="n"/>
      <c r="D2178" s="30" t="n"/>
      <c r="E2178" s="33">
        <f>IF(B2178="","",IFERROR(INDEX(Productos!$B$2:$B$501,MATCH(B2178,Productos!$A$2:$A$501,0)),"¿Código?"))</f>
        <v/>
      </c>
      <c r="F2178" s="32">
        <f>IF(C2178&lt;&gt;"Venta","",D2178*IFERROR(INDEX(Productos!$D$2:$D$501,MATCH(B2178,Productos!$A$2:$A$501,0)),0))</f>
        <v/>
      </c>
      <c r="G2178" s="32">
        <f>IF(C2178&lt;&gt;"Venta","",D2178*IFERROR(INDEX(Productos!$E$2:$E$501,MATCH(B2178,Productos!$A$2:$A$501,0)),0))</f>
        <v/>
      </c>
      <c r="H2178" s="33">
        <f>IF(A2178="","",MONTH(A2178))</f>
        <v/>
      </c>
      <c r="I2178" s="33">
        <f>IF(A2178="","",YEAR(A2178))</f>
        <v/>
      </c>
    </row>
    <row r="2179" ht="15" customHeight="1" s="21">
      <c r="A2179" s="34" t="n"/>
      <c r="B2179" s="30" t="n"/>
      <c r="C2179" s="30" t="n"/>
      <c r="D2179" s="30" t="n"/>
      <c r="E2179" s="33">
        <f>IF(B2179="","",IFERROR(INDEX(Productos!$B$2:$B$501,MATCH(B2179,Productos!$A$2:$A$501,0)),"¿Código?"))</f>
        <v/>
      </c>
      <c r="F2179" s="32">
        <f>IF(C2179&lt;&gt;"Venta","",D2179*IFERROR(INDEX(Productos!$D$2:$D$501,MATCH(B2179,Productos!$A$2:$A$501,0)),0))</f>
        <v/>
      </c>
      <c r="G2179" s="32">
        <f>IF(C2179&lt;&gt;"Venta","",D2179*IFERROR(INDEX(Productos!$E$2:$E$501,MATCH(B2179,Productos!$A$2:$A$501,0)),0))</f>
        <v/>
      </c>
      <c r="H2179" s="33">
        <f>IF(A2179="","",MONTH(A2179))</f>
        <v/>
      </c>
      <c r="I2179" s="33">
        <f>IF(A2179="","",YEAR(A2179))</f>
        <v/>
      </c>
    </row>
    <row r="2180" ht="15" customHeight="1" s="21">
      <c r="A2180" s="34" t="n"/>
      <c r="B2180" s="30" t="n"/>
      <c r="C2180" s="30" t="n"/>
      <c r="D2180" s="30" t="n"/>
      <c r="E2180" s="33">
        <f>IF(B2180="","",IFERROR(INDEX(Productos!$B$2:$B$501,MATCH(B2180,Productos!$A$2:$A$501,0)),"¿Código?"))</f>
        <v/>
      </c>
      <c r="F2180" s="32">
        <f>IF(C2180&lt;&gt;"Venta","",D2180*IFERROR(INDEX(Productos!$D$2:$D$501,MATCH(B2180,Productos!$A$2:$A$501,0)),0))</f>
        <v/>
      </c>
      <c r="G2180" s="32">
        <f>IF(C2180&lt;&gt;"Venta","",D2180*IFERROR(INDEX(Productos!$E$2:$E$501,MATCH(B2180,Productos!$A$2:$A$501,0)),0))</f>
        <v/>
      </c>
      <c r="H2180" s="33">
        <f>IF(A2180="","",MONTH(A2180))</f>
        <v/>
      </c>
      <c r="I2180" s="33">
        <f>IF(A2180="","",YEAR(A2180))</f>
        <v/>
      </c>
    </row>
    <row r="2181" ht="15" customHeight="1" s="21">
      <c r="A2181" s="34" t="n"/>
      <c r="B2181" s="30" t="n"/>
      <c r="C2181" s="30" t="n"/>
      <c r="D2181" s="30" t="n"/>
      <c r="E2181" s="33">
        <f>IF(B2181="","",IFERROR(INDEX(Productos!$B$2:$B$501,MATCH(B2181,Productos!$A$2:$A$501,0)),"¿Código?"))</f>
        <v/>
      </c>
      <c r="F2181" s="32">
        <f>IF(C2181&lt;&gt;"Venta","",D2181*IFERROR(INDEX(Productos!$D$2:$D$501,MATCH(B2181,Productos!$A$2:$A$501,0)),0))</f>
        <v/>
      </c>
      <c r="G2181" s="32">
        <f>IF(C2181&lt;&gt;"Venta","",D2181*IFERROR(INDEX(Productos!$E$2:$E$501,MATCH(B2181,Productos!$A$2:$A$501,0)),0))</f>
        <v/>
      </c>
      <c r="H2181" s="33">
        <f>IF(A2181="","",MONTH(A2181))</f>
        <v/>
      </c>
      <c r="I2181" s="33">
        <f>IF(A2181="","",YEAR(A2181))</f>
        <v/>
      </c>
    </row>
    <row r="2182" ht="15" customHeight="1" s="21">
      <c r="A2182" s="34" t="n"/>
      <c r="B2182" s="30" t="n"/>
      <c r="C2182" s="30" t="n"/>
      <c r="D2182" s="30" t="n"/>
      <c r="E2182" s="33">
        <f>IF(B2182="","",IFERROR(INDEX(Productos!$B$2:$B$501,MATCH(B2182,Productos!$A$2:$A$501,0)),"¿Código?"))</f>
        <v/>
      </c>
      <c r="F2182" s="32">
        <f>IF(C2182&lt;&gt;"Venta","",D2182*IFERROR(INDEX(Productos!$D$2:$D$501,MATCH(B2182,Productos!$A$2:$A$501,0)),0))</f>
        <v/>
      </c>
      <c r="G2182" s="32">
        <f>IF(C2182&lt;&gt;"Venta","",D2182*IFERROR(INDEX(Productos!$E$2:$E$501,MATCH(B2182,Productos!$A$2:$A$501,0)),0))</f>
        <v/>
      </c>
      <c r="H2182" s="33">
        <f>IF(A2182="","",MONTH(A2182))</f>
        <v/>
      </c>
      <c r="I2182" s="33">
        <f>IF(A2182="","",YEAR(A2182))</f>
        <v/>
      </c>
    </row>
    <row r="2183" ht="15" customHeight="1" s="21">
      <c r="A2183" s="34" t="n"/>
      <c r="B2183" s="30" t="n"/>
      <c r="C2183" s="30" t="n"/>
      <c r="D2183" s="30" t="n"/>
      <c r="E2183" s="33">
        <f>IF(B2183="","",IFERROR(INDEX(Productos!$B$2:$B$501,MATCH(B2183,Productos!$A$2:$A$501,0)),"¿Código?"))</f>
        <v/>
      </c>
      <c r="F2183" s="32">
        <f>IF(C2183&lt;&gt;"Venta","",D2183*IFERROR(INDEX(Productos!$D$2:$D$501,MATCH(B2183,Productos!$A$2:$A$501,0)),0))</f>
        <v/>
      </c>
      <c r="G2183" s="32">
        <f>IF(C2183&lt;&gt;"Venta","",D2183*IFERROR(INDEX(Productos!$E$2:$E$501,MATCH(B2183,Productos!$A$2:$A$501,0)),0))</f>
        <v/>
      </c>
      <c r="H2183" s="33">
        <f>IF(A2183="","",MONTH(A2183))</f>
        <v/>
      </c>
      <c r="I2183" s="33">
        <f>IF(A2183="","",YEAR(A2183))</f>
        <v/>
      </c>
    </row>
    <row r="2184" ht="15" customHeight="1" s="21">
      <c r="A2184" s="34" t="n"/>
      <c r="B2184" s="30" t="n"/>
      <c r="C2184" s="30" t="n"/>
      <c r="D2184" s="30" t="n"/>
      <c r="E2184" s="33">
        <f>IF(B2184="","",IFERROR(INDEX(Productos!$B$2:$B$501,MATCH(B2184,Productos!$A$2:$A$501,0)),"¿Código?"))</f>
        <v/>
      </c>
      <c r="F2184" s="32">
        <f>IF(C2184&lt;&gt;"Venta","",D2184*IFERROR(INDEX(Productos!$D$2:$D$501,MATCH(B2184,Productos!$A$2:$A$501,0)),0))</f>
        <v/>
      </c>
      <c r="G2184" s="32">
        <f>IF(C2184&lt;&gt;"Venta","",D2184*IFERROR(INDEX(Productos!$E$2:$E$501,MATCH(B2184,Productos!$A$2:$A$501,0)),0))</f>
        <v/>
      </c>
      <c r="H2184" s="33">
        <f>IF(A2184="","",MONTH(A2184))</f>
        <v/>
      </c>
      <c r="I2184" s="33">
        <f>IF(A2184="","",YEAR(A2184))</f>
        <v/>
      </c>
    </row>
    <row r="2185" ht="15" customHeight="1" s="21">
      <c r="A2185" s="34" t="n"/>
      <c r="B2185" s="30" t="n"/>
      <c r="C2185" s="30" t="n"/>
      <c r="D2185" s="30" t="n"/>
      <c r="E2185" s="33">
        <f>IF(B2185="","",IFERROR(INDEX(Productos!$B$2:$B$501,MATCH(B2185,Productos!$A$2:$A$501,0)),"¿Código?"))</f>
        <v/>
      </c>
      <c r="F2185" s="32">
        <f>IF(C2185&lt;&gt;"Venta","",D2185*IFERROR(INDEX(Productos!$D$2:$D$501,MATCH(B2185,Productos!$A$2:$A$501,0)),0))</f>
        <v/>
      </c>
      <c r="G2185" s="32">
        <f>IF(C2185&lt;&gt;"Venta","",D2185*IFERROR(INDEX(Productos!$E$2:$E$501,MATCH(B2185,Productos!$A$2:$A$501,0)),0))</f>
        <v/>
      </c>
      <c r="H2185" s="33">
        <f>IF(A2185="","",MONTH(A2185))</f>
        <v/>
      </c>
      <c r="I2185" s="33">
        <f>IF(A2185="","",YEAR(A2185))</f>
        <v/>
      </c>
    </row>
    <row r="2186" ht="15" customHeight="1" s="21">
      <c r="A2186" s="34" t="n"/>
      <c r="B2186" s="30" t="n"/>
      <c r="C2186" s="30" t="n"/>
      <c r="D2186" s="30" t="n"/>
      <c r="E2186" s="33">
        <f>IF(B2186="","",IFERROR(INDEX(Productos!$B$2:$B$501,MATCH(B2186,Productos!$A$2:$A$501,0)),"¿Código?"))</f>
        <v/>
      </c>
      <c r="F2186" s="32">
        <f>IF(C2186&lt;&gt;"Venta","",D2186*IFERROR(INDEX(Productos!$D$2:$D$501,MATCH(B2186,Productos!$A$2:$A$501,0)),0))</f>
        <v/>
      </c>
      <c r="G2186" s="32">
        <f>IF(C2186&lt;&gt;"Venta","",D2186*IFERROR(INDEX(Productos!$E$2:$E$501,MATCH(B2186,Productos!$A$2:$A$501,0)),0))</f>
        <v/>
      </c>
      <c r="H2186" s="33">
        <f>IF(A2186="","",MONTH(A2186))</f>
        <v/>
      </c>
      <c r="I2186" s="33">
        <f>IF(A2186="","",YEAR(A2186))</f>
        <v/>
      </c>
    </row>
    <row r="2187" ht="15" customHeight="1" s="21">
      <c r="A2187" s="34" t="n"/>
      <c r="B2187" s="30" t="n"/>
      <c r="C2187" s="30" t="n"/>
      <c r="D2187" s="30" t="n"/>
      <c r="E2187" s="33">
        <f>IF(B2187="","",IFERROR(INDEX(Productos!$B$2:$B$501,MATCH(B2187,Productos!$A$2:$A$501,0)),"¿Código?"))</f>
        <v/>
      </c>
      <c r="F2187" s="32">
        <f>IF(C2187&lt;&gt;"Venta","",D2187*IFERROR(INDEX(Productos!$D$2:$D$501,MATCH(B2187,Productos!$A$2:$A$501,0)),0))</f>
        <v/>
      </c>
      <c r="G2187" s="32">
        <f>IF(C2187&lt;&gt;"Venta","",D2187*IFERROR(INDEX(Productos!$E$2:$E$501,MATCH(B2187,Productos!$A$2:$A$501,0)),0))</f>
        <v/>
      </c>
      <c r="H2187" s="33">
        <f>IF(A2187="","",MONTH(A2187))</f>
        <v/>
      </c>
      <c r="I2187" s="33">
        <f>IF(A2187="","",YEAR(A2187))</f>
        <v/>
      </c>
    </row>
    <row r="2188" ht="15" customHeight="1" s="21">
      <c r="A2188" s="34" t="n"/>
      <c r="B2188" s="30" t="n"/>
      <c r="C2188" s="30" t="n"/>
      <c r="D2188" s="30" t="n"/>
      <c r="E2188" s="33">
        <f>IF(B2188="","",IFERROR(INDEX(Productos!$B$2:$B$501,MATCH(B2188,Productos!$A$2:$A$501,0)),"¿Código?"))</f>
        <v/>
      </c>
      <c r="F2188" s="32">
        <f>IF(C2188&lt;&gt;"Venta","",D2188*IFERROR(INDEX(Productos!$D$2:$D$501,MATCH(B2188,Productos!$A$2:$A$501,0)),0))</f>
        <v/>
      </c>
      <c r="G2188" s="32">
        <f>IF(C2188&lt;&gt;"Venta","",D2188*IFERROR(INDEX(Productos!$E$2:$E$501,MATCH(B2188,Productos!$A$2:$A$501,0)),0))</f>
        <v/>
      </c>
      <c r="H2188" s="33">
        <f>IF(A2188="","",MONTH(A2188))</f>
        <v/>
      </c>
      <c r="I2188" s="33">
        <f>IF(A2188="","",YEAR(A2188))</f>
        <v/>
      </c>
    </row>
    <row r="2189" ht="15" customHeight="1" s="21">
      <c r="A2189" s="34" t="n"/>
      <c r="B2189" s="30" t="n"/>
      <c r="C2189" s="30" t="n"/>
      <c r="D2189" s="30" t="n"/>
      <c r="E2189" s="33">
        <f>IF(B2189="","",IFERROR(INDEX(Productos!$B$2:$B$501,MATCH(B2189,Productos!$A$2:$A$501,0)),"¿Código?"))</f>
        <v/>
      </c>
      <c r="F2189" s="32">
        <f>IF(C2189&lt;&gt;"Venta","",D2189*IFERROR(INDEX(Productos!$D$2:$D$501,MATCH(B2189,Productos!$A$2:$A$501,0)),0))</f>
        <v/>
      </c>
      <c r="G2189" s="32">
        <f>IF(C2189&lt;&gt;"Venta","",D2189*IFERROR(INDEX(Productos!$E$2:$E$501,MATCH(B2189,Productos!$A$2:$A$501,0)),0))</f>
        <v/>
      </c>
      <c r="H2189" s="33">
        <f>IF(A2189="","",MONTH(A2189))</f>
        <v/>
      </c>
      <c r="I2189" s="33">
        <f>IF(A2189="","",YEAR(A2189))</f>
        <v/>
      </c>
    </row>
    <row r="2190" ht="15" customHeight="1" s="21">
      <c r="A2190" s="34" t="n"/>
      <c r="B2190" s="30" t="n"/>
      <c r="C2190" s="30" t="n"/>
      <c r="D2190" s="30" t="n"/>
      <c r="E2190" s="33">
        <f>IF(B2190="","",IFERROR(INDEX(Productos!$B$2:$B$501,MATCH(B2190,Productos!$A$2:$A$501,0)),"¿Código?"))</f>
        <v/>
      </c>
      <c r="F2190" s="32">
        <f>IF(C2190&lt;&gt;"Venta","",D2190*IFERROR(INDEX(Productos!$D$2:$D$501,MATCH(B2190,Productos!$A$2:$A$501,0)),0))</f>
        <v/>
      </c>
      <c r="G2190" s="32">
        <f>IF(C2190&lt;&gt;"Venta","",D2190*IFERROR(INDEX(Productos!$E$2:$E$501,MATCH(B2190,Productos!$A$2:$A$501,0)),0))</f>
        <v/>
      </c>
      <c r="H2190" s="33">
        <f>IF(A2190="","",MONTH(A2190))</f>
        <v/>
      </c>
      <c r="I2190" s="33">
        <f>IF(A2190="","",YEAR(A2190))</f>
        <v/>
      </c>
    </row>
    <row r="2191" ht="15" customHeight="1" s="21">
      <c r="A2191" s="34" t="n"/>
      <c r="B2191" s="30" t="n"/>
      <c r="C2191" s="30" t="n"/>
      <c r="D2191" s="30" t="n"/>
      <c r="E2191" s="33">
        <f>IF(B2191="","",IFERROR(INDEX(Productos!$B$2:$B$501,MATCH(B2191,Productos!$A$2:$A$501,0)),"¿Código?"))</f>
        <v/>
      </c>
      <c r="F2191" s="32">
        <f>IF(C2191&lt;&gt;"Venta","",D2191*IFERROR(INDEX(Productos!$D$2:$D$501,MATCH(B2191,Productos!$A$2:$A$501,0)),0))</f>
        <v/>
      </c>
      <c r="G2191" s="32">
        <f>IF(C2191&lt;&gt;"Venta","",D2191*IFERROR(INDEX(Productos!$E$2:$E$501,MATCH(B2191,Productos!$A$2:$A$501,0)),0))</f>
        <v/>
      </c>
      <c r="H2191" s="33">
        <f>IF(A2191="","",MONTH(A2191))</f>
        <v/>
      </c>
      <c r="I2191" s="33">
        <f>IF(A2191="","",YEAR(A2191))</f>
        <v/>
      </c>
    </row>
    <row r="2192" ht="15" customHeight="1" s="21">
      <c r="A2192" s="34" t="n"/>
      <c r="B2192" s="30" t="n"/>
      <c r="C2192" s="30" t="n"/>
      <c r="D2192" s="30" t="n"/>
      <c r="E2192" s="33">
        <f>IF(B2192="","",IFERROR(INDEX(Productos!$B$2:$B$501,MATCH(B2192,Productos!$A$2:$A$501,0)),"¿Código?"))</f>
        <v/>
      </c>
      <c r="F2192" s="32">
        <f>IF(C2192&lt;&gt;"Venta","",D2192*IFERROR(INDEX(Productos!$D$2:$D$501,MATCH(B2192,Productos!$A$2:$A$501,0)),0))</f>
        <v/>
      </c>
      <c r="G2192" s="32">
        <f>IF(C2192&lt;&gt;"Venta","",D2192*IFERROR(INDEX(Productos!$E$2:$E$501,MATCH(B2192,Productos!$A$2:$A$501,0)),0))</f>
        <v/>
      </c>
      <c r="H2192" s="33">
        <f>IF(A2192="","",MONTH(A2192))</f>
        <v/>
      </c>
      <c r="I2192" s="33">
        <f>IF(A2192="","",YEAR(A2192))</f>
        <v/>
      </c>
    </row>
    <row r="2193" ht="15" customHeight="1" s="21">
      <c r="A2193" s="34" t="n"/>
      <c r="B2193" s="30" t="n"/>
      <c r="C2193" s="30" t="n"/>
      <c r="D2193" s="30" t="n"/>
      <c r="E2193" s="33">
        <f>IF(B2193="","",IFERROR(INDEX(Productos!$B$2:$B$501,MATCH(B2193,Productos!$A$2:$A$501,0)),"¿Código?"))</f>
        <v/>
      </c>
      <c r="F2193" s="32">
        <f>IF(C2193&lt;&gt;"Venta","",D2193*IFERROR(INDEX(Productos!$D$2:$D$501,MATCH(B2193,Productos!$A$2:$A$501,0)),0))</f>
        <v/>
      </c>
      <c r="G2193" s="32">
        <f>IF(C2193&lt;&gt;"Venta","",D2193*IFERROR(INDEX(Productos!$E$2:$E$501,MATCH(B2193,Productos!$A$2:$A$501,0)),0))</f>
        <v/>
      </c>
      <c r="H2193" s="33">
        <f>IF(A2193="","",MONTH(A2193))</f>
        <v/>
      </c>
      <c r="I2193" s="33">
        <f>IF(A2193="","",YEAR(A2193))</f>
        <v/>
      </c>
    </row>
    <row r="2194" ht="15" customHeight="1" s="21">
      <c r="A2194" s="34" t="n"/>
      <c r="B2194" s="30" t="n"/>
      <c r="C2194" s="30" t="n"/>
      <c r="D2194" s="30" t="n"/>
      <c r="E2194" s="33">
        <f>IF(B2194="","",IFERROR(INDEX(Productos!$B$2:$B$501,MATCH(B2194,Productos!$A$2:$A$501,0)),"¿Código?"))</f>
        <v/>
      </c>
      <c r="F2194" s="32">
        <f>IF(C2194&lt;&gt;"Venta","",D2194*IFERROR(INDEX(Productos!$D$2:$D$501,MATCH(B2194,Productos!$A$2:$A$501,0)),0))</f>
        <v/>
      </c>
      <c r="G2194" s="32">
        <f>IF(C2194&lt;&gt;"Venta","",D2194*IFERROR(INDEX(Productos!$E$2:$E$501,MATCH(B2194,Productos!$A$2:$A$501,0)),0))</f>
        <v/>
      </c>
      <c r="H2194" s="33">
        <f>IF(A2194="","",MONTH(A2194))</f>
        <v/>
      </c>
      <c r="I2194" s="33">
        <f>IF(A2194="","",YEAR(A2194))</f>
        <v/>
      </c>
    </row>
    <row r="2195" ht="15" customHeight="1" s="21">
      <c r="A2195" s="34" t="n"/>
      <c r="B2195" s="30" t="n"/>
      <c r="C2195" s="30" t="n"/>
      <c r="D2195" s="30" t="n"/>
      <c r="E2195" s="33">
        <f>IF(B2195="","",IFERROR(INDEX(Productos!$B$2:$B$501,MATCH(B2195,Productos!$A$2:$A$501,0)),"¿Código?"))</f>
        <v/>
      </c>
      <c r="F2195" s="32">
        <f>IF(C2195&lt;&gt;"Venta","",D2195*IFERROR(INDEX(Productos!$D$2:$D$501,MATCH(B2195,Productos!$A$2:$A$501,0)),0))</f>
        <v/>
      </c>
      <c r="G2195" s="32">
        <f>IF(C2195&lt;&gt;"Venta","",D2195*IFERROR(INDEX(Productos!$E$2:$E$501,MATCH(B2195,Productos!$A$2:$A$501,0)),0))</f>
        <v/>
      </c>
      <c r="H2195" s="33">
        <f>IF(A2195="","",MONTH(A2195))</f>
        <v/>
      </c>
      <c r="I2195" s="33">
        <f>IF(A2195="","",YEAR(A2195))</f>
        <v/>
      </c>
    </row>
    <row r="2196" ht="15" customHeight="1" s="21">
      <c r="A2196" s="34" t="n"/>
      <c r="B2196" s="30" t="n"/>
      <c r="C2196" s="30" t="n"/>
      <c r="D2196" s="30" t="n"/>
      <c r="E2196" s="33">
        <f>IF(B2196="","",IFERROR(INDEX(Productos!$B$2:$B$501,MATCH(B2196,Productos!$A$2:$A$501,0)),"¿Código?"))</f>
        <v/>
      </c>
      <c r="F2196" s="32">
        <f>IF(C2196&lt;&gt;"Venta","",D2196*IFERROR(INDEX(Productos!$D$2:$D$501,MATCH(B2196,Productos!$A$2:$A$501,0)),0))</f>
        <v/>
      </c>
      <c r="G2196" s="32">
        <f>IF(C2196&lt;&gt;"Venta","",D2196*IFERROR(INDEX(Productos!$E$2:$E$501,MATCH(B2196,Productos!$A$2:$A$501,0)),0))</f>
        <v/>
      </c>
      <c r="H2196" s="33">
        <f>IF(A2196="","",MONTH(A2196))</f>
        <v/>
      </c>
      <c r="I2196" s="33">
        <f>IF(A2196="","",YEAR(A2196))</f>
        <v/>
      </c>
    </row>
    <row r="2197" ht="15" customHeight="1" s="21">
      <c r="A2197" s="34" t="n"/>
      <c r="B2197" s="30" t="n"/>
      <c r="C2197" s="30" t="n"/>
      <c r="D2197" s="30" t="n"/>
      <c r="E2197" s="33">
        <f>IF(B2197="","",IFERROR(INDEX(Productos!$B$2:$B$501,MATCH(B2197,Productos!$A$2:$A$501,0)),"¿Código?"))</f>
        <v/>
      </c>
      <c r="F2197" s="32">
        <f>IF(C2197&lt;&gt;"Venta","",D2197*IFERROR(INDEX(Productos!$D$2:$D$501,MATCH(B2197,Productos!$A$2:$A$501,0)),0))</f>
        <v/>
      </c>
      <c r="G2197" s="32">
        <f>IF(C2197&lt;&gt;"Venta","",D2197*IFERROR(INDEX(Productos!$E$2:$E$501,MATCH(B2197,Productos!$A$2:$A$501,0)),0))</f>
        <v/>
      </c>
      <c r="H2197" s="33">
        <f>IF(A2197="","",MONTH(A2197))</f>
        <v/>
      </c>
      <c r="I2197" s="33">
        <f>IF(A2197="","",YEAR(A2197))</f>
        <v/>
      </c>
    </row>
    <row r="2198" ht="15" customHeight="1" s="21">
      <c r="A2198" s="34" t="n"/>
      <c r="B2198" s="30" t="n"/>
      <c r="C2198" s="30" t="n"/>
      <c r="D2198" s="30" t="n"/>
      <c r="E2198" s="33">
        <f>IF(B2198="","",IFERROR(INDEX(Productos!$B$2:$B$501,MATCH(B2198,Productos!$A$2:$A$501,0)),"¿Código?"))</f>
        <v/>
      </c>
      <c r="F2198" s="32">
        <f>IF(C2198&lt;&gt;"Venta","",D2198*IFERROR(INDEX(Productos!$D$2:$D$501,MATCH(B2198,Productos!$A$2:$A$501,0)),0))</f>
        <v/>
      </c>
      <c r="G2198" s="32">
        <f>IF(C2198&lt;&gt;"Venta","",D2198*IFERROR(INDEX(Productos!$E$2:$E$501,MATCH(B2198,Productos!$A$2:$A$501,0)),0))</f>
        <v/>
      </c>
      <c r="H2198" s="33">
        <f>IF(A2198="","",MONTH(A2198))</f>
        <v/>
      </c>
      <c r="I2198" s="33">
        <f>IF(A2198="","",YEAR(A2198))</f>
        <v/>
      </c>
    </row>
    <row r="2199" ht="15" customHeight="1" s="21">
      <c r="A2199" s="34" t="n"/>
      <c r="B2199" s="30" t="n"/>
      <c r="C2199" s="30" t="n"/>
      <c r="D2199" s="30" t="n"/>
      <c r="E2199" s="33">
        <f>IF(B2199="","",IFERROR(INDEX(Productos!$B$2:$B$501,MATCH(B2199,Productos!$A$2:$A$501,0)),"¿Código?"))</f>
        <v/>
      </c>
      <c r="F2199" s="32">
        <f>IF(C2199&lt;&gt;"Venta","",D2199*IFERROR(INDEX(Productos!$D$2:$D$501,MATCH(B2199,Productos!$A$2:$A$501,0)),0))</f>
        <v/>
      </c>
      <c r="G2199" s="32">
        <f>IF(C2199&lt;&gt;"Venta","",D2199*IFERROR(INDEX(Productos!$E$2:$E$501,MATCH(B2199,Productos!$A$2:$A$501,0)),0))</f>
        <v/>
      </c>
      <c r="H2199" s="33">
        <f>IF(A2199="","",MONTH(A2199))</f>
        <v/>
      </c>
      <c r="I2199" s="33">
        <f>IF(A2199="","",YEAR(A2199))</f>
        <v/>
      </c>
    </row>
    <row r="2200" ht="15" customHeight="1" s="21">
      <c r="A2200" s="34" t="n"/>
      <c r="B2200" s="30" t="n"/>
      <c r="C2200" s="30" t="n"/>
      <c r="D2200" s="30" t="n"/>
      <c r="E2200" s="33">
        <f>IF(B2200="","",IFERROR(INDEX(Productos!$B$2:$B$501,MATCH(B2200,Productos!$A$2:$A$501,0)),"¿Código?"))</f>
        <v/>
      </c>
      <c r="F2200" s="32">
        <f>IF(C2200&lt;&gt;"Venta","",D2200*IFERROR(INDEX(Productos!$D$2:$D$501,MATCH(B2200,Productos!$A$2:$A$501,0)),0))</f>
        <v/>
      </c>
      <c r="G2200" s="32">
        <f>IF(C2200&lt;&gt;"Venta","",D2200*IFERROR(INDEX(Productos!$E$2:$E$501,MATCH(B2200,Productos!$A$2:$A$501,0)),0))</f>
        <v/>
      </c>
      <c r="H2200" s="33">
        <f>IF(A2200="","",MONTH(A2200))</f>
        <v/>
      </c>
      <c r="I2200" s="33">
        <f>IF(A2200="","",YEAR(A2200))</f>
        <v/>
      </c>
    </row>
    <row r="2201" ht="15" customHeight="1" s="21">
      <c r="A2201" s="34" t="n"/>
      <c r="B2201" s="30" t="n"/>
      <c r="C2201" s="30" t="n"/>
      <c r="D2201" s="30" t="n"/>
      <c r="E2201" s="33">
        <f>IF(B2201="","",IFERROR(INDEX(Productos!$B$2:$B$501,MATCH(B2201,Productos!$A$2:$A$501,0)),"¿Código?"))</f>
        <v/>
      </c>
      <c r="F2201" s="32">
        <f>IF(C2201&lt;&gt;"Venta","",D2201*IFERROR(INDEX(Productos!$D$2:$D$501,MATCH(B2201,Productos!$A$2:$A$501,0)),0))</f>
        <v/>
      </c>
      <c r="G2201" s="32">
        <f>IF(C2201&lt;&gt;"Venta","",D2201*IFERROR(INDEX(Productos!$E$2:$E$501,MATCH(B2201,Productos!$A$2:$A$501,0)),0))</f>
        <v/>
      </c>
      <c r="H2201" s="33">
        <f>IF(A2201="","",MONTH(A2201))</f>
        <v/>
      </c>
      <c r="I2201" s="33">
        <f>IF(A2201="","",YEAR(A2201))</f>
        <v/>
      </c>
    </row>
    <row r="2202" ht="15" customHeight="1" s="21">
      <c r="A2202" s="34" t="n"/>
      <c r="B2202" s="30" t="n"/>
      <c r="C2202" s="30" t="n"/>
      <c r="D2202" s="30" t="n"/>
      <c r="E2202" s="33">
        <f>IF(B2202="","",IFERROR(INDEX(Productos!$B$2:$B$501,MATCH(B2202,Productos!$A$2:$A$501,0)),"¿Código?"))</f>
        <v/>
      </c>
      <c r="F2202" s="32">
        <f>IF(C2202&lt;&gt;"Venta","",D2202*IFERROR(INDEX(Productos!$D$2:$D$501,MATCH(B2202,Productos!$A$2:$A$501,0)),0))</f>
        <v/>
      </c>
      <c r="G2202" s="32">
        <f>IF(C2202&lt;&gt;"Venta","",D2202*IFERROR(INDEX(Productos!$E$2:$E$501,MATCH(B2202,Productos!$A$2:$A$501,0)),0))</f>
        <v/>
      </c>
      <c r="H2202" s="33">
        <f>IF(A2202="","",MONTH(A2202))</f>
        <v/>
      </c>
      <c r="I2202" s="33">
        <f>IF(A2202="","",YEAR(A2202))</f>
        <v/>
      </c>
    </row>
    <row r="2203" ht="15" customHeight="1" s="21">
      <c r="A2203" s="34" t="n"/>
      <c r="B2203" s="30" t="n"/>
      <c r="C2203" s="30" t="n"/>
      <c r="D2203" s="30" t="n"/>
      <c r="E2203" s="33">
        <f>IF(B2203="","",IFERROR(INDEX(Productos!$B$2:$B$501,MATCH(B2203,Productos!$A$2:$A$501,0)),"¿Código?"))</f>
        <v/>
      </c>
      <c r="F2203" s="32">
        <f>IF(C2203&lt;&gt;"Venta","",D2203*IFERROR(INDEX(Productos!$D$2:$D$501,MATCH(B2203,Productos!$A$2:$A$501,0)),0))</f>
        <v/>
      </c>
      <c r="G2203" s="32">
        <f>IF(C2203&lt;&gt;"Venta","",D2203*IFERROR(INDEX(Productos!$E$2:$E$501,MATCH(B2203,Productos!$A$2:$A$501,0)),0))</f>
        <v/>
      </c>
      <c r="H2203" s="33">
        <f>IF(A2203="","",MONTH(A2203))</f>
        <v/>
      </c>
      <c r="I2203" s="33">
        <f>IF(A2203="","",YEAR(A2203))</f>
        <v/>
      </c>
    </row>
    <row r="2204" ht="15" customHeight="1" s="21">
      <c r="A2204" s="34" t="n"/>
      <c r="B2204" s="30" t="n"/>
      <c r="C2204" s="30" t="n"/>
      <c r="D2204" s="30" t="n"/>
      <c r="E2204" s="33">
        <f>IF(B2204="","",IFERROR(INDEX(Productos!$B$2:$B$501,MATCH(B2204,Productos!$A$2:$A$501,0)),"¿Código?"))</f>
        <v/>
      </c>
      <c r="F2204" s="32">
        <f>IF(C2204&lt;&gt;"Venta","",D2204*IFERROR(INDEX(Productos!$D$2:$D$501,MATCH(B2204,Productos!$A$2:$A$501,0)),0))</f>
        <v/>
      </c>
      <c r="G2204" s="32">
        <f>IF(C2204&lt;&gt;"Venta","",D2204*IFERROR(INDEX(Productos!$E$2:$E$501,MATCH(B2204,Productos!$A$2:$A$501,0)),0))</f>
        <v/>
      </c>
      <c r="H2204" s="33">
        <f>IF(A2204="","",MONTH(A2204))</f>
        <v/>
      </c>
      <c r="I2204" s="33">
        <f>IF(A2204="","",YEAR(A2204))</f>
        <v/>
      </c>
    </row>
    <row r="2205" ht="15" customHeight="1" s="21">
      <c r="A2205" s="34" t="n"/>
      <c r="B2205" s="30" t="n"/>
      <c r="C2205" s="30" t="n"/>
      <c r="D2205" s="30" t="n"/>
      <c r="E2205" s="33">
        <f>IF(B2205="","",IFERROR(INDEX(Productos!$B$2:$B$501,MATCH(B2205,Productos!$A$2:$A$501,0)),"¿Código?"))</f>
        <v/>
      </c>
      <c r="F2205" s="32">
        <f>IF(C2205&lt;&gt;"Venta","",D2205*IFERROR(INDEX(Productos!$D$2:$D$501,MATCH(B2205,Productos!$A$2:$A$501,0)),0))</f>
        <v/>
      </c>
      <c r="G2205" s="32">
        <f>IF(C2205&lt;&gt;"Venta","",D2205*IFERROR(INDEX(Productos!$E$2:$E$501,MATCH(B2205,Productos!$A$2:$A$501,0)),0))</f>
        <v/>
      </c>
      <c r="H2205" s="33">
        <f>IF(A2205="","",MONTH(A2205))</f>
        <v/>
      </c>
      <c r="I2205" s="33">
        <f>IF(A2205="","",YEAR(A2205))</f>
        <v/>
      </c>
    </row>
    <row r="2206" ht="15" customHeight="1" s="21">
      <c r="A2206" s="34" t="n"/>
      <c r="B2206" s="30" t="n"/>
      <c r="C2206" s="30" t="n"/>
      <c r="D2206" s="30" t="n"/>
      <c r="E2206" s="33">
        <f>IF(B2206="","",IFERROR(INDEX(Productos!$B$2:$B$501,MATCH(B2206,Productos!$A$2:$A$501,0)),"¿Código?"))</f>
        <v/>
      </c>
      <c r="F2206" s="32">
        <f>IF(C2206&lt;&gt;"Venta","",D2206*IFERROR(INDEX(Productos!$D$2:$D$501,MATCH(B2206,Productos!$A$2:$A$501,0)),0))</f>
        <v/>
      </c>
      <c r="G2206" s="32">
        <f>IF(C2206&lt;&gt;"Venta","",D2206*IFERROR(INDEX(Productos!$E$2:$E$501,MATCH(B2206,Productos!$A$2:$A$501,0)),0))</f>
        <v/>
      </c>
      <c r="H2206" s="33">
        <f>IF(A2206="","",MONTH(A2206))</f>
        <v/>
      </c>
      <c r="I2206" s="33">
        <f>IF(A2206="","",YEAR(A2206))</f>
        <v/>
      </c>
    </row>
    <row r="2207" ht="15" customHeight="1" s="21">
      <c r="A2207" s="34" t="n"/>
      <c r="B2207" s="30" t="n"/>
      <c r="C2207" s="30" t="n"/>
      <c r="D2207" s="30" t="n"/>
      <c r="E2207" s="33">
        <f>IF(B2207="","",IFERROR(INDEX(Productos!$B$2:$B$501,MATCH(B2207,Productos!$A$2:$A$501,0)),"¿Código?"))</f>
        <v/>
      </c>
      <c r="F2207" s="32">
        <f>IF(C2207&lt;&gt;"Venta","",D2207*IFERROR(INDEX(Productos!$D$2:$D$501,MATCH(B2207,Productos!$A$2:$A$501,0)),0))</f>
        <v/>
      </c>
      <c r="G2207" s="32">
        <f>IF(C2207&lt;&gt;"Venta","",D2207*IFERROR(INDEX(Productos!$E$2:$E$501,MATCH(B2207,Productos!$A$2:$A$501,0)),0))</f>
        <v/>
      </c>
      <c r="H2207" s="33">
        <f>IF(A2207="","",MONTH(A2207))</f>
        <v/>
      </c>
      <c r="I2207" s="33">
        <f>IF(A2207="","",YEAR(A2207))</f>
        <v/>
      </c>
    </row>
    <row r="2208" ht="15" customHeight="1" s="21">
      <c r="A2208" s="34" t="n"/>
      <c r="B2208" s="30" t="n"/>
      <c r="C2208" s="30" t="n"/>
      <c r="D2208" s="30" t="n"/>
      <c r="E2208" s="33">
        <f>IF(B2208="","",IFERROR(INDEX(Productos!$B$2:$B$501,MATCH(B2208,Productos!$A$2:$A$501,0)),"¿Código?"))</f>
        <v/>
      </c>
      <c r="F2208" s="32">
        <f>IF(C2208&lt;&gt;"Venta","",D2208*IFERROR(INDEX(Productos!$D$2:$D$501,MATCH(B2208,Productos!$A$2:$A$501,0)),0))</f>
        <v/>
      </c>
      <c r="G2208" s="32">
        <f>IF(C2208&lt;&gt;"Venta","",D2208*IFERROR(INDEX(Productos!$E$2:$E$501,MATCH(B2208,Productos!$A$2:$A$501,0)),0))</f>
        <v/>
      </c>
      <c r="H2208" s="33">
        <f>IF(A2208="","",MONTH(A2208))</f>
        <v/>
      </c>
      <c r="I2208" s="33">
        <f>IF(A2208="","",YEAR(A2208))</f>
        <v/>
      </c>
    </row>
    <row r="2209" ht="15" customHeight="1" s="21">
      <c r="A2209" s="34" t="n"/>
      <c r="B2209" s="30" t="n"/>
      <c r="C2209" s="30" t="n"/>
      <c r="D2209" s="30" t="n"/>
      <c r="E2209" s="33">
        <f>IF(B2209="","",IFERROR(INDEX(Productos!$B$2:$B$501,MATCH(B2209,Productos!$A$2:$A$501,0)),"¿Código?"))</f>
        <v/>
      </c>
      <c r="F2209" s="32">
        <f>IF(C2209&lt;&gt;"Venta","",D2209*IFERROR(INDEX(Productos!$D$2:$D$501,MATCH(B2209,Productos!$A$2:$A$501,0)),0))</f>
        <v/>
      </c>
      <c r="G2209" s="32">
        <f>IF(C2209&lt;&gt;"Venta","",D2209*IFERROR(INDEX(Productos!$E$2:$E$501,MATCH(B2209,Productos!$A$2:$A$501,0)),0))</f>
        <v/>
      </c>
      <c r="H2209" s="33">
        <f>IF(A2209="","",MONTH(A2209))</f>
        <v/>
      </c>
      <c r="I2209" s="33">
        <f>IF(A2209="","",YEAR(A2209))</f>
        <v/>
      </c>
    </row>
    <row r="2210" ht="15" customHeight="1" s="21">
      <c r="A2210" s="34" t="n"/>
      <c r="B2210" s="30" t="n"/>
      <c r="C2210" s="30" t="n"/>
      <c r="D2210" s="30" t="n"/>
      <c r="E2210" s="33">
        <f>IF(B2210="","",IFERROR(INDEX(Productos!$B$2:$B$501,MATCH(B2210,Productos!$A$2:$A$501,0)),"¿Código?"))</f>
        <v/>
      </c>
      <c r="F2210" s="32">
        <f>IF(C2210&lt;&gt;"Venta","",D2210*IFERROR(INDEX(Productos!$D$2:$D$501,MATCH(B2210,Productos!$A$2:$A$501,0)),0))</f>
        <v/>
      </c>
      <c r="G2210" s="32">
        <f>IF(C2210&lt;&gt;"Venta","",D2210*IFERROR(INDEX(Productos!$E$2:$E$501,MATCH(B2210,Productos!$A$2:$A$501,0)),0))</f>
        <v/>
      </c>
      <c r="H2210" s="33">
        <f>IF(A2210="","",MONTH(A2210))</f>
        <v/>
      </c>
      <c r="I2210" s="33">
        <f>IF(A2210="","",YEAR(A2210))</f>
        <v/>
      </c>
    </row>
    <row r="2211" ht="15" customHeight="1" s="21">
      <c r="A2211" s="34" t="n"/>
      <c r="B2211" s="30" t="n"/>
      <c r="C2211" s="30" t="n"/>
      <c r="D2211" s="30" t="n"/>
      <c r="E2211" s="33">
        <f>IF(B2211="","",IFERROR(INDEX(Productos!$B$2:$B$501,MATCH(B2211,Productos!$A$2:$A$501,0)),"¿Código?"))</f>
        <v/>
      </c>
      <c r="F2211" s="32">
        <f>IF(C2211&lt;&gt;"Venta","",D2211*IFERROR(INDEX(Productos!$D$2:$D$501,MATCH(B2211,Productos!$A$2:$A$501,0)),0))</f>
        <v/>
      </c>
      <c r="G2211" s="32">
        <f>IF(C2211&lt;&gt;"Venta","",D2211*IFERROR(INDEX(Productos!$E$2:$E$501,MATCH(B2211,Productos!$A$2:$A$501,0)),0))</f>
        <v/>
      </c>
      <c r="H2211" s="33">
        <f>IF(A2211="","",MONTH(A2211))</f>
        <v/>
      </c>
      <c r="I2211" s="33">
        <f>IF(A2211="","",YEAR(A2211))</f>
        <v/>
      </c>
    </row>
    <row r="2212" ht="15" customHeight="1" s="21">
      <c r="A2212" s="34" t="n"/>
      <c r="B2212" s="30" t="n"/>
      <c r="C2212" s="30" t="n"/>
      <c r="D2212" s="30" t="n"/>
      <c r="E2212" s="33">
        <f>IF(B2212="","",IFERROR(INDEX(Productos!$B$2:$B$501,MATCH(B2212,Productos!$A$2:$A$501,0)),"¿Código?"))</f>
        <v/>
      </c>
      <c r="F2212" s="32">
        <f>IF(C2212&lt;&gt;"Venta","",D2212*IFERROR(INDEX(Productos!$D$2:$D$501,MATCH(B2212,Productos!$A$2:$A$501,0)),0))</f>
        <v/>
      </c>
      <c r="G2212" s="32">
        <f>IF(C2212&lt;&gt;"Venta","",D2212*IFERROR(INDEX(Productos!$E$2:$E$501,MATCH(B2212,Productos!$A$2:$A$501,0)),0))</f>
        <v/>
      </c>
      <c r="H2212" s="33">
        <f>IF(A2212="","",MONTH(A2212))</f>
        <v/>
      </c>
      <c r="I2212" s="33">
        <f>IF(A2212="","",YEAR(A2212))</f>
        <v/>
      </c>
    </row>
    <row r="2213" ht="15" customHeight="1" s="21">
      <c r="A2213" s="34" t="n"/>
      <c r="B2213" s="30" t="n"/>
      <c r="C2213" s="30" t="n"/>
      <c r="D2213" s="30" t="n"/>
      <c r="E2213" s="33">
        <f>IF(B2213="","",IFERROR(INDEX(Productos!$B$2:$B$501,MATCH(B2213,Productos!$A$2:$A$501,0)),"¿Código?"))</f>
        <v/>
      </c>
      <c r="F2213" s="32">
        <f>IF(C2213&lt;&gt;"Venta","",D2213*IFERROR(INDEX(Productos!$D$2:$D$501,MATCH(B2213,Productos!$A$2:$A$501,0)),0))</f>
        <v/>
      </c>
      <c r="G2213" s="32">
        <f>IF(C2213&lt;&gt;"Venta","",D2213*IFERROR(INDEX(Productos!$E$2:$E$501,MATCH(B2213,Productos!$A$2:$A$501,0)),0))</f>
        <v/>
      </c>
      <c r="H2213" s="33">
        <f>IF(A2213="","",MONTH(A2213))</f>
        <v/>
      </c>
      <c r="I2213" s="33">
        <f>IF(A2213="","",YEAR(A2213))</f>
        <v/>
      </c>
    </row>
    <row r="2214" ht="15" customHeight="1" s="21">
      <c r="A2214" s="34" t="n"/>
      <c r="B2214" s="30" t="n"/>
      <c r="C2214" s="30" t="n"/>
      <c r="D2214" s="30" t="n"/>
      <c r="E2214" s="33">
        <f>IF(B2214="","",IFERROR(INDEX(Productos!$B$2:$B$501,MATCH(B2214,Productos!$A$2:$A$501,0)),"¿Código?"))</f>
        <v/>
      </c>
      <c r="F2214" s="32">
        <f>IF(C2214&lt;&gt;"Venta","",D2214*IFERROR(INDEX(Productos!$D$2:$D$501,MATCH(B2214,Productos!$A$2:$A$501,0)),0))</f>
        <v/>
      </c>
      <c r="G2214" s="32">
        <f>IF(C2214&lt;&gt;"Venta","",D2214*IFERROR(INDEX(Productos!$E$2:$E$501,MATCH(B2214,Productos!$A$2:$A$501,0)),0))</f>
        <v/>
      </c>
      <c r="H2214" s="33">
        <f>IF(A2214="","",MONTH(A2214))</f>
        <v/>
      </c>
      <c r="I2214" s="33">
        <f>IF(A2214="","",YEAR(A2214))</f>
        <v/>
      </c>
    </row>
    <row r="2215" ht="15" customHeight="1" s="21">
      <c r="A2215" s="34" t="n"/>
      <c r="B2215" s="30" t="n"/>
      <c r="C2215" s="30" t="n"/>
      <c r="D2215" s="30" t="n"/>
      <c r="E2215" s="33">
        <f>IF(B2215="","",IFERROR(INDEX(Productos!$B$2:$B$501,MATCH(B2215,Productos!$A$2:$A$501,0)),"¿Código?"))</f>
        <v/>
      </c>
      <c r="F2215" s="32">
        <f>IF(C2215&lt;&gt;"Venta","",D2215*IFERROR(INDEX(Productos!$D$2:$D$501,MATCH(B2215,Productos!$A$2:$A$501,0)),0))</f>
        <v/>
      </c>
      <c r="G2215" s="32">
        <f>IF(C2215&lt;&gt;"Venta","",D2215*IFERROR(INDEX(Productos!$E$2:$E$501,MATCH(B2215,Productos!$A$2:$A$501,0)),0))</f>
        <v/>
      </c>
      <c r="H2215" s="33">
        <f>IF(A2215="","",MONTH(A2215))</f>
        <v/>
      </c>
      <c r="I2215" s="33">
        <f>IF(A2215="","",YEAR(A2215))</f>
        <v/>
      </c>
    </row>
    <row r="2216" ht="15" customHeight="1" s="21">
      <c r="A2216" s="34" t="n"/>
      <c r="B2216" s="30" t="n"/>
      <c r="C2216" s="30" t="n"/>
      <c r="D2216" s="30" t="n"/>
      <c r="E2216" s="33">
        <f>IF(B2216="","",IFERROR(INDEX(Productos!$B$2:$B$501,MATCH(B2216,Productos!$A$2:$A$501,0)),"¿Código?"))</f>
        <v/>
      </c>
      <c r="F2216" s="32">
        <f>IF(C2216&lt;&gt;"Venta","",D2216*IFERROR(INDEX(Productos!$D$2:$D$501,MATCH(B2216,Productos!$A$2:$A$501,0)),0))</f>
        <v/>
      </c>
      <c r="G2216" s="32">
        <f>IF(C2216&lt;&gt;"Venta","",D2216*IFERROR(INDEX(Productos!$E$2:$E$501,MATCH(B2216,Productos!$A$2:$A$501,0)),0))</f>
        <v/>
      </c>
      <c r="H2216" s="33">
        <f>IF(A2216="","",MONTH(A2216))</f>
        <v/>
      </c>
      <c r="I2216" s="33">
        <f>IF(A2216="","",YEAR(A2216))</f>
        <v/>
      </c>
    </row>
    <row r="2217" ht="15" customHeight="1" s="21">
      <c r="A2217" s="34" t="n"/>
      <c r="B2217" s="30" t="n"/>
      <c r="C2217" s="30" t="n"/>
      <c r="D2217" s="30" t="n"/>
      <c r="E2217" s="33">
        <f>IF(B2217="","",IFERROR(INDEX(Productos!$B$2:$B$501,MATCH(B2217,Productos!$A$2:$A$501,0)),"¿Código?"))</f>
        <v/>
      </c>
      <c r="F2217" s="32">
        <f>IF(C2217&lt;&gt;"Venta","",D2217*IFERROR(INDEX(Productos!$D$2:$D$501,MATCH(B2217,Productos!$A$2:$A$501,0)),0))</f>
        <v/>
      </c>
      <c r="G2217" s="32">
        <f>IF(C2217&lt;&gt;"Venta","",D2217*IFERROR(INDEX(Productos!$E$2:$E$501,MATCH(B2217,Productos!$A$2:$A$501,0)),0))</f>
        <v/>
      </c>
      <c r="H2217" s="33">
        <f>IF(A2217="","",MONTH(A2217))</f>
        <v/>
      </c>
      <c r="I2217" s="33">
        <f>IF(A2217="","",YEAR(A2217))</f>
        <v/>
      </c>
    </row>
    <row r="2218" ht="15" customHeight="1" s="21">
      <c r="A2218" s="34" t="n"/>
      <c r="B2218" s="30" t="n"/>
      <c r="C2218" s="30" t="n"/>
      <c r="D2218" s="30" t="n"/>
      <c r="E2218" s="33">
        <f>IF(B2218="","",IFERROR(INDEX(Productos!$B$2:$B$501,MATCH(B2218,Productos!$A$2:$A$501,0)),"¿Código?"))</f>
        <v/>
      </c>
      <c r="F2218" s="32">
        <f>IF(C2218&lt;&gt;"Venta","",D2218*IFERROR(INDEX(Productos!$D$2:$D$501,MATCH(B2218,Productos!$A$2:$A$501,0)),0))</f>
        <v/>
      </c>
      <c r="G2218" s="32">
        <f>IF(C2218&lt;&gt;"Venta","",D2218*IFERROR(INDEX(Productos!$E$2:$E$501,MATCH(B2218,Productos!$A$2:$A$501,0)),0))</f>
        <v/>
      </c>
      <c r="H2218" s="33">
        <f>IF(A2218="","",MONTH(A2218))</f>
        <v/>
      </c>
      <c r="I2218" s="33">
        <f>IF(A2218="","",YEAR(A2218))</f>
        <v/>
      </c>
    </row>
    <row r="2219" ht="15" customHeight="1" s="21">
      <c r="A2219" s="34" t="n"/>
      <c r="B2219" s="30" t="n"/>
      <c r="C2219" s="30" t="n"/>
      <c r="D2219" s="30" t="n"/>
      <c r="E2219" s="33">
        <f>IF(B2219="","",IFERROR(INDEX(Productos!$B$2:$B$501,MATCH(B2219,Productos!$A$2:$A$501,0)),"¿Código?"))</f>
        <v/>
      </c>
      <c r="F2219" s="32">
        <f>IF(C2219&lt;&gt;"Venta","",D2219*IFERROR(INDEX(Productos!$D$2:$D$501,MATCH(B2219,Productos!$A$2:$A$501,0)),0))</f>
        <v/>
      </c>
      <c r="G2219" s="32">
        <f>IF(C2219&lt;&gt;"Venta","",D2219*IFERROR(INDEX(Productos!$E$2:$E$501,MATCH(B2219,Productos!$A$2:$A$501,0)),0))</f>
        <v/>
      </c>
      <c r="H2219" s="33">
        <f>IF(A2219="","",MONTH(A2219))</f>
        <v/>
      </c>
      <c r="I2219" s="33">
        <f>IF(A2219="","",YEAR(A2219))</f>
        <v/>
      </c>
    </row>
    <row r="2220" ht="15" customHeight="1" s="21">
      <c r="A2220" s="34" t="n"/>
      <c r="B2220" s="30" t="n"/>
      <c r="C2220" s="30" t="n"/>
      <c r="D2220" s="30" t="n"/>
      <c r="E2220" s="33">
        <f>IF(B2220="","",IFERROR(INDEX(Productos!$B$2:$B$501,MATCH(B2220,Productos!$A$2:$A$501,0)),"¿Código?"))</f>
        <v/>
      </c>
      <c r="F2220" s="32">
        <f>IF(C2220&lt;&gt;"Venta","",D2220*IFERROR(INDEX(Productos!$D$2:$D$501,MATCH(B2220,Productos!$A$2:$A$501,0)),0))</f>
        <v/>
      </c>
      <c r="G2220" s="32">
        <f>IF(C2220&lt;&gt;"Venta","",D2220*IFERROR(INDEX(Productos!$E$2:$E$501,MATCH(B2220,Productos!$A$2:$A$501,0)),0))</f>
        <v/>
      </c>
      <c r="H2220" s="33">
        <f>IF(A2220="","",MONTH(A2220))</f>
        <v/>
      </c>
      <c r="I2220" s="33">
        <f>IF(A2220="","",YEAR(A2220))</f>
        <v/>
      </c>
    </row>
    <row r="2221" ht="15" customHeight="1" s="21">
      <c r="A2221" s="34" t="n"/>
      <c r="B2221" s="30" t="n"/>
      <c r="C2221" s="30" t="n"/>
      <c r="D2221" s="30" t="n"/>
      <c r="E2221" s="33">
        <f>IF(B2221="","",IFERROR(INDEX(Productos!$B$2:$B$501,MATCH(B2221,Productos!$A$2:$A$501,0)),"¿Código?"))</f>
        <v/>
      </c>
      <c r="F2221" s="32">
        <f>IF(C2221&lt;&gt;"Venta","",D2221*IFERROR(INDEX(Productos!$D$2:$D$501,MATCH(B2221,Productos!$A$2:$A$501,0)),0))</f>
        <v/>
      </c>
      <c r="G2221" s="32">
        <f>IF(C2221&lt;&gt;"Venta","",D2221*IFERROR(INDEX(Productos!$E$2:$E$501,MATCH(B2221,Productos!$A$2:$A$501,0)),0))</f>
        <v/>
      </c>
      <c r="H2221" s="33">
        <f>IF(A2221="","",MONTH(A2221))</f>
        <v/>
      </c>
      <c r="I2221" s="33">
        <f>IF(A2221="","",YEAR(A2221))</f>
        <v/>
      </c>
    </row>
    <row r="2222" ht="15" customHeight="1" s="21">
      <c r="A2222" s="34" t="n"/>
      <c r="B2222" s="30" t="n"/>
      <c r="C2222" s="30" t="n"/>
      <c r="D2222" s="30" t="n"/>
      <c r="E2222" s="33">
        <f>IF(B2222="","",IFERROR(INDEX(Productos!$B$2:$B$501,MATCH(B2222,Productos!$A$2:$A$501,0)),"¿Código?"))</f>
        <v/>
      </c>
      <c r="F2222" s="32">
        <f>IF(C2222&lt;&gt;"Venta","",D2222*IFERROR(INDEX(Productos!$D$2:$D$501,MATCH(B2222,Productos!$A$2:$A$501,0)),0))</f>
        <v/>
      </c>
      <c r="G2222" s="32">
        <f>IF(C2222&lt;&gt;"Venta","",D2222*IFERROR(INDEX(Productos!$E$2:$E$501,MATCH(B2222,Productos!$A$2:$A$501,0)),0))</f>
        <v/>
      </c>
      <c r="H2222" s="33">
        <f>IF(A2222="","",MONTH(A2222))</f>
        <v/>
      </c>
      <c r="I2222" s="33">
        <f>IF(A2222="","",YEAR(A2222))</f>
        <v/>
      </c>
    </row>
    <row r="2223" ht="15" customHeight="1" s="21">
      <c r="A2223" s="34" t="n"/>
      <c r="B2223" s="30" t="n"/>
      <c r="C2223" s="30" t="n"/>
      <c r="D2223" s="30" t="n"/>
      <c r="E2223" s="33">
        <f>IF(B2223="","",IFERROR(INDEX(Productos!$B$2:$B$501,MATCH(B2223,Productos!$A$2:$A$501,0)),"¿Código?"))</f>
        <v/>
      </c>
      <c r="F2223" s="32">
        <f>IF(C2223&lt;&gt;"Venta","",D2223*IFERROR(INDEX(Productos!$D$2:$D$501,MATCH(B2223,Productos!$A$2:$A$501,0)),0))</f>
        <v/>
      </c>
      <c r="G2223" s="32">
        <f>IF(C2223&lt;&gt;"Venta","",D2223*IFERROR(INDEX(Productos!$E$2:$E$501,MATCH(B2223,Productos!$A$2:$A$501,0)),0))</f>
        <v/>
      </c>
      <c r="H2223" s="33">
        <f>IF(A2223="","",MONTH(A2223))</f>
        <v/>
      </c>
      <c r="I2223" s="33">
        <f>IF(A2223="","",YEAR(A2223))</f>
        <v/>
      </c>
    </row>
    <row r="2224" ht="15" customHeight="1" s="21">
      <c r="A2224" s="34" t="n"/>
      <c r="B2224" s="30" t="n"/>
      <c r="C2224" s="30" t="n"/>
      <c r="D2224" s="30" t="n"/>
      <c r="E2224" s="33">
        <f>IF(B2224="","",IFERROR(INDEX(Productos!$B$2:$B$501,MATCH(B2224,Productos!$A$2:$A$501,0)),"¿Código?"))</f>
        <v/>
      </c>
      <c r="F2224" s="32">
        <f>IF(C2224&lt;&gt;"Venta","",D2224*IFERROR(INDEX(Productos!$D$2:$D$501,MATCH(B2224,Productos!$A$2:$A$501,0)),0))</f>
        <v/>
      </c>
      <c r="G2224" s="32">
        <f>IF(C2224&lt;&gt;"Venta","",D2224*IFERROR(INDEX(Productos!$E$2:$E$501,MATCH(B2224,Productos!$A$2:$A$501,0)),0))</f>
        <v/>
      </c>
      <c r="H2224" s="33">
        <f>IF(A2224="","",MONTH(A2224))</f>
        <v/>
      </c>
      <c r="I2224" s="33">
        <f>IF(A2224="","",YEAR(A2224))</f>
        <v/>
      </c>
    </row>
    <row r="2225" ht="15" customHeight="1" s="21">
      <c r="A2225" s="34" t="n"/>
      <c r="B2225" s="30" t="n"/>
      <c r="C2225" s="30" t="n"/>
      <c r="D2225" s="30" t="n"/>
      <c r="E2225" s="33">
        <f>IF(B2225="","",IFERROR(INDEX(Productos!$B$2:$B$501,MATCH(B2225,Productos!$A$2:$A$501,0)),"¿Código?"))</f>
        <v/>
      </c>
      <c r="F2225" s="32">
        <f>IF(C2225&lt;&gt;"Venta","",D2225*IFERROR(INDEX(Productos!$D$2:$D$501,MATCH(B2225,Productos!$A$2:$A$501,0)),0))</f>
        <v/>
      </c>
      <c r="G2225" s="32">
        <f>IF(C2225&lt;&gt;"Venta","",D2225*IFERROR(INDEX(Productos!$E$2:$E$501,MATCH(B2225,Productos!$A$2:$A$501,0)),0))</f>
        <v/>
      </c>
      <c r="H2225" s="33">
        <f>IF(A2225="","",MONTH(A2225))</f>
        <v/>
      </c>
      <c r="I2225" s="33">
        <f>IF(A2225="","",YEAR(A2225))</f>
        <v/>
      </c>
    </row>
    <row r="2226" ht="15" customHeight="1" s="21">
      <c r="A2226" s="34" t="n"/>
      <c r="B2226" s="30" t="n"/>
      <c r="C2226" s="30" t="n"/>
      <c r="D2226" s="30" t="n"/>
      <c r="E2226" s="33">
        <f>IF(B2226="","",IFERROR(INDEX(Productos!$B$2:$B$501,MATCH(B2226,Productos!$A$2:$A$501,0)),"¿Código?"))</f>
        <v/>
      </c>
      <c r="F2226" s="32">
        <f>IF(C2226&lt;&gt;"Venta","",D2226*IFERROR(INDEX(Productos!$D$2:$D$501,MATCH(B2226,Productos!$A$2:$A$501,0)),0))</f>
        <v/>
      </c>
      <c r="G2226" s="32">
        <f>IF(C2226&lt;&gt;"Venta","",D2226*IFERROR(INDEX(Productos!$E$2:$E$501,MATCH(B2226,Productos!$A$2:$A$501,0)),0))</f>
        <v/>
      </c>
      <c r="H2226" s="33">
        <f>IF(A2226="","",MONTH(A2226))</f>
        <v/>
      </c>
      <c r="I2226" s="33">
        <f>IF(A2226="","",YEAR(A2226))</f>
        <v/>
      </c>
    </row>
    <row r="2227" ht="15" customHeight="1" s="21">
      <c r="A2227" s="34" t="n"/>
      <c r="B2227" s="30" t="n"/>
      <c r="C2227" s="30" t="n"/>
      <c r="D2227" s="30" t="n"/>
      <c r="E2227" s="33">
        <f>IF(B2227="","",IFERROR(INDEX(Productos!$B$2:$B$501,MATCH(B2227,Productos!$A$2:$A$501,0)),"¿Código?"))</f>
        <v/>
      </c>
      <c r="F2227" s="32">
        <f>IF(C2227&lt;&gt;"Venta","",D2227*IFERROR(INDEX(Productos!$D$2:$D$501,MATCH(B2227,Productos!$A$2:$A$501,0)),0))</f>
        <v/>
      </c>
      <c r="G2227" s="32">
        <f>IF(C2227&lt;&gt;"Venta","",D2227*IFERROR(INDEX(Productos!$E$2:$E$501,MATCH(B2227,Productos!$A$2:$A$501,0)),0))</f>
        <v/>
      </c>
      <c r="H2227" s="33">
        <f>IF(A2227="","",MONTH(A2227))</f>
        <v/>
      </c>
      <c r="I2227" s="33">
        <f>IF(A2227="","",YEAR(A2227))</f>
        <v/>
      </c>
    </row>
    <row r="2228" ht="15" customHeight="1" s="21">
      <c r="A2228" s="34" t="n"/>
      <c r="B2228" s="30" t="n"/>
      <c r="C2228" s="30" t="n"/>
      <c r="D2228" s="30" t="n"/>
      <c r="E2228" s="33">
        <f>IF(B2228="","",IFERROR(INDEX(Productos!$B$2:$B$501,MATCH(B2228,Productos!$A$2:$A$501,0)),"¿Código?"))</f>
        <v/>
      </c>
      <c r="F2228" s="32">
        <f>IF(C2228&lt;&gt;"Venta","",D2228*IFERROR(INDEX(Productos!$D$2:$D$501,MATCH(B2228,Productos!$A$2:$A$501,0)),0))</f>
        <v/>
      </c>
      <c r="G2228" s="32">
        <f>IF(C2228&lt;&gt;"Venta","",D2228*IFERROR(INDEX(Productos!$E$2:$E$501,MATCH(B2228,Productos!$A$2:$A$501,0)),0))</f>
        <v/>
      </c>
      <c r="H2228" s="33">
        <f>IF(A2228="","",MONTH(A2228))</f>
        <v/>
      </c>
      <c r="I2228" s="33">
        <f>IF(A2228="","",YEAR(A2228))</f>
        <v/>
      </c>
    </row>
    <row r="2229" ht="15" customHeight="1" s="21">
      <c r="A2229" s="34" t="n"/>
      <c r="B2229" s="30" t="n"/>
      <c r="C2229" s="30" t="n"/>
      <c r="D2229" s="30" t="n"/>
      <c r="E2229" s="33">
        <f>IF(B2229="","",IFERROR(INDEX(Productos!$B$2:$B$501,MATCH(B2229,Productos!$A$2:$A$501,0)),"¿Código?"))</f>
        <v/>
      </c>
      <c r="F2229" s="32">
        <f>IF(C2229&lt;&gt;"Venta","",D2229*IFERROR(INDEX(Productos!$D$2:$D$501,MATCH(B2229,Productos!$A$2:$A$501,0)),0))</f>
        <v/>
      </c>
      <c r="G2229" s="32">
        <f>IF(C2229&lt;&gt;"Venta","",D2229*IFERROR(INDEX(Productos!$E$2:$E$501,MATCH(B2229,Productos!$A$2:$A$501,0)),0))</f>
        <v/>
      </c>
      <c r="H2229" s="33">
        <f>IF(A2229="","",MONTH(A2229))</f>
        <v/>
      </c>
      <c r="I2229" s="33">
        <f>IF(A2229="","",YEAR(A2229))</f>
        <v/>
      </c>
    </row>
    <row r="2230" ht="15" customHeight="1" s="21">
      <c r="A2230" s="34" t="n"/>
      <c r="B2230" s="30" t="n"/>
      <c r="C2230" s="30" t="n"/>
      <c r="D2230" s="30" t="n"/>
      <c r="E2230" s="33">
        <f>IF(B2230="","",IFERROR(INDEX(Productos!$B$2:$B$501,MATCH(B2230,Productos!$A$2:$A$501,0)),"¿Código?"))</f>
        <v/>
      </c>
      <c r="F2230" s="32">
        <f>IF(C2230&lt;&gt;"Venta","",D2230*IFERROR(INDEX(Productos!$D$2:$D$501,MATCH(B2230,Productos!$A$2:$A$501,0)),0))</f>
        <v/>
      </c>
      <c r="G2230" s="32">
        <f>IF(C2230&lt;&gt;"Venta","",D2230*IFERROR(INDEX(Productos!$E$2:$E$501,MATCH(B2230,Productos!$A$2:$A$501,0)),0))</f>
        <v/>
      </c>
      <c r="H2230" s="33">
        <f>IF(A2230="","",MONTH(A2230))</f>
        <v/>
      </c>
      <c r="I2230" s="33">
        <f>IF(A2230="","",YEAR(A2230))</f>
        <v/>
      </c>
    </row>
    <row r="2231" ht="15" customHeight="1" s="21">
      <c r="A2231" s="34" t="n"/>
      <c r="B2231" s="30" t="n"/>
      <c r="C2231" s="30" t="n"/>
      <c r="D2231" s="30" t="n"/>
      <c r="E2231" s="33">
        <f>IF(B2231="","",IFERROR(INDEX(Productos!$B$2:$B$501,MATCH(B2231,Productos!$A$2:$A$501,0)),"¿Código?"))</f>
        <v/>
      </c>
      <c r="F2231" s="32">
        <f>IF(C2231&lt;&gt;"Venta","",D2231*IFERROR(INDEX(Productos!$D$2:$D$501,MATCH(B2231,Productos!$A$2:$A$501,0)),0))</f>
        <v/>
      </c>
      <c r="G2231" s="32">
        <f>IF(C2231&lt;&gt;"Venta","",D2231*IFERROR(INDEX(Productos!$E$2:$E$501,MATCH(B2231,Productos!$A$2:$A$501,0)),0))</f>
        <v/>
      </c>
      <c r="H2231" s="33">
        <f>IF(A2231="","",MONTH(A2231))</f>
        <v/>
      </c>
      <c r="I2231" s="33">
        <f>IF(A2231="","",YEAR(A2231))</f>
        <v/>
      </c>
    </row>
    <row r="2232" ht="15" customHeight="1" s="21">
      <c r="A2232" s="34" t="n"/>
      <c r="B2232" s="30" t="n"/>
      <c r="C2232" s="30" t="n"/>
      <c r="D2232" s="30" t="n"/>
      <c r="E2232" s="33">
        <f>IF(B2232="","",IFERROR(INDEX(Productos!$B$2:$B$501,MATCH(B2232,Productos!$A$2:$A$501,0)),"¿Código?"))</f>
        <v/>
      </c>
      <c r="F2232" s="32">
        <f>IF(C2232&lt;&gt;"Venta","",D2232*IFERROR(INDEX(Productos!$D$2:$D$501,MATCH(B2232,Productos!$A$2:$A$501,0)),0))</f>
        <v/>
      </c>
      <c r="G2232" s="32">
        <f>IF(C2232&lt;&gt;"Venta","",D2232*IFERROR(INDEX(Productos!$E$2:$E$501,MATCH(B2232,Productos!$A$2:$A$501,0)),0))</f>
        <v/>
      </c>
      <c r="H2232" s="33">
        <f>IF(A2232="","",MONTH(A2232))</f>
        <v/>
      </c>
      <c r="I2232" s="33">
        <f>IF(A2232="","",YEAR(A2232))</f>
        <v/>
      </c>
    </row>
    <row r="2233" ht="15" customHeight="1" s="21">
      <c r="A2233" s="34" t="n"/>
      <c r="B2233" s="30" t="n"/>
      <c r="C2233" s="30" t="n"/>
      <c r="D2233" s="30" t="n"/>
      <c r="E2233" s="33">
        <f>IF(B2233="","",IFERROR(INDEX(Productos!$B$2:$B$501,MATCH(B2233,Productos!$A$2:$A$501,0)),"¿Código?"))</f>
        <v/>
      </c>
      <c r="F2233" s="32">
        <f>IF(C2233&lt;&gt;"Venta","",D2233*IFERROR(INDEX(Productos!$D$2:$D$501,MATCH(B2233,Productos!$A$2:$A$501,0)),0))</f>
        <v/>
      </c>
      <c r="G2233" s="32">
        <f>IF(C2233&lt;&gt;"Venta","",D2233*IFERROR(INDEX(Productos!$E$2:$E$501,MATCH(B2233,Productos!$A$2:$A$501,0)),0))</f>
        <v/>
      </c>
      <c r="H2233" s="33">
        <f>IF(A2233="","",MONTH(A2233))</f>
        <v/>
      </c>
      <c r="I2233" s="33">
        <f>IF(A2233="","",YEAR(A2233))</f>
        <v/>
      </c>
    </row>
    <row r="2234" ht="15" customHeight="1" s="21">
      <c r="A2234" s="34" t="n"/>
      <c r="B2234" s="30" t="n"/>
      <c r="C2234" s="30" t="n"/>
      <c r="D2234" s="30" t="n"/>
      <c r="E2234" s="33">
        <f>IF(B2234="","",IFERROR(INDEX(Productos!$B$2:$B$501,MATCH(B2234,Productos!$A$2:$A$501,0)),"¿Código?"))</f>
        <v/>
      </c>
      <c r="F2234" s="32">
        <f>IF(C2234&lt;&gt;"Venta","",D2234*IFERROR(INDEX(Productos!$D$2:$D$501,MATCH(B2234,Productos!$A$2:$A$501,0)),0))</f>
        <v/>
      </c>
      <c r="G2234" s="32">
        <f>IF(C2234&lt;&gt;"Venta","",D2234*IFERROR(INDEX(Productos!$E$2:$E$501,MATCH(B2234,Productos!$A$2:$A$501,0)),0))</f>
        <v/>
      </c>
      <c r="H2234" s="33">
        <f>IF(A2234="","",MONTH(A2234))</f>
        <v/>
      </c>
      <c r="I2234" s="33">
        <f>IF(A2234="","",YEAR(A2234))</f>
        <v/>
      </c>
    </row>
    <row r="2235" ht="15" customHeight="1" s="21">
      <c r="A2235" s="34" t="n"/>
      <c r="B2235" s="30" t="n"/>
      <c r="C2235" s="30" t="n"/>
      <c r="D2235" s="30" t="n"/>
      <c r="E2235" s="33">
        <f>IF(B2235="","",IFERROR(INDEX(Productos!$B$2:$B$501,MATCH(B2235,Productos!$A$2:$A$501,0)),"¿Código?"))</f>
        <v/>
      </c>
      <c r="F2235" s="32">
        <f>IF(C2235&lt;&gt;"Venta","",D2235*IFERROR(INDEX(Productos!$D$2:$D$501,MATCH(B2235,Productos!$A$2:$A$501,0)),0))</f>
        <v/>
      </c>
      <c r="G2235" s="32">
        <f>IF(C2235&lt;&gt;"Venta","",D2235*IFERROR(INDEX(Productos!$E$2:$E$501,MATCH(B2235,Productos!$A$2:$A$501,0)),0))</f>
        <v/>
      </c>
      <c r="H2235" s="33">
        <f>IF(A2235="","",MONTH(A2235))</f>
        <v/>
      </c>
      <c r="I2235" s="33">
        <f>IF(A2235="","",YEAR(A2235))</f>
        <v/>
      </c>
    </row>
    <row r="2236" ht="15" customHeight="1" s="21">
      <c r="A2236" s="34" t="n"/>
      <c r="B2236" s="30" t="n"/>
      <c r="C2236" s="30" t="n"/>
      <c r="D2236" s="30" t="n"/>
      <c r="E2236" s="33">
        <f>IF(B2236="","",IFERROR(INDEX(Productos!$B$2:$B$501,MATCH(B2236,Productos!$A$2:$A$501,0)),"¿Código?"))</f>
        <v/>
      </c>
      <c r="F2236" s="32">
        <f>IF(C2236&lt;&gt;"Venta","",D2236*IFERROR(INDEX(Productos!$D$2:$D$501,MATCH(B2236,Productos!$A$2:$A$501,0)),0))</f>
        <v/>
      </c>
      <c r="G2236" s="32">
        <f>IF(C2236&lt;&gt;"Venta","",D2236*IFERROR(INDEX(Productos!$E$2:$E$501,MATCH(B2236,Productos!$A$2:$A$501,0)),0))</f>
        <v/>
      </c>
      <c r="H2236" s="33">
        <f>IF(A2236="","",MONTH(A2236))</f>
        <v/>
      </c>
      <c r="I2236" s="33">
        <f>IF(A2236="","",YEAR(A2236))</f>
        <v/>
      </c>
    </row>
    <row r="2237" ht="15" customHeight="1" s="21">
      <c r="A2237" s="34" t="n"/>
      <c r="B2237" s="30" t="n"/>
      <c r="C2237" s="30" t="n"/>
      <c r="D2237" s="30" t="n"/>
      <c r="E2237" s="33">
        <f>IF(B2237="","",IFERROR(INDEX(Productos!$B$2:$B$501,MATCH(B2237,Productos!$A$2:$A$501,0)),"¿Código?"))</f>
        <v/>
      </c>
      <c r="F2237" s="32">
        <f>IF(C2237&lt;&gt;"Venta","",D2237*IFERROR(INDEX(Productos!$D$2:$D$501,MATCH(B2237,Productos!$A$2:$A$501,0)),0))</f>
        <v/>
      </c>
      <c r="G2237" s="32">
        <f>IF(C2237&lt;&gt;"Venta","",D2237*IFERROR(INDEX(Productos!$E$2:$E$501,MATCH(B2237,Productos!$A$2:$A$501,0)),0))</f>
        <v/>
      </c>
      <c r="H2237" s="33">
        <f>IF(A2237="","",MONTH(A2237))</f>
        <v/>
      </c>
      <c r="I2237" s="33">
        <f>IF(A2237="","",YEAR(A2237))</f>
        <v/>
      </c>
    </row>
    <row r="2238" ht="15" customHeight="1" s="21">
      <c r="A2238" s="34" t="n"/>
      <c r="B2238" s="30" t="n"/>
      <c r="C2238" s="30" t="n"/>
      <c r="D2238" s="30" t="n"/>
      <c r="E2238" s="33">
        <f>IF(B2238="","",IFERROR(INDEX(Productos!$B$2:$B$501,MATCH(B2238,Productos!$A$2:$A$501,0)),"¿Código?"))</f>
        <v/>
      </c>
      <c r="F2238" s="32">
        <f>IF(C2238&lt;&gt;"Venta","",D2238*IFERROR(INDEX(Productos!$D$2:$D$501,MATCH(B2238,Productos!$A$2:$A$501,0)),0))</f>
        <v/>
      </c>
      <c r="G2238" s="32">
        <f>IF(C2238&lt;&gt;"Venta","",D2238*IFERROR(INDEX(Productos!$E$2:$E$501,MATCH(B2238,Productos!$A$2:$A$501,0)),0))</f>
        <v/>
      </c>
      <c r="H2238" s="33">
        <f>IF(A2238="","",MONTH(A2238))</f>
        <v/>
      </c>
      <c r="I2238" s="33">
        <f>IF(A2238="","",YEAR(A2238))</f>
        <v/>
      </c>
    </row>
    <row r="2239" ht="15" customHeight="1" s="21">
      <c r="A2239" s="34" t="n"/>
      <c r="B2239" s="30" t="n"/>
      <c r="C2239" s="30" t="n"/>
      <c r="D2239" s="30" t="n"/>
      <c r="E2239" s="33">
        <f>IF(B2239="","",IFERROR(INDEX(Productos!$B$2:$B$501,MATCH(B2239,Productos!$A$2:$A$501,0)),"¿Código?"))</f>
        <v/>
      </c>
      <c r="F2239" s="32">
        <f>IF(C2239&lt;&gt;"Venta","",D2239*IFERROR(INDEX(Productos!$D$2:$D$501,MATCH(B2239,Productos!$A$2:$A$501,0)),0))</f>
        <v/>
      </c>
      <c r="G2239" s="32">
        <f>IF(C2239&lt;&gt;"Venta","",D2239*IFERROR(INDEX(Productos!$E$2:$E$501,MATCH(B2239,Productos!$A$2:$A$501,0)),0))</f>
        <v/>
      </c>
      <c r="H2239" s="33">
        <f>IF(A2239="","",MONTH(A2239))</f>
        <v/>
      </c>
      <c r="I2239" s="33">
        <f>IF(A2239="","",YEAR(A2239))</f>
        <v/>
      </c>
    </row>
    <row r="2240" ht="15" customHeight="1" s="21">
      <c r="A2240" s="34" t="n"/>
      <c r="B2240" s="30" t="n"/>
      <c r="C2240" s="30" t="n"/>
      <c r="D2240" s="30" t="n"/>
      <c r="E2240" s="33">
        <f>IF(B2240="","",IFERROR(INDEX(Productos!$B$2:$B$501,MATCH(B2240,Productos!$A$2:$A$501,0)),"¿Código?"))</f>
        <v/>
      </c>
      <c r="F2240" s="32">
        <f>IF(C2240&lt;&gt;"Venta","",D2240*IFERROR(INDEX(Productos!$D$2:$D$501,MATCH(B2240,Productos!$A$2:$A$501,0)),0))</f>
        <v/>
      </c>
      <c r="G2240" s="32">
        <f>IF(C2240&lt;&gt;"Venta","",D2240*IFERROR(INDEX(Productos!$E$2:$E$501,MATCH(B2240,Productos!$A$2:$A$501,0)),0))</f>
        <v/>
      </c>
      <c r="H2240" s="33">
        <f>IF(A2240="","",MONTH(A2240))</f>
        <v/>
      </c>
      <c r="I2240" s="33">
        <f>IF(A2240="","",YEAR(A2240))</f>
        <v/>
      </c>
    </row>
    <row r="2241" ht="15" customHeight="1" s="21">
      <c r="A2241" s="34" t="n"/>
      <c r="B2241" s="30" t="n"/>
      <c r="C2241" s="30" t="n"/>
      <c r="D2241" s="30" t="n"/>
      <c r="E2241" s="33">
        <f>IF(B2241="","",IFERROR(INDEX(Productos!$B$2:$B$501,MATCH(B2241,Productos!$A$2:$A$501,0)),"¿Código?"))</f>
        <v/>
      </c>
      <c r="F2241" s="32">
        <f>IF(C2241&lt;&gt;"Venta","",D2241*IFERROR(INDEX(Productos!$D$2:$D$501,MATCH(B2241,Productos!$A$2:$A$501,0)),0))</f>
        <v/>
      </c>
      <c r="G2241" s="32">
        <f>IF(C2241&lt;&gt;"Venta","",D2241*IFERROR(INDEX(Productos!$E$2:$E$501,MATCH(B2241,Productos!$A$2:$A$501,0)),0))</f>
        <v/>
      </c>
      <c r="H2241" s="33">
        <f>IF(A2241="","",MONTH(A2241))</f>
        <v/>
      </c>
      <c r="I2241" s="33">
        <f>IF(A2241="","",YEAR(A2241))</f>
        <v/>
      </c>
    </row>
    <row r="2242" ht="15" customHeight="1" s="21">
      <c r="A2242" s="34" t="n"/>
      <c r="B2242" s="30" t="n"/>
      <c r="C2242" s="30" t="n"/>
      <c r="D2242" s="30" t="n"/>
      <c r="E2242" s="33">
        <f>IF(B2242="","",IFERROR(INDEX(Productos!$B$2:$B$501,MATCH(B2242,Productos!$A$2:$A$501,0)),"¿Código?"))</f>
        <v/>
      </c>
      <c r="F2242" s="32">
        <f>IF(C2242&lt;&gt;"Venta","",D2242*IFERROR(INDEX(Productos!$D$2:$D$501,MATCH(B2242,Productos!$A$2:$A$501,0)),0))</f>
        <v/>
      </c>
      <c r="G2242" s="32">
        <f>IF(C2242&lt;&gt;"Venta","",D2242*IFERROR(INDEX(Productos!$E$2:$E$501,MATCH(B2242,Productos!$A$2:$A$501,0)),0))</f>
        <v/>
      </c>
      <c r="H2242" s="33">
        <f>IF(A2242="","",MONTH(A2242))</f>
        <v/>
      </c>
      <c r="I2242" s="33">
        <f>IF(A2242="","",YEAR(A2242))</f>
        <v/>
      </c>
    </row>
    <row r="2243" ht="15" customHeight="1" s="21">
      <c r="A2243" s="34" t="n"/>
      <c r="B2243" s="30" t="n"/>
      <c r="C2243" s="30" t="n"/>
      <c r="D2243" s="30" t="n"/>
      <c r="E2243" s="33">
        <f>IF(B2243="","",IFERROR(INDEX(Productos!$B$2:$B$501,MATCH(B2243,Productos!$A$2:$A$501,0)),"¿Código?"))</f>
        <v/>
      </c>
      <c r="F2243" s="32">
        <f>IF(C2243&lt;&gt;"Venta","",D2243*IFERROR(INDEX(Productos!$D$2:$D$501,MATCH(B2243,Productos!$A$2:$A$501,0)),0))</f>
        <v/>
      </c>
      <c r="G2243" s="32">
        <f>IF(C2243&lt;&gt;"Venta","",D2243*IFERROR(INDEX(Productos!$E$2:$E$501,MATCH(B2243,Productos!$A$2:$A$501,0)),0))</f>
        <v/>
      </c>
      <c r="H2243" s="33">
        <f>IF(A2243="","",MONTH(A2243))</f>
        <v/>
      </c>
      <c r="I2243" s="33">
        <f>IF(A2243="","",YEAR(A2243))</f>
        <v/>
      </c>
    </row>
    <row r="2244" ht="15" customHeight="1" s="21">
      <c r="A2244" s="34" t="n"/>
      <c r="B2244" s="30" t="n"/>
      <c r="C2244" s="30" t="n"/>
      <c r="D2244" s="30" t="n"/>
      <c r="E2244" s="33">
        <f>IF(B2244="","",IFERROR(INDEX(Productos!$B$2:$B$501,MATCH(B2244,Productos!$A$2:$A$501,0)),"¿Código?"))</f>
        <v/>
      </c>
      <c r="F2244" s="32">
        <f>IF(C2244&lt;&gt;"Venta","",D2244*IFERROR(INDEX(Productos!$D$2:$D$501,MATCH(B2244,Productos!$A$2:$A$501,0)),0))</f>
        <v/>
      </c>
      <c r="G2244" s="32">
        <f>IF(C2244&lt;&gt;"Venta","",D2244*IFERROR(INDEX(Productos!$E$2:$E$501,MATCH(B2244,Productos!$A$2:$A$501,0)),0))</f>
        <v/>
      </c>
      <c r="H2244" s="33">
        <f>IF(A2244="","",MONTH(A2244))</f>
        <v/>
      </c>
      <c r="I2244" s="33">
        <f>IF(A2244="","",YEAR(A2244))</f>
        <v/>
      </c>
    </row>
    <row r="2245" ht="15" customHeight="1" s="21">
      <c r="A2245" s="34" t="n"/>
      <c r="B2245" s="30" t="n"/>
      <c r="C2245" s="30" t="n"/>
      <c r="D2245" s="30" t="n"/>
      <c r="E2245" s="33">
        <f>IF(B2245="","",IFERROR(INDEX(Productos!$B$2:$B$501,MATCH(B2245,Productos!$A$2:$A$501,0)),"¿Código?"))</f>
        <v/>
      </c>
      <c r="F2245" s="32">
        <f>IF(C2245&lt;&gt;"Venta","",D2245*IFERROR(INDEX(Productos!$D$2:$D$501,MATCH(B2245,Productos!$A$2:$A$501,0)),0))</f>
        <v/>
      </c>
      <c r="G2245" s="32">
        <f>IF(C2245&lt;&gt;"Venta","",D2245*IFERROR(INDEX(Productos!$E$2:$E$501,MATCH(B2245,Productos!$A$2:$A$501,0)),0))</f>
        <v/>
      </c>
      <c r="H2245" s="33">
        <f>IF(A2245="","",MONTH(A2245))</f>
        <v/>
      </c>
      <c r="I2245" s="33">
        <f>IF(A2245="","",YEAR(A2245))</f>
        <v/>
      </c>
    </row>
    <row r="2246" ht="15" customHeight="1" s="21">
      <c r="A2246" s="34" t="n"/>
      <c r="B2246" s="30" t="n"/>
      <c r="C2246" s="30" t="n"/>
      <c r="D2246" s="30" t="n"/>
      <c r="E2246" s="33">
        <f>IF(B2246="","",IFERROR(INDEX(Productos!$B$2:$B$501,MATCH(B2246,Productos!$A$2:$A$501,0)),"¿Código?"))</f>
        <v/>
      </c>
      <c r="F2246" s="32">
        <f>IF(C2246&lt;&gt;"Venta","",D2246*IFERROR(INDEX(Productos!$D$2:$D$501,MATCH(B2246,Productos!$A$2:$A$501,0)),0))</f>
        <v/>
      </c>
      <c r="G2246" s="32">
        <f>IF(C2246&lt;&gt;"Venta","",D2246*IFERROR(INDEX(Productos!$E$2:$E$501,MATCH(B2246,Productos!$A$2:$A$501,0)),0))</f>
        <v/>
      </c>
      <c r="H2246" s="33">
        <f>IF(A2246="","",MONTH(A2246))</f>
        <v/>
      </c>
      <c r="I2246" s="33">
        <f>IF(A2246="","",YEAR(A2246))</f>
        <v/>
      </c>
    </row>
    <row r="2247" ht="15" customHeight="1" s="21">
      <c r="A2247" s="34" t="n"/>
      <c r="B2247" s="30" t="n"/>
      <c r="C2247" s="30" t="n"/>
      <c r="D2247" s="30" t="n"/>
      <c r="E2247" s="33">
        <f>IF(B2247="","",IFERROR(INDEX(Productos!$B$2:$B$501,MATCH(B2247,Productos!$A$2:$A$501,0)),"¿Código?"))</f>
        <v/>
      </c>
      <c r="F2247" s="32">
        <f>IF(C2247&lt;&gt;"Venta","",D2247*IFERROR(INDEX(Productos!$D$2:$D$501,MATCH(B2247,Productos!$A$2:$A$501,0)),0))</f>
        <v/>
      </c>
      <c r="G2247" s="32">
        <f>IF(C2247&lt;&gt;"Venta","",D2247*IFERROR(INDEX(Productos!$E$2:$E$501,MATCH(B2247,Productos!$A$2:$A$501,0)),0))</f>
        <v/>
      </c>
      <c r="H2247" s="33">
        <f>IF(A2247="","",MONTH(A2247))</f>
        <v/>
      </c>
      <c r="I2247" s="33">
        <f>IF(A2247="","",YEAR(A2247))</f>
        <v/>
      </c>
    </row>
    <row r="2248" ht="15" customHeight="1" s="21">
      <c r="A2248" s="34" t="n"/>
      <c r="B2248" s="30" t="n"/>
      <c r="C2248" s="30" t="n"/>
      <c r="D2248" s="30" t="n"/>
      <c r="E2248" s="33">
        <f>IF(B2248="","",IFERROR(INDEX(Productos!$B$2:$B$501,MATCH(B2248,Productos!$A$2:$A$501,0)),"¿Código?"))</f>
        <v/>
      </c>
      <c r="F2248" s="32">
        <f>IF(C2248&lt;&gt;"Venta","",D2248*IFERROR(INDEX(Productos!$D$2:$D$501,MATCH(B2248,Productos!$A$2:$A$501,0)),0))</f>
        <v/>
      </c>
      <c r="G2248" s="32">
        <f>IF(C2248&lt;&gt;"Venta","",D2248*IFERROR(INDEX(Productos!$E$2:$E$501,MATCH(B2248,Productos!$A$2:$A$501,0)),0))</f>
        <v/>
      </c>
      <c r="H2248" s="33">
        <f>IF(A2248="","",MONTH(A2248))</f>
        <v/>
      </c>
      <c r="I2248" s="33">
        <f>IF(A2248="","",YEAR(A2248))</f>
        <v/>
      </c>
    </row>
    <row r="2249" ht="15" customHeight="1" s="21">
      <c r="A2249" s="34" t="n"/>
      <c r="B2249" s="30" t="n"/>
      <c r="C2249" s="30" t="n"/>
      <c r="D2249" s="30" t="n"/>
      <c r="E2249" s="33">
        <f>IF(B2249="","",IFERROR(INDEX(Productos!$B$2:$B$501,MATCH(B2249,Productos!$A$2:$A$501,0)),"¿Código?"))</f>
        <v/>
      </c>
      <c r="F2249" s="32">
        <f>IF(C2249&lt;&gt;"Venta","",D2249*IFERROR(INDEX(Productos!$D$2:$D$501,MATCH(B2249,Productos!$A$2:$A$501,0)),0))</f>
        <v/>
      </c>
      <c r="G2249" s="32">
        <f>IF(C2249&lt;&gt;"Venta","",D2249*IFERROR(INDEX(Productos!$E$2:$E$501,MATCH(B2249,Productos!$A$2:$A$501,0)),0))</f>
        <v/>
      </c>
      <c r="H2249" s="33">
        <f>IF(A2249="","",MONTH(A2249))</f>
        <v/>
      </c>
      <c r="I2249" s="33">
        <f>IF(A2249="","",YEAR(A2249))</f>
        <v/>
      </c>
    </row>
    <row r="2250" ht="15" customHeight="1" s="21">
      <c r="A2250" s="34" t="n"/>
      <c r="B2250" s="30" t="n"/>
      <c r="C2250" s="30" t="n"/>
      <c r="D2250" s="30" t="n"/>
      <c r="E2250" s="33">
        <f>IF(B2250="","",IFERROR(INDEX(Productos!$B$2:$B$501,MATCH(B2250,Productos!$A$2:$A$501,0)),"¿Código?"))</f>
        <v/>
      </c>
      <c r="F2250" s="32">
        <f>IF(C2250&lt;&gt;"Venta","",D2250*IFERROR(INDEX(Productos!$D$2:$D$501,MATCH(B2250,Productos!$A$2:$A$501,0)),0))</f>
        <v/>
      </c>
      <c r="G2250" s="32">
        <f>IF(C2250&lt;&gt;"Venta","",D2250*IFERROR(INDEX(Productos!$E$2:$E$501,MATCH(B2250,Productos!$A$2:$A$501,0)),0))</f>
        <v/>
      </c>
      <c r="H2250" s="33">
        <f>IF(A2250="","",MONTH(A2250))</f>
        <v/>
      </c>
      <c r="I2250" s="33">
        <f>IF(A2250="","",YEAR(A2250))</f>
        <v/>
      </c>
    </row>
    <row r="2251" ht="15" customHeight="1" s="21">
      <c r="A2251" s="34" t="n"/>
      <c r="B2251" s="30" t="n"/>
      <c r="C2251" s="30" t="n"/>
      <c r="D2251" s="30" t="n"/>
      <c r="E2251" s="33">
        <f>IF(B2251="","",IFERROR(INDEX(Productos!$B$2:$B$501,MATCH(B2251,Productos!$A$2:$A$501,0)),"¿Código?"))</f>
        <v/>
      </c>
      <c r="F2251" s="32">
        <f>IF(C2251&lt;&gt;"Venta","",D2251*IFERROR(INDEX(Productos!$D$2:$D$501,MATCH(B2251,Productos!$A$2:$A$501,0)),0))</f>
        <v/>
      </c>
      <c r="G2251" s="32">
        <f>IF(C2251&lt;&gt;"Venta","",D2251*IFERROR(INDEX(Productos!$E$2:$E$501,MATCH(B2251,Productos!$A$2:$A$501,0)),0))</f>
        <v/>
      </c>
      <c r="H2251" s="33">
        <f>IF(A2251="","",MONTH(A2251))</f>
        <v/>
      </c>
      <c r="I2251" s="33">
        <f>IF(A2251="","",YEAR(A2251))</f>
        <v/>
      </c>
    </row>
    <row r="2252" ht="15" customHeight="1" s="21">
      <c r="A2252" s="34" t="n"/>
      <c r="B2252" s="30" t="n"/>
      <c r="C2252" s="30" t="n"/>
      <c r="D2252" s="30" t="n"/>
      <c r="E2252" s="33">
        <f>IF(B2252="","",IFERROR(INDEX(Productos!$B$2:$B$501,MATCH(B2252,Productos!$A$2:$A$501,0)),"¿Código?"))</f>
        <v/>
      </c>
      <c r="F2252" s="32">
        <f>IF(C2252&lt;&gt;"Venta","",D2252*IFERROR(INDEX(Productos!$D$2:$D$501,MATCH(B2252,Productos!$A$2:$A$501,0)),0))</f>
        <v/>
      </c>
      <c r="G2252" s="32">
        <f>IF(C2252&lt;&gt;"Venta","",D2252*IFERROR(INDEX(Productos!$E$2:$E$501,MATCH(B2252,Productos!$A$2:$A$501,0)),0))</f>
        <v/>
      </c>
      <c r="H2252" s="33">
        <f>IF(A2252="","",MONTH(A2252))</f>
        <v/>
      </c>
      <c r="I2252" s="33">
        <f>IF(A2252="","",YEAR(A2252))</f>
        <v/>
      </c>
    </row>
    <row r="2253" ht="15" customHeight="1" s="21">
      <c r="A2253" s="34" t="n"/>
      <c r="B2253" s="30" t="n"/>
      <c r="C2253" s="30" t="n"/>
      <c r="D2253" s="30" t="n"/>
      <c r="E2253" s="33">
        <f>IF(B2253="","",IFERROR(INDEX(Productos!$B$2:$B$501,MATCH(B2253,Productos!$A$2:$A$501,0)),"¿Código?"))</f>
        <v/>
      </c>
      <c r="F2253" s="32">
        <f>IF(C2253&lt;&gt;"Venta","",D2253*IFERROR(INDEX(Productos!$D$2:$D$501,MATCH(B2253,Productos!$A$2:$A$501,0)),0))</f>
        <v/>
      </c>
      <c r="G2253" s="32">
        <f>IF(C2253&lt;&gt;"Venta","",D2253*IFERROR(INDEX(Productos!$E$2:$E$501,MATCH(B2253,Productos!$A$2:$A$501,0)),0))</f>
        <v/>
      </c>
      <c r="H2253" s="33">
        <f>IF(A2253="","",MONTH(A2253))</f>
        <v/>
      </c>
      <c r="I2253" s="33">
        <f>IF(A2253="","",YEAR(A2253))</f>
        <v/>
      </c>
    </row>
    <row r="2254" ht="15" customHeight="1" s="21">
      <c r="A2254" s="34" t="n"/>
      <c r="B2254" s="30" t="n"/>
      <c r="C2254" s="30" t="n"/>
      <c r="D2254" s="30" t="n"/>
      <c r="E2254" s="33">
        <f>IF(B2254="","",IFERROR(INDEX(Productos!$B$2:$B$501,MATCH(B2254,Productos!$A$2:$A$501,0)),"¿Código?"))</f>
        <v/>
      </c>
      <c r="F2254" s="32">
        <f>IF(C2254&lt;&gt;"Venta","",D2254*IFERROR(INDEX(Productos!$D$2:$D$501,MATCH(B2254,Productos!$A$2:$A$501,0)),0))</f>
        <v/>
      </c>
      <c r="G2254" s="32">
        <f>IF(C2254&lt;&gt;"Venta","",D2254*IFERROR(INDEX(Productos!$E$2:$E$501,MATCH(B2254,Productos!$A$2:$A$501,0)),0))</f>
        <v/>
      </c>
      <c r="H2254" s="33">
        <f>IF(A2254="","",MONTH(A2254))</f>
        <v/>
      </c>
      <c r="I2254" s="33">
        <f>IF(A2254="","",YEAR(A2254))</f>
        <v/>
      </c>
    </row>
    <row r="2255" ht="15" customHeight="1" s="21">
      <c r="A2255" s="34" t="n"/>
      <c r="B2255" s="30" t="n"/>
      <c r="C2255" s="30" t="n"/>
      <c r="D2255" s="30" t="n"/>
      <c r="E2255" s="33">
        <f>IF(B2255="","",IFERROR(INDEX(Productos!$B$2:$B$501,MATCH(B2255,Productos!$A$2:$A$501,0)),"¿Código?"))</f>
        <v/>
      </c>
      <c r="F2255" s="32">
        <f>IF(C2255&lt;&gt;"Venta","",D2255*IFERROR(INDEX(Productos!$D$2:$D$501,MATCH(B2255,Productos!$A$2:$A$501,0)),0))</f>
        <v/>
      </c>
      <c r="G2255" s="32">
        <f>IF(C2255&lt;&gt;"Venta","",D2255*IFERROR(INDEX(Productos!$E$2:$E$501,MATCH(B2255,Productos!$A$2:$A$501,0)),0))</f>
        <v/>
      </c>
      <c r="H2255" s="33">
        <f>IF(A2255="","",MONTH(A2255))</f>
        <v/>
      </c>
      <c r="I2255" s="33">
        <f>IF(A2255="","",YEAR(A2255))</f>
        <v/>
      </c>
    </row>
    <row r="2256" ht="15" customHeight="1" s="21">
      <c r="A2256" s="34" t="n"/>
      <c r="B2256" s="30" t="n"/>
      <c r="C2256" s="30" t="n"/>
      <c r="D2256" s="30" t="n"/>
      <c r="E2256" s="33">
        <f>IF(B2256="","",IFERROR(INDEX(Productos!$B$2:$B$501,MATCH(B2256,Productos!$A$2:$A$501,0)),"¿Código?"))</f>
        <v/>
      </c>
      <c r="F2256" s="32">
        <f>IF(C2256&lt;&gt;"Venta","",D2256*IFERROR(INDEX(Productos!$D$2:$D$501,MATCH(B2256,Productos!$A$2:$A$501,0)),0))</f>
        <v/>
      </c>
      <c r="G2256" s="32">
        <f>IF(C2256&lt;&gt;"Venta","",D2256*IFERROR(INDEX(Productos!$E$2:$E$501,MATCH(B2256,Productos!$A$2:$A$501,0)),0))</f>
        <v/>
      </c>
      <c r="H2256" s="33">
        <f>IF(A2256="","",MONTH(A2256))</f>
        <v/>
      </c>
      <c r="I2256" s="33">
        <f>IF(A2256="","",YEAR(A2256))</f>
        <v/>
      </c>
    </row>
    <row r="2257" ht="15" customHeight="1" s="21">
      <c r="A2257" s="34" t="n"/>
      <c r="B2257" s="30" t="n"/>
      <c r="C2257" s="30" t="n"/>
      <c r="D2257" s="30" t="n"/>
      <c r="E2257" s="33">
        <f>IF(B2257="","",IFERROR(INDEX(Productos!$B$2:$B$501,MATCH(B2257,Productos!$A$2:$A$501,0)),"¿Código?"))</f>
        <v/>
      </c>
      <c r="F2257" s="32">
        <f>IF(C2257&lt;&gt;"Venta","",D2257*IFERROR(INDEX(Productos!$D$2:$D$501,MATCH(B2257,Productos!$A$2:$A$501,0)),0))</f>
        <v/>
      </c>
      <c r="G2257" s="32">
        <f>IF(C2257&lt;&gt;"Venta","",D2257*IFERROR(INDEX(Productos!$E$2:$E$501,MATCH(B2257,Productos!$A$2:$A$501,0)),0))</f>
        <v/>
      </c>
      <c r="H2257" s="33">
        <f>IF(A2257="","",MONTH(A2257))</f>
        <v/>
      </c>
      <c r="I2257" s="33">
        <f>IF(A2257="","",YEAR(A2257))</f>
        <v/>
      </c>
    </row>
    <row r="2258" ht="15" customHeight="1" s="21">
      <c r="A2258" s="34" t="n"/>
      <c r="B2258" s="30" t="n"/>
      <c r="C2258" s="30" t="n"/>
      <c r="D2258" s="30" t="n"/>
      <c r="E2258" s="33">
        <f>IF(B2258="","",IFERROR(INDEX(Productos!$B$2:$B$501,MATCH(B2258,Productos!$A$2:$A$501,0)),"¿Código?"))</f>
        <v/>
      </c>
      <c r="F2258" s="32">
        <f>IF(C2258&lt;&gt;"Venta","",D2258*IFERROR(INDEX(Productos!$D$2:$D$501,MATCH(B2258,Productos!$A$2:$A$501,0)),0))</f>
        <v/>
      </c>
      <c r="G2258" s="32">
        <f>IF(C2258&lt;&gt;"Venta","",D2258*IFERROR(INDEX(Productos!$E$2:$E$501,MATCH(B2258,Productos!$A$2:$A$501,0)),0))</f>
        <v/>
      </c>
      <c r="H2258" s="33">
        <f>IF(A2258="","",MONTH(A2258))</f>
        <v/>
      </c>
      <c r="I2258" s="33">
        <f>IF(A2258="","",YEAR(A2258))</f>
        <v/>
      </c>
    </row>
    <row r="2259" ht="15" customHeight="1" s="21">
      <c r="A2259" s="34" t="n"/>
      <c r="B2259" s="30" t="n"/>
      <c r="C2259" s="30" t="n"/>
      <c r="D2259" s="30" t="n"/>
      <c r="E2259" s="33">
        <f>IF(B2259="","",IFERROR(INDEX(Productos!$B$2:$B$501,MATCH(B2259,Productos!$A$2:$A$501,0)),"¿Código?"))</f>
        <v/>
      </c>
      <c r="F2259" s="32">
        <f>IF(C2259&lt;&gt;"Venta","",D2259*IFERROR(INDEX(Productos!$D$2:$D$501,MATCH(B2259,Productos!$A$2:$A$501,0)),0))</f>
        <v/>
      </c>
      <c r="G2259" s="32">
        <f>IF(C2259&lt;&gt;"Venta","",D2259*IFERROR(INDEX(Productos!$E$2:$E$501,MATCH(B2259,Productos!$A$2:$A$501,0)),0))</f>
        <v/>
      </c>
      <c r="H2259" s="33">
        <f>IF(A2259="","",MONTH(A2259))</f>
        <v/>
      </c>
      <c r="I2259" s="33">
        <f>IF(A2259="","",YEAR(A2259))</f>
        <v/>
      </c>
    </row>
    <row r="2260" ht="15" customHeight="1" s="21">
      <c r="A2260" s="34" t="n"/>
      <c r="B2260" s="30" t="n"/>
      <c r="C2260" s="30" t="n"/>
      <c r="D2260" s="30" t="n"/>
      <c r="E2260" s="33">
        <f>IF(B2260="","",IFERROR(INDEX(Productos!$B$2:$B$501,MATCH(B2260,Productos!$A$2:$A$501,0)),"¿Código?"))</f>
        <v/>
      </c>
      <c r="F2260" s="32">
        <f>IF(C2260&lt;&gt;"Venta","",D2260*IFERROR(INDEX(Productos!$D$2:$D$501,MATCH(B2260,Productos!$A$2:$A$501,0)),0))</f>
        <v/>
      </c>
      <c r="G2260" s="32">
        <f>IF(C2260&lt;&gt;"Venta","",D2260*IFERROR(INDEX(Productos!$E$2:$E$501,MATCH(B2260,Productos!$A$2:$A$501,0)),0))</f>
        <v/>
      </c>
      <c r="H2260" s="33">
        <f>IF(A2260="","",MONTH(A2260))</f>
        <v/>
      </c>
      <c r="I2260" s="33">
        <f>IF(A2260="","",YEAR(A2260))</f>
        <v/>
      </c>
    </row>
    <row r="2261" ht="15" customHeight="1" s="21">
      <c r="A2261" s="34" t="n"/>
      <c r="B2261" s="30" t="n"/>
      <c r="C2261" s="30" t="n"/>
      <c r="D2261" s="30" t="n"/>
      <c r="E2261" s="33">
        <f>IF(B2261="","",IFERROR(INDEX(Productos!$B$2:$B$501,MATCH(B2261,Productos!$A$2:$A$501,0)),"¿Código?"))</f>
        <v/>
      </c>
      <c r="F2261" s="32">
        <f>IF(C2261&lt;&gt;"Venta","",D2261*IFERROR(INDEX(Productos!$D$2:$D$501,MATCH(B2261,Productos!$A$2:$A$501,0)),0))</f>
        <v/>
      </c>
      <c r="G2261" s="32">
        <f>IF(C2261&lt;&gt;"Venta","",D2261*IFERROR(INDEX(Productos!$E$2:$E$501,MATCH(B2261,Productos!$A$2:$A$501,0)),0))</f>
        <v/>
      </c>
      <c r="H2261" s="33">
        <f>IF(A2261="","",MONTH(A2261))</f>
        <v/>
      </c>
      <c r="I2261" s="33">
        <f>IF(A2261="","",YEAR(A2261))</f>
        <v/>
      </c>
    </row>
    <row r="2262" ht="15" customHeight="1" s="21">
      <c r="A2262" s="34" t="n"/>
      <c r="B2262" s="30" t="n"/>
      <c r="C2262" s="30" t="n"/>
      <c r="D2262" s="30" t="n"/>
      <c r="E2262" s="33">
        <f>IF(B2262="","",IFERROR(INDEX(Productos!$B$2:$B$501,MATCH(B2262,Productos!$A$2:$A$501,0)),"¿Código?"))</f>
        <v/>
      </c>
      <c r="F2262" s="32">
        <f>IF(C2262&lt;&gt;"Venta","",D2262*IFERROR(INDEX(Productos!$D$2:$D$501,MATCH(B2262,Productos!$A$2:$A$501,0)),0))</f>
        <v/>
      </c>
      <c r="G2262" s="32">
        <f>IF(C2262&lt;&gt;"Venta","",D2262*IFERROR(INDEX(Productos!$E$2:$E$501,MATCH(B2262,Productos!$A$2:$A$501,0)),0))</f>
        <v/>
      </c>
      <c r="H2262" s="33">
        <f>IF(A2262="","",MONTH(A2262))</f>
        <v/>
      </c>
      <c r="I2262" s="33">
        <f>IF(A2262="","",YEAR(A2262))</f>
        <v/>
      </c>
    </row>
    <row r="2263" ht="15" customHeight="1" s="21">
      <c r="A2263" s="34" t="n"/>
      <c r="B2263" s="30" t="n"/>
      <c r="C2263" s="30" t="n"/>
      <c r="D2263" s="30" t="n"/>
      <c r="E2263" s="33">
        <f>IF(B2263="","",IFERROR(INDEX(Productos!$B$2:$B$501,MATCH(B2263,Productos!$A$2:$A$501,0)),"¿Código?"))</f>
        <v/>
      </c>
      <c r="F2263" s="32">
        <f>IF(C2263&lt;&gt;"Venta","",D2263*IFERROR(INDEX(Productos!$D$2:$D$501,MATCH(B2263,Productos!$A$2:$A$501,0)),0))</f>
        <v/>
      </c>
      <c r="G2263" s="32">
        <f>IF(C2263&lt;&gt;"Venta","",D2263*IFERROR(INDEX(Productos!$E$2:$E$501,MATCH(B2263,Productos!$A$2:$A$501,0)),0))</f>
        <v/>
      </c>
      <c r="H2263" s="33">
        <f>IF(A2263="","",MONTH(A2263))</f>
        <v/>
      </c>
      <c r="I2263" s="33">
        <f>IF(A2263="","",YEAR(A2263))</f>
        <v/>
      </c>
    </row>
    <row r="2264" ht="15" customHeight="1" s="21">
      <c r="A2264" s="34" t="n"/>
      <c r="B2264" s="30" t="n"/>
      <c r="C2264" s="30" t="n"/>
      <c r="D2264" s="30" t="n"/>
      <c r="E2264" s="33">
        <f>IF(B2264="","",IFERROR(INDEX(Productos!$B$2:$B$501,MATCH(B2264,Productos!$A$2:$A$501,0)),"¿Código?"))</f>
        <v/>
      </c>
      <c r="F2264" s="32">
        <f>IF(C2264&lt;&gt;"Venta","",D2264*IFERROR(INDEX(Productos!$D$2:$D$501,MATCH(B2264,Productos!$A$2:$A$501,0)),0))</f>
        <v/>
      </c>
      <c r="G2264" s="32">
        <f>IF(C2264&lt;&gt;"Venta","",D2264*IFERROR(INDEX(Productos!$E$2:$E$501,MATCH(B2264,Productos!$A$2:$A$501,0)),0))</f>
        <v/>
      </c>
      <c r="H2264" s="33">
        <f>IF(A2264="","",MONTH(A2264))</f>
        <v/>
      </c>
      <c r="I2264" s="33">
        <f>IF(A2264="","",YEAR(A2264))</f>
        <v/>
      </c>
    </row>
    <row r="2265" ht="15" customHeight="1" s="21">
      <c r="A2265" s="34" t="n"/>
      <c r="B2265" s="30" t="n"/>
      <c r="C2265" s="30" t="n"/>
      <c r="D2265" s="30" t="n"/>
      <c r="E2265" s="33">
        <f>IF(B2265="","",IFERROR(INDEX(Productos!$B$2:$B$501,MATCH(B2265,Productos!$A$2:$A$501,0)),"¿Código?"))</f>
        <v/>
      </c>
      <c r="F2265" s="32">
        <f>IF(C2265&lt;&gt;"Venta","",D2265*IFERROR(INDEX(Productos!$D$2:$D$501,MATCH(B2265,Productos!$A$2:$A$501,0)),0))</f>
        <v/>
      </c>
      <c r="G2265" s="32">
        <f>IF(C2265&lt;&gt;"Venta","",D2265*IFERROR(INDEX(Productos!$E$2:$E$501,MATCH(B2265,Productos!$A$2:$A$501,0)),0))</f>
        <v/>
      </c>
      <c r="H2265" s="33">
        <f>IF(A2265="","",MONTH(A2265))</f>
        <v/>
      </c>
      <c r="I2265" s="33">
        <f>IF(A2265="","",YEAR(A2265))</f>
        <v/>
      </c>
    </row>
    <row r="2266" ht="15" customHeight="1" s="21">
      <c r="A2266" s="34" t="n"/>
      <c r="B2266" s="30" t="n"/>
      <c r="C2266" s="30" t="n"/>
      <c r="D2266" s="30" t="n"/>
      <c r="E2266" s="33">
        <f>IF(B2266="","",IFERROR(INDEX(Productos!$B$2:$B$501,MATCH(B2266,Productos!$A$2:$A$501,0)),"¿Código?"))</f>
        <v/>
      </c>
      <c r="F2266" s="32">
        <f>IF(C2266&lt;&gt;"Venta","",D2266*IFERROR(INDEX(Productos!$D$2:$D$501,MATCH(B2266,Productos!$A$2:$A$501,0)),0))</f>
        <v/>
      </c>
      <c r="G2266" s="32">
        <f>IF(C2266&lt;&gt;"Venta","",D2266*IFERROR(INDEX(Productos!$E$2:$E$501,MATCH(B2266,Productos!$A$2:$A$501,0)),0))</f>
        <v/>
      </c>
      <c r="H2266" s="33">
        <f>IF(A2266="","",MONTH(A2266))</f>
        <v/>
      </c>
      <c r="I2266" s="33">
        <f>IF(A2266="","",YEAR(A2266))</f>
        <v/>
      </c>
    </row>
    <row r="2267" ht="15" customHeight="1" s="21">
      <c r="A2267" s="34" t="n"/>
      <c r="B2267" s="30" t="n"/>
      <c r="C2267" s="30" t="n"/>
      <c r="D2267" s="30" t="n"/>
      <c r="E2267" s="33">
        <f>IF(B2267="","",IFERROR(INDEX(Productos!$B$2:$B$501,MATCH(B2267,Productos!$A$2:$A$501,0)),"¿Código?"))</f>
        <v/>
      </c>
      <c r="F2267" s="32">
        <f>IF(C2267&lt;&gt;"Venta","",D2267*IFERROR(INDEX(Productos!$D$2:$D$501,MATCH(B2267,Productos!$A$2:$A$501,0)),0))</f>
        <v/>
      </c>
      <c r="G2267" s="32">
        <f>IF(C2267&lt;&gt;"Venta","",D2267*IFERROR(INDEX(Productos!$E$2:$E$501,MATCH(B2267,Productos!$A$2:$A$501,0)),0))</f>
        <v/>
      </c>
      <c r="H2267" s="33">
        <f>IF(A2267="","",MONTH(A2267))</f>
        <v/>
      </c>
      <c r="I2267" s="33">
        <f>IF(A2267="","",YEAR(A2267))</f>
        <v/>
      </c>
    </row>
    <row r="2268" ht="15" customHeight="1" s="21">
      <c r="A2268" s="34" t="n"/>
      <c r="B2268" s="30" t="n"/>
      <c r="C2268" s="30" t="n"/>
      <c r="D2268" s="30" t="n"/>
      <c r="E2268" s="33">
        <f>IF(B2268="","",IFERROR(INDEX(Productos!$B$2:$B$501,MATCH(B2268,Productos!$A$2:$A$501,0)),"¿Código?"))</f>
        <v/>
      </c>
      <c r="F2268" s="32">
        <f>IF(C2268&lt;&gt;"Venta","",D2268*IFERROR(INDEX(Productos!$D$2:$D$501,MATCH(B2268,Productos!$A$2:$A$501,0)),0))</f>
        <v/>
      </c>
      <c r="G2268" s="32">
        <f>IF(C2268&lt;&gt;"Venta","",D2268*IFERROR(INDEX(Productos!$E$2:$E$501,MATCH(B2268,Productos!$A$2:$A$501,0)),0))</f>
        <v/>
      </c>
      <c r="H2268" s="33">
        <f>IF(A2268="","",MONTH(A2268))</f>
        <v/>
      </c>
      <c r="I2268" s="33">
        <f>IF(A2268="","",YEAR(A2268))</f>
        <v/>
      </c>
    </row>
    <row r="2269" ht="15" customHeight="1" s="21">
      <c r="A2269" s="34" t="n"/>
      <c r="B2269" s="30" t="n"/>
      <c r="C2269" s="30" t="n"/>
      <c r="D2269" s="30" t="n"/>
      <c r="E2269" s="33">
        <f>IF(B2269="","",IFERROR(INDEX(Productos!$B$2:$B$501,MATCH(B2269,Productos!$A$2:$A$501,0)),"¿Código?"))</f>
        <v/>
      </c>
      <c r="F2269" s="32">
        <f>IF(C2269&lt;&gt;"Venta","",D2269*IFERROR(INDEX(Productos!$D$2:$D$501,MATCH(B2269,Productos!$A$2:$A$501,0)),0))</f>
        <v/>
      </c>
      <c r="G2269" s="32">
        <f>IF(C2269&lt;&gt;"Venta","",D2269*IFERROR(INDEX(Productos!$E$2:$E$501,MATCH(B2269,Productos!$A$2:$A$501,0)),0))</f>
        <v/>
      </c>
      <c r="H2269" s="33">
        <f>IF(A2269="","",MONTH(A2269))</f>
        <v/>
      </c>
      <c r="I2269" s="33">
        <f>IF(A2269="","",YEAR(A2269))</f>
        <v/>
      </c>
    </row>
    <row r="2270" ht="15" customHeight="1" s="21">
      <c r="A2270" s="34" t="n"/>
      <c r="B2270" s="30" t="n"/>
      <c r="C2270" s="30" t="n"/>
      <c r="D2270" s="30" t="n"/>
      <c r="E2270" s="33">
        <f>IF(B2270="","",IFERROR(INDEX(Productos!$B$2:$B$501,MATCH(B2270,Productos!$A$2:$A$501,0)),"¿Código?"))</f>
        <v/>
      </c>
      <c r="F2270" s="32">
        <f>IF(C2270&lt;&gt;"Venta","",D2270*IFERROR(INDEX(Productos!$D$2:$D$501,MATCH(B2270,Productos!$A$2:$A$501,0)),0))</f>
        <v/>
      </c>
      <c r="G2270" s="32">
        <f>IF(C2270&lt;&gt;"Venta","",D2270*IFERROR(INDEX(Productos!$E$2:$E$501,MATCH(B2270,Productos!$A$2:$A$501,0)),0))</f>
        <v/>
      </c>
      <c r="H2270" s="33">
        <f>IF(A2270="","",MONTH(A2270))</f>
        <v/>
      </c>
      <c r="I2270" s="33">
        <f>IF(A2270="","",YEAR(A2270))</f>
        <v/>
      </c>
    </row>
    <row r="2271" ht="15" customHeight="1" s="21">
      <c r="A2271" s="34" t="n"/>
      <c r="B2271" s="30" t="n"/>
      <c r="C2271" s="30" t="n"/>
      <c r="D2271" s="30" t="n"/>
      <c r="E2271" s="33">
        <f>IF(B2271="","",IFERROR(INDEX(Productos!$B$2:$B$501,MATCH(B2271,Productos!$A$2:$A$501,0)),"¿Código?"))</f>
        <v/>
      </c>
      <c r="F2271" s="32">
        <f>IF(C2271&lt;&gt;"Venta","",D2271*IFERROR(INDEX(Productos!$D$2:$D$501,MATCH(B2271,Productos!$A$2:$A$501,0)),0))</f>
        <v/>
      </c>
      <c r="G2271" s="32">
        <f>IF(C2271&lt;&gt;"Venta","",D2271*IFERROR(INDEX(Productos!$E$2:$E$501,MATCH(B2271,Productos!$A$2:$A$501,0)),0))</f>
        <v/>
      </c>
      <c r="H2271" s="33">
        <f>IF(A2271="","",MONTH(A2271))</f>
        <v/>
      </c>
      <c r="I2271" s="33">
        <f>IF(A2271="","",YEAR(A2271))</f>
        <v/>
      </c>
    </row>
    <row r="2272" ht="15" customHeight="1" s="21">
      <c r="A2272" s="34" t="n"/>
      <c r="B2272" s="30" t="n"/>
      <c r="C2272" s="30" t="n"/>
      <c r="D2272" s="30" t="n"/>
      <c r="E2272" s="33">
        <f>IF(B2272="","",IFERROR(INDEX(Productos!$B$2:$B$501,MATCH(B2272,Productos!$A$2:$A$501,0)),"¿Código?"))</f>
        <v/>
      </c>
      <c r="F2272" s="32">
        <f>IF(C2272&lt;&gt;"Venta","",D2272*IFERROR(INDEX(Productos!$D$2:$D$501,MATCH(B2272,Productos!$A$2:$A$501,0)),0))</f>
        <v/>
      </c>
      <c r="G2272" s="32">
        <f>IF(C2272&lt;&gt;"Venta","",D2272*IFERROR(INDEX(Productos!$E$2:$E$501,MATCH(B2272,Productos!$A$2:$A$501,0)),0))</f>
        <v/>
      </c>
      <c r="H2272" s="33">
        <f>IF(A2272="","",MONTH(A2272))</f>
        <v/>
      </c>
      <c r="I2272" s="33">
        <f>IF(A2272="","",YEAR(A2272))</f>
        <v/>
      </c>
    </row>
    <row r="2273" ht="15" customHeight="1" s="21">
      <c r="A2273" s="34" t="n"/>
      <c r="B2273" s="30" t="n"/>
      <c r="C2273" s="30" t="n"/>
      <c r="D2273" s="30" t="n"/>
      <c r="E2273" s="33">
        <f>IF(B2273="","",IFERROR(INDEX(Productos!$B$2:$B$501,MATCH(B2273,Productos!$A$2:$A$501,0)),"¿Código?"))</f>
        <v/>
      </c>
      <c r="F2273" s="32">
        <f>IF(C2273&lt;&gt;"Venta","",D2273*IFERROR(INDEX(Productos!$D$2:$D$501,MATCH(B2273,Productos!$A$2:$A$501,0)),0))</f>
        <v/>
      </c>
      <c r="G2273" s="32">
        <f>IF(C2273&lt;&gt;"Venta","",D2273*IFERROR(INDEX(Productos!$E$2:$E$501,MATCH(B2273,Productos!$A$2:$A$501,0)),0))</f>
        <v/>
      </c>
      <c r="H2273" s="33">
        <f>IF(A2273="","",MONTH(A2273))</f>
        <v/>
      </c>
      <c r="I2273" s="33">
        <f>IF(A2273="","",YEAR(A2273))</f>
        <v/>
      </c>
    </row>
    <row r="2274" ht="15" customHeight="1" s="21">
      <c r="A2274" s="34" t="n"/>
      <c r="B2274" s="30" t="n"/>
      <c r="C2274" s="30" t="n"/>
      <c r="D2274" s="30" t="n"/>
      <c r="E2274" s="33">
        <f>IF(B2274="","",IFERROR(INDEX(Productos!$B$2:$B$501,MATCH(B2274,Productos!$A$2:$A$501,0)),"¿Código?"))</f>
        <v/>
      </c>
      <c r="F2274" s="32">
        <f>IF(C2274&lt;&gt;"Venta","",D2274*IFERROR(INDEX(Productos!$D$2:$D$501,MATCH(B2274,Productos!$A$2:$A$501,0)),0))</f>
        <v/>
      </c>
      <c r="G2274" s="32">
        <f>IF(C2274&lt;&gt;"Venta","",D2274*IFERROR(INDEX(Productos!$E$2:$E$501,MATCH(B2274,Productos!$A$2:$A$501,0)),0))</f>
        <v/>
      </c>
      <c r="H2274" s="33">
        <f>IF(A2274="","",MONTH(A2274))</f>
        <v/>
      </c>
      <c r="I2274" s="33">
        <f>IF(A2274="","",YEAR(A2274))</f>
        <v/>
      </c>
    </row>
    <row r="2275" ht="15" customHeight="1" s="21">
      <c r="A2275" s="34" t="n"/>
      <c r="B2275" s="30" t="n"/>
      <c r="C2275" s="30" t="n"/>
      <c r="D2275" s="30" t="n"/>
      <c r="E2275" s="33">
        <f>IF(B2275="","",IFERROR(INDEX(Productos!$B$2:$B$501,MATCH(B2275,Productos!$A$2:$A$501,0)),"¿Código?"))</f>
        <v/>
      </c>
      <c r="F2275" s="32">
        <f>IF(C2275&lt;&gt;"Venta","",D2275*IFERROR(INDEX(Productos!$D$2:$D$501,MATCH(B2275,Productos!$A$2:$A$501,0)),0))</f>
        <v/>
      </c>
      <c r="G2275" s="32">
        <f>IF(C2275&lt;&gt;"Venta","",D2275*IFERROR(INDEX(Productos!$E$2:$E$501,MATCH(B2275,Productos!$A$2:$A$501,0)),0))</f>
        <v/>
      </c>
      <c r="H2275" s="33">
        <f>IF(A2275="","",MONTH(A2275))</f>
        <v/>
      </c>
      <c r="I2275" s="33">
        <f>IF(A2275="","",YEAR(A2275))</f>
        <v/>
      </c>
    </row>
    <row r="2276" ht="15" customHeight="1" s="21">
      <c r="A2276" s="34" t="n"/>
      <c r="B2276" s="30" t="n"/>
      <c r="C2276" s="30" t="n"/>
      <c r="D2276" s="30" t="n"/>
      <c r="E2276" s="33">
        <f>IF(B2276="","",IFERROR(INDEX(Productos!$B$2:$B$501,MATCH(B2276,Productos!$A$2:$A$501,0)),"¿Código?"))</f>
        <v/>
      </c>
      <c r="F2276" s="32">
        <f>IF(C2276&lt;&gt;"Venta","",D2276*IFERROR(INDEX(Productos!$D$2:$D$501,MATCH(B2276,Productos!$A$2:$A$501,0)),0))</f>
        <v/>
      </c>
      <c r="G2276" s="32">
        <f>IF(C2276&lt;&gt;"Venta","",D2276*IFERROR(INDEX(Productos!$E$2:$E$501,MATCH(B2276,Productos!$A$2:$A$501,0)),0))</f>
        <v/>
      </c>
      <c r="H2276" s="33">
        <f>IF(A2276="","",MONTH(A2276))</f>
        <v/>
      </c>
      <c r="I2276" s="33">
        <f>IF(A2276="","",YEAR(A2276))</f>
        <v/>
      </c>
    </row>
    <row r="2277" ht="15" customHeight="1" s="21">
      <c r="A2277" s="34" t="n"/>
      <c r="B2277" s="30" t="n"/>
      <c r="C2277" s="30" t="n"/>
      <c r="D2277" s="30" t="n"/>
      <c r="E2277" s="33">
        <f>IF(B2277="","",IFERROR(INDEX(Productos!$B$2:$B$501,MATCH(B2277,Productos!$A$2:$A$501,0)),"¿Código?"))</f>
        <v/>
      </c>
      <c r="F2277" s="32">
        <f>IF(C2277&lt;&gt;"Venta","",D2277*IFERROR(INDEX(Productos!$D$2:$D$501,MATCH(B2277,Productos!$A$2:$A$501,0)),0))</f>
        <v/>
      </c>
      <c r="G2277" s="32">
        <f>IF(C2277&lt;&gt;"Venta","",D2277*IFERROR(INDEX(Productos!$E$2:$E$501,MATCH(B2277,Productos!$A$2:$A$501,0)),0))</f>
        <v/>
      </c>
      <c r="H2277" s="33">
        <f>IF(A2277="","",MONTH(A2277))</f>
        <v/>
      </c>
      <c r="I2277" s="33">
        <f>IF(A2277="","",YEAR(A2277))</f>
        <v/>
      </c>
    </row>
    <row r="2278" ht="15" customHeight="1" s="21">
      <c r="A2278" s="34" t="n"/>
      <c r="B2278" s="30" t="n"/>
      <c r="C2278" s="30" t="n"/>
      <c r="D2278" s="30" t="n"/>
      <c r="E2278" s="33">
        <f>IF(B2278="","",IFERROR(INDEX(Productos!$B$2:$B$501,MATCH(B2278,Productos!$A$2:$A$501,0)),"¿Código?"))</f>
        <v/>
      </c>
      <c r="F2278" s="32">
        <f>IF(C2278&lt;&gt;"Venta","",D2278*IFERROR(INDEX(Productos!$D$2:$D$501,MATCH(B2278,Productos!$A$2:$A$501,0)),0))</f>
        <v/>
      </c>
      <c r="G2278" s="32">
        <f>IF(C2278&lt;&gt;"Venta","",D2278*IFERROR(INDEX(Productos!$E$2:$E$501,MATCH(B2278,Productos!$A$2:$A$501,0)),0))</f>
        <v/>
      </c>
      <c r="H2278" s="33">
        <f>IF(A2278="","",MONTH(A2278))</f>
        <v/>
      </c>
      <c r="I2278" s="33">
        <f>IF(A2278="","",YEAR(A2278))</f>
        <v/>
      </c>
    </row>
    <row r="2279" ht="15" customHeight="1" s="21">
      <c r="A2279" s="34" t="n"/>
      <c r="B2279" s="30" t="n"/>
      <c r="C2279" s="30" t="n"/>
      <c r="D2279" s="30" t="n"/>
      <c r="E2279" s="33">
        <f>IF(B2279="","",IFERROR(INDEX(Productos!$B$2:$B$501,MATCH(B2279,Productos!$A$2:$A$501,0)),"¿Código?"))</f>
        <v/>
      </c>
      <c r="F2279" s="32">
        <f>IF(C2279&lt;&gt;"Venta","",D2279*IFERROR(INDEX(Productos!$D$2:$D$501,MATCH(B2279,Productos!$A$2:$A$501,0)),0))</f>
        <v/>
      </c>
      <c r="G2279" s="32">
        <f>IF(C2279&lt;&gt;"Venta","",D2279*IFERROR(INDEX(Productos!$E$2:$E$501,MATCH(B2279,Productos!$A$2:$A$501,0)),0))</f>
        <v/>
      </c>
      <c r="H2279" s="33">
        <f>IF(A2279="","",MONTH(A2279))</f>
        <v/>
      </c>
      <c r="I2279" s="33">
        <f>IF(A2279="","",YEAR(A2279))</f>
        <v/>
      </c>
    </row>
    <row r="2280" ht="15" customHeight="1" s="21">
      <c r="A2280" s="34" t="n"/>
      <c r="B2280" s="30" t="n"/>
      <c r="C2280" s="30" t="n"/>
      <c r="D2280" s="30" t="n"/>
      <c r="E2280" s="33">
        <f>IF(B2280="","",IFERROR(INDEX(Productos!$B$2:$B$501,MATCH(B2280,Productos!$A$2:$A$501,0)),"¿Código?"))</f>
        <v/>
      </c>
      <c r="F2280" s="32">
        <f>IF(C2280&lt;&gt;"Venta","",D2280*IFERROR(INDEX(Productos!$D$2:$D$501,MATCH(B2280,Productos!$A$2:$A$501,0)),0))</f>
        <v/>
      </c>
      <c r="G2280" s="32">
        <f>IF(C2280&lt;&gt;"Venta","",D2280*IFERROR(INDEX(Productos!$E$2:$E$501,MATCH(B2280,Productos!$A$2:$A$501,0)),0))</f>
        <v/>
      </c>
      <c r="H2280" s="33">
        <f>IF(A2280="","",MONTH(A2280))</f>
        <v/>
      </c>
      <c r="I2280" s="33">
        <f>IF(A2280="","",YEAR(A2280))</f>
        <v/>
      </c>
    </row>
    <row r="2281" ht="15" customHeight="1" s="21">
      <c r="A2281" s="34" t="n"/>
      <c r="B2281" s="30" t="n"/>
      <c r="C2281" s="30" t="n"/>
      <c r="D2281" s="30" t="n"/>
      <c r="E2281" s="33">
        <f>IF(B2281="","",IFERROR(INDEX(Productos!$B$2:$B$501,MATCH(B2281,Productos!$A$2:$A$501,0)),"¿Código?"))</f>
        <v/>
      </c>
      <c r="F2281" s="32">
        <f>IF(C2281&lt;&gt;"Venta","",D2281*IFERROR(INDEX(Productos!$D$2:$D$501,MATCH(B2281,Productos!$A$2:$A$501,0)),0))</f>
        <v/>
      </c>
      <c r="G2281" s="32">
        <f>IF(C2281&lt;&gt;"Venta","",D2281*IFERROR(INDEX(Productos!$E$2:$E$501,MATCH(B2281,Productos!$A$2:$A$501,0)),0))</f>
        <v/>
      </c>
      <c r="H2281" s="33">
        <f>IF(A2281="","",MONTH(A2281))</f>
        <v/>
      </c>
      <c r="I2281" s="33">
        <f>IF(A2281="","",YEAR(A2281))</f>
        <v/>
      </c>
    </row>
    <row r="2282" ht="15" customHeight="1" s="21">
      <c r="A2282" s="34" t="n"/>
      <c r="B2282" s="30" t="n"/>
      <c r="C2282" s="30" t="n"/>
      <c r="D2282" s="30" t="n"/>
      <c r="E2282" s="33">
        <f>IF(B2282="","",IFERROR(INDEX(Productos!$B$2:$B$501,MATCH(B2282,Productos!$A$2:$A$501,0)),"¿Código?"))</f>
        <v/>
      </c>
      <c r="F2282" s="32">
        <f>IF(C2282&lt;&gt;"Venta","",D2282*IFERROR(INDEX(Productos!$D$2:$D$501,MATCH(B2282,Productos!$A$2:$A$501,0)),0))</f>
        <v/>
      </c>
      <c r="G2282" s="32">
        <f>IF(C2282&lt;&gt;"Venta","",D2282*IFERROR(INDEX(Productos!$E$2:$E$501,MATCH(B2282,Productos!$A$2:$A$501,0)),0))</f>
        <v/>
      </c>
      <c r="H2282" s="33">
        <f>IF(A2282="","",MONTH(A2282))</f>
        <v/>
      </c>
      <c r="I2282" s="33">
        <f>IF(A2282="","",YEAR(A2282))</f>
        <v/>
      </c>
    </row>
    <row r="2283" ht="15" customHeight="1" s="21">
      <c r="A2283" s="34" t="n"/>
      <c r="B2283" s="30" t="n"/>
      <c r="C2283" s="30" t="n"/>
      <c r="D2283" s="30" t="n"/>
      <c r="E2283" s="33">
        <f>IF(B2283="","",IFERROR(INDEX(Productos!$B$2:$B$501,MATCH(B2283,Productos!$A$2:$A$501,0)),"¿Código?"))</f>
        <v/>
      </c>
      <c r="F2283" s="32">
        <f>IF(C2283&lt;&gt;"Venta","",D2283*IFERROR(INDEX(Productos!$D$2:$D$501,MATCH(B2283,Productos!$A$2:$A$501,0)),0))</f>
        <v/>
      </c>
      <c r="G2283" s="32">
        <f>IF(C2283&lt;&gt;"Venta","",D2283*IFERROR(INDEX(Productos!$E$2:$E$501,MATCH(B2283,Productos!$A$2:$A$501,0)),0))</f>
        <v/>
      </c>
      <c r="H2283" s="33">
        <f>IF(A2283="","",MONTH(A2283))</f>
        <v/>
      </c>
      <c r="I2283" s="33">
        <f>IF(A2283="","",YEAR(A2283))</f>
        <v/>
      </c>
    </row>
    <row r="2284" ht="15" customHeight="1" s="21">
      <c r="A2284" s="34" t="n"/>
      <c r="B2284" s="30" t="n"/>
      <c r="C2284" s="30" t="n"/>
      <c r="D2284" s="30" t="n"/>
      <c r="E2284" s="33">
        <f>IF(B2284="","",IFERROR(INDEX(Productos!$B$2:$B$501,MATCH(B2284,Productos!$A$2:$A$501,0)),"¿Código?"))</f>
        <v/>
      </c>
      <c r="F2284" s="32">
        <f>IF(C2284&lt;&gt;"Venta","",D2284*IFERROR(INDEX(Productos!$D$2:$D$501,MATCH(B2284,Productos!$A$2:$A$501,0)),0))</f>
        <v/>
      </c>
      <c r="G2284" s="32">
        <f>IF(C2284&lt;&gt;"Venta","",D2284*IFERROR(INDEX(Productos!$E$2:$E$501,MATCH(B2284,Productos!$A$2:$A$501,0)),0))</f>
        <v/>
      </c>
      <c r="H2284" s="33">
        <f>IF(A2284="","",MONTH(A2284))</f>
        <v/>
      </c>
      <c r="I2284" s="33">
        <f>IF(A2284="","",YEAR(A2284))</f>
        <v/>
      </c>
    </row>
    <row r="2285" ht="15" customHeight="1" s="21">
      <c r="A2285" s="34" t="n"/>
      <c r="B2285" s="30" t="n"/>
      <c r="C2285" s="30" t="n"/>
      <c r="D2285" s="30" t="n"/>
      <c r="E2285" s="33">
        <f>IF(B2285="","",IFERROR(INDEX(Productos!$B$2:$B$501,MATCH(B2285,Productos!$A$2:$A$501,0)),"¿Código?"))</f>
        <v/>
      </c>
      <c r="F2285" s="32">
        <f>IF(C2285&lt;&gt;"Venta","",D2285*IFERROR(INDEX(Productos!$D$2:$D$501,MATCH(B2285,Productos!$A$2:$A$501,0)),0))</f>
        <v/>
      </c>
      <c r="G2285" s="32">
        <f>IF(C2285&lt;&gt;"Venta","",D2285*IFERROR(INDEX(Productos!$E$2:$E$501,MATCH(B2285,Productos!$A$2:$A$501,0)),0))</f>
        <v/>
      </c>
      <c r="H2285" s="33">
        <f>IF(A2285="","",MONTH(A2285))</f>
        <v/>
      </c>
      <c r="I2285" s="33">
        <f>IF(A2285="","",YEAR(A2285))</f>
        <v/>
      </c>
    </row>
    <row r="2286" ht="15" customHeight="1" s="21">
      <c r="A2286" s="34" t="n"/>
      <c r="B2286" s="30" t="n"/>
      <c r="C2286" s="30" t="n"/>
      <c r="D2286" s="30" t="n"/>
      <c r="E2286" s="33">
        <f>IF(B2286="","",IFERROR(INDEX(Productos!$B$2:$B$501,MATCH(B2286,Productos!$A$2:$A$501,0)),"¿Código?"))</f>
        <v/>
      </c>
      <c r="F2286" s="32">
        <f>IF(C2286&lt;&gt;"Venta","",D2286*IFERROR(INDEX(Productos!$D$2:$D$501,MATCH(B2286,Productos!$A$2:$A$501,0)),0))</f>
        <v/>
      </c>
      <c r="G2286" s="32">
        <f>IF(C2286&lt;&gt;"Venta","",D2286*IFERROR(INDEX(Productos!$E$2:$E$501,MATCH(B2286,Productos!$A$2:$A$501,0)),0))</f>
        <v/>
      </c>
      <c r="H2286" s="33">
        <f>IF(A2286="","",MONTH(A2286))</f>
        <v/>
      </c>
      <c r="I2286" s="33">
        <f>IF(A2286="","",YEAR(A2286))</f>
        <v/>
      </c>
    </row>
    <row r="2287" ht="15" customHeight="1" s="21">
      <c r="A2287" s="34" t="n"/>
      <c r="B2287" s="30" t="n"/>
      <c r="C2287" s="30" t="n"/>
      <c r="D2287" s="30" t="n"/>
      <c r="E2287" s="33">
        <f>IF(B2287="","",IFERROR(INDEX(Productos!$B$2:$B$501,MATCH(B2287,Productos!$A$2:$A$501,0)),"¿Código?"))</f>
        <v/>
      </c>
      <c r="F2287" s="32">
        <f>IF(C2287&lt;&gt;"Venta","",D2287*IFERROR(INDEX(Productos!$D$2:$D$501,MATCH(B2287,Productos!$A$2:$A$501,0)),0))</f>
        <v/>
      </c>
      <c r="G2287" s="32">
        <f>IF(C2287&lt;&gt;"Venta","",D2287*IFERROR(INDEX(Productos!$E$2:$E$501,MATCH(B2287,Productos!$A$2:$A$501,0)),0))</f>
        <v/>
      </c>
      <c r="H2287" s="33">
        <f>IF(A2287="","",MONTH(A2287))</f>
        <v/>
      </c>
      <c r="I2287" s="33">
        <f>IF(A2287="","",YEAR(A2287))</f>
        <v/>
      </c>
    </row>
    <row r="2288" ht="15" customHeight="1" s="21">
      <c r="A2288" s="34" t="n"/>
      <c r="B2288" s="30" t="n"/>
      <c r="C2288" s="30" t="n"/>
      <c r="D2288" s="30" t="n"/>
      <c r="E2288" s="33">
        <f>IF(B2288="","",IFERROR(INDEX(Productos!$B$2:$B$501,MATCH(B2288,Productos!$A$2:$A$501,0)),"¿Código?"))</f>
        <v/>
      </c>
      <c r="F2288" s="32">
        <f>IF(C2288&lt;&gt;"Venta","",D2288*IFERROR(INDEX(Productos!$D$2:$D$501,MATCH(B2288,Productos!$A$2:$A$501,0)),0))</f>
        <v/>
      </c>
      <c r="G2288" s="32">
        <f>IF(C2288&lt;&gt;"Venta","",D2288*IFERROR(INDEX(Productos!$E$2:$E$501,MATCH(B2288,Productos!$A$2:$A$501,0)),0))</f>
        <v/>
      </c>
      <c r="H2288" s="33">
        <f>IF(A2288="","",MONTH(A2288))</f>
        <v/>
      </c>
      <c r="I2288" s="33">
        <f>IF(A2288="","",YEAR(A2288))</f>
        <v/>
      </c>
    </row>
    <row r="2289" ht="15" customHeight="1" s="21">
      <c r="A2289" s="34" t="n"/>
      <c r="B2289" s="30" t="n"/>
      <c r="C2289" s="30" t="n"/>
      <c r="D2289" s="30" t="n"/>
      <c r="E2289" s="33">
        <f>IF(B2289="","",IFERROR(INDEX(Productos!$B$2:$B$501,MATCH(B2289,Productos!$A$2:$A$501,0)),"¿Código?"))</f>
        <v/>
      </c>
      <c r="F2289" s="32">
        <f>IF(C2289&lt;&gt;"Venta","",D2289*IFERROR(INDEX(Productos!$D$2:$D$501,MATCH(B2289,Productos!$A$2:$A$501,0)),0))</f>
        <v/>
      </c>
      <c r="G2289" s="32">
        <f>IF(C2289&lt;&gt;"Venta","",D2289*IFERROR(INDEX(Productos!$E$2:$E$501,MATCH(B2289,Productos!$A$2:$A$501,0)),0))</f>
        <v/>
      </c>
      <c r="H2289" s="33">
        <f>IF(A2289="","",MONTH(A2289))</f>
        <v/>
      </c>
      <c r="I2289" s="33">
        <f>IF(A2289="","",YEAR(A2289))</f>
        <v/>
      </c>
    </row>
    <row r="2290" ht="15" customHeight="1" s="21">
      <c r="A2290" s="34" t="n"/>
      <c r="B2290" s="30" t="n"/>
      <c r="C2290" s="30" t="n"/>
      <c r="D2290" s="30" t="n"/>
      <c r="E2290" s="33">
        <f>IF(B2290="","",IFERROR(INDEX(Productos!$B$2:$B$501,MATCH(B2290,Productos!$A$2:$A$501,0)),"¿Código?"))</f>
        <v/>
      </c>
      <c r="F2290" s="32">
        <f>IF(C2290&lt;&gt;"Venta","",D2290*IFERROR(INDEX(Productos!$D$2:$D$501,MATCH(B2290,Productos!$A$2:$A$501,0)),0))</f>
        <v/>
      </c>
      <c r="G2290" s="32">
        <f>IF(C2290&lt;&gt;"Venta","",D2290*IFERROR(INDEX(Productos!$E$2:$E$501,MATCH(B2290,Productos!$A$2:$A$501,0)),0))</f>
        <v/>
      </c>
      <c r="H2290" s="33">
        <f>IF(A2290="","",MONTH(A2290))</f>
        <v/>
      </c>
      <c r="I2290" s="33">
        <f>IF(A2290="","",YEAR(A2290))</f>
        <v/>
      </c>
    </row>
    <row r="2291" ht="15" customHeight="1" s="21">
      <c r="A2291" s="34" t="n"/>
      <c r="B2291" s="30" t="n"/>
      <c r="C2291" s="30" t="n"/>
      <c r="D2291" s="30" t="n"/>
      <c r="E2291" s="33">
        <f>IF(B2291="","",IFERROR(INDEX(Productos!$B$2:$B$501,MATCH(B2291,Productos!$A$2:$A$501,0)),"¿Código?"))</f>
        <v/>
      </c>
      <c r="F2291" s="32">
        <f>IF(C2291&lt;&gt;"Venta","",D2291*IFERROR(INDEX(Productos!$D$2:$D$501,MATCH(B2291,Productos!$A$2:$A$501,0)),0))</f>
        <v/>
      </c>
      <c r="G2291" s="32">
        <f>IF(C2291&lt;&gt;"Venta","",D2291*IFERROR(INDEX(Productos!$E$2:$E$501,MATCH(B2291,Productos!$A$2:$A$501,0)),0))</f>
        <v/>
      </c>
      <c r="H2291" s="33">
        <f>IF(A2291="","",MONTH(A2291))</f>
        <v/>
      </c>
      <c r="I2291" s="33">
        <f>IF(A2291="","",YEAR(A2291))</f>
        <v/>
      </c>
    </row>
    <row r="2292" ht="15" customHeight="1" s="21">
      <c r="A2292" s="34" t="n"/>
      <c r="B2292" s="30" t="n"/>
      <c r="C2292" s="30" t="n"/>
      <c r="D2292" s="30" t="n"/>
      <c r="E2292" s="33">
        <f>IF(B2292="","",IFERROR(INDEX(Productos!$B$2:$B$501,MATCH(B2292,Productos!$A$2:$A$501,0)),"¿Código?"))</f>
        <v/>
      </c>
      <c r="F2292" s="32">
        <f>IF(C2292&lt;&gt;"Venta","",D2292*IFERROR(INDEX(Productos!$D$2:$D$501,MATCH(B2292,Productos!$A$2:$A$501,0)),0))</f>
        <v/>
      </c>
      <c r="G2292" s="32">
        <f>IF(C2292&lt;&gt;"Venta","",D2292*IFERROR(INDEX(Productos!$E$2:$E$501,MATCH(B2292,Productos!$A$2:$A$501,0)),0))</f>
        <v/>
      </c>
      <c r="H2292" s="33">
        <f>IF(A2292="","",MONTH(A2292))</f>
        <v/>
      </c>
      <c r="I2292" s="33">
        <f>IF(A2292="","",YEAR(A2292))</f>
        <v/>
      </c>
    </row>
    <row r="2293" ht="15" customHeight="1" s="21">
      <c r="A2293" s="34" t="n"/>
      <c r="B2293" s="30" t="n"/>
      <c r="C2293" s="30" t="n"/>
      <c r="D2293" s="30" t="n"/>
      <c r="E2293" s="33">
        <f>IF(B2293="","",IFERROR(INDEX(Productos!$B$2:$B$501,MATCH(B2293,Productos!$A$2:$A$501,0)),"¿Código?"))</f>
        <v/>
      </c>
      <c r="F2293" s="32">
        <f>IF(C2293&lt;&gt;"Venta","",D2293*IFERROR(INDEX(Productos!$D$2:$D$501,MATCH(B2293,Productos!$A$2:$A$501,0)),0))</f>
        <v/>
      </c>
      <c r="G2293" s="32">
        <f>IF(C2293&lt;&gt;"Venta","",D2293*IFERROR(INDEX(Productos!$E$2:$E$501,MATCH(B2293,Productos!$A$2:$A$501,0)),0))</f>
        <v/>
      </c>
      <c r="H2293" s="33">
        <f>IF(A2293="","",MONTH(A2293))</f>
        <v/>
      </c>
      <c r="I2293" s="33">
        <f>IF(A2293="","",YEAR(A2293))</f>
        <v/>
      </c>
    </row>
    <row r="2294" ht="15" customHeight="1" s="21">
      <c r="A2294" s="34" t="n"/>
      <c r="B2294" s="30" t="n"/>
      <c r="C2294" s="30" t="n"/>
      <c r="D2294" s="30" t="n"/>
      <c r="E2294" s="33">
        <f>IF(B2294="","",IFERROR(INDEX(Productos!$B$2:$B$501,MATCH(B2294,Productos!$A$2:$A$501,0)),"¿Código?"))</f>
        <v/>
      </c>
      <c r="F2294" s="32">
        <f>IF(C2294&lt;&gt;"Venta","",D2294*IFERROR(INDEX(Productos!$D$2:$D$501,MATCH(B2294,Productos!$A$2:$A$501,0)),0))</f>
        <v/>
      </c>
      <c r="G2294" s="32">
        <f>IF(C2294&lt;&gt;"Venta","",D2294*IFERROR(INDEX(Productos!$E$2:$E$501,MATCH(B2294,Productos!$A$2:$A$501,0)),0))</f>
        <v/>
      </c>
      <c r="H2294" s="33">
        <f>IF(A2294="","",MONTH(A2294))</f>
        <v/>
      </c>
      <c r="I2294" s="33">
        <f>IF(A2294="","",YEAR(A2294))</f>
        <v/>
      </c>
    </row>
    <row r="2295" ht="15" customHeight="1" s="21">
      <c r="A2295" s="34" t="n"/>
      <c r="B2295" s="30" t="n"/>
      <c r="C2295" s="30" t="n"/>
      <c r="D2295" s="30" t="n"/>
      <c r="E2295" s="33">
        <f>IF(B2295="","",IFERROR(INDEX(Productos!$B$2:$B$501,MATCH(B2295,Productos!$A$2:$A$501,0)),"¿Código?"))</f>
        <v/>
      </c>
      <c r="F2295" s="32">
        <f>IF(C2295&lt;&gt;"Venta","",D2295*IFERROR(INDEX(Productos!$D$2:$D$501,MATCH(B2295,Productos!$A$2:$A$501,0)),0))</f>
        <v/>
      </c>
      <c r="G2295" s="32">
        <f>IF(C2295&lt;&gt;"Venta","",D2295*IFERROR(INDEX(Productos!$E$2:$E$501,MATCH(B2295,Productos!$A$2:$A$501,0)),0))</f>
        <v/>
      </c>
      <c r="H2295" s="33">
        <f>IF(A2295="","",MONTH(A2295))</f>
        <v/>
      </c>
      <c r="I2295" s="33">
        <f>IF(A2295="","",YEAR(A2295))</f>
        <v/>
      </c>
    </row>
    <row r="2296" ht="15" customHeight="1" s="21">
      <c r="A2296" s="34" t="n"/>
      <c r="B2296" s="30" t="n"/>
      <c r="C2296" s="30" t="n"/>
      <c r="D2296" s="30" t="n"/>
      <c r="E2296" s="33">
        <f>IF(B2296="","",IFERROR(INDEX(Productos!$B$2:$B$501,MATCH(B2296,Productos!$A$2:$A$501,0)),"¿Código?"))</f>
        <v/>
      </c>
      <c r="F2296" s="32">
        <f>IF(C2296&lt;&gt;"Venta","",D2296*IFERROR(INDEX(Productos!$D$2:$D$501,MATCH(B2296,Productos!$A$2:$A$501,0)),0))</f>
        <v/>
      </c>
      <c r="G2296" s="32">
        <f>IF(C2296&lt;&gt;"Venta","",D2296*IFERROR(INDEX(Productos!$E$2:$E$501,MATCH(B2296,Productos!$A$2:$A$501,0)),0))</f>
        <v/>
      </c>
      <c r="H2296" s="33">
        <f>IF(A2296="","",MONTH(A2296))</f>
        <v/>
      </c>
      <c r="I2296" s="33">
        <f>IF(A2296="","",YEAR(A2296))</f>
        <v/>
      </c>
    </row>
    <row r="2297" ht="15" customHeight="1" s="21">
      <c r="A2297" s="34" t="n"/>
      <c r="B2297" s="30" t="n"/>
      <c r="C2297" s="30" t="n"/>
      <c r="D2297" s="30" t="n"/>
      <c r="E2297" s="33">
        <f>IF(B2297="","",IFERROR(INDEX(Productos!$B$2:$B$501,MATCH(B2297,Productos!$A$2:$A$501,0)),"¿Código?"))</f>
        <v/>
      </c>
      <c r="F2297" s="32">
        <f>IF(C2297&lt;&gt;"Venta","",D2297*IFERROR(INDEX(Productos!$D$2:$D$501,MATCH(B2297,Productos!$A$2:$A$501,0)),0))</f>
        <v/>
      </c>
      <c r="G2297" s="32">
        <f>IF(C2297&lt;&gt;"Venta","",D2297*IFERROR(INDEX(Productos!$E$2:$E$501,MATCH(B2297,Productos!$A$2:$A$501,0)),0))</f>
        <v/>
      </c>
      <c r="H2297" s="33">
        <f>IF(A2297="","",MONTH(A2297))</f>
        <v/>
      </c>
      <c r="I2297" s="33">
        <f>IF(A2297="","",YEAR(A2297))</f>
        <v/>
      </c>
    </row>
    <row r="2298" ht="15" customHeight="1" s="21">
      <c r="A2298" s="34" t="n"/>
      <c r="B2298" s="30" t="n"/>
      <c r="C2298" s="30" t="n"/>
      <c r="D2298" s="30" t="n"/>
      <c r="E2298" s="33">
        <f>IF(B2298="","",IFERROR(INDEX(Productos!$B$2:$B$501,MATCH(B2298,Productos!$A$2:$A$501,0)),"¿Código?"))</f>
        <v/>
      </c>
      <c r="F2298" s="32">
        <f>IF(C2298&lt;&gt;"Venta","",D2298*IFERROR(INDEX(Productos!$D$2:$D$501,MATCH(B2298,Productos!$A$2:$A$501,0)),0))</f>
        <v/>
      </c>
      <c r="G2298" s="32">
        <f>IF(C2298&lt;&gt;"Venta","",D2298*IFERROR(INDEX(Productos!$E$2:$E$501,MATCH(B2298,Productos!$A$2:$A$501,0)),0))</f>
        <v/>
      </c>
      <c r="H2298" s="33">
        <f>IF(A2298="","",MONTH(A2298))</f>
        <v/>
      </c>
      <c r="I2298" s="33">
        <f>IF(A2298="","",YEAR(A2298))</f>
        <v/>
      </c>
    </row>
    <row r="2299" ht="15" customHeight="1" s="21">
      <c r="A2299" s="34" t="n"/>
      <c r="B2299" s="30" t="n"/>
      <c r="C2299" s="30" t="n"/>
      <c r="D2299" s="30" t="n"/>
      <c r="E2299" s="33">
        <f>IF(B2299="","",IFERROR(INDEX(Productos!$B$2:$B$501,MATCH(B2299,Productos!$A$2:$A$501,0)),"¿Código?"))</f>
        <v/>
      </c>
      <c r="F2299" s="32">
        <f>IF(C2299&lt;&gt;"Venta","",D2299*IFERROR(INDEX(Productos!$D$2:$D$501,MATCH(B2299,Productos!$A$2:$A$501,0)),0))</f>
        <v/>
      </c>
      <c r="G2299" s="32">
        <f>IF(C2299&lt;&gt;"Venta","",D2299*IFERROR(INDEX(Productos!$E$2:$E$501,MATCH(B2299,Productos!$A$2:$A$501,0)),0))</f>
        <v/>
      </c>
      <c r="H2299" s="33">
        <f>IF(A2299="","",MONTH(A2299))</f>
        <v/>
      </c>
      <c r="I2299" s="33">
        <f>IF(A2299="","",YEAR(A2299))</f>
        <v/>
      </c>
    </row>
    <row r="2300" ht="15" customHeight="1" s="21">
      <c r="A2300" s="34" t="n"/>
      <c r="B2300" s="30" t="n"/>
      <c r="C2300" s="30" t="n"/>
      <c r="D2300" s="30" t="n"/>
      <c r="E2300" s="33">
        <f>IF(B2300="","",IFERROR(INDEX(Productos!$B$2:$B$501,MATCH(B2300,Productos!$A$2:$A$501,0)),"¿Código?"))</f>
        <v/>
      </c>
      <c r="F2300" s="32">
        <f>IF(C2300&lt;&gt;"Venta","",D2300*IFERROR(INDEX(Productos!$D$2:$D$501,MATCH(B2300,Productos!$A$2:$A$501,0)),0))</f>
        <v/>
      </c>
      <c r="G2300" s="32">
        <f>IF(C2300&lt;&gt;"Venta","",D2300*IFERROR(INDEX(Productos!$E$2:$E$501,MATCH(B2300,Productos!$A$2:$A$501,0)),0))</f>
        <v/>
      </c>
      <c r="H2300" s="33">
        <f>IF(A2300="","",MONTH(A2300))</f>
        <v/>
      </c>
      <c r="I2300" s="33">
        <f>IF(A2300="","",YEAR(A2300))</f>
        <v/>
      </c>
    </row>
    <row r="2301" ht="15" customHeight="1" s="21">
      <c r="A2301" s="34" t="n"/>
      <c r="B2301" s="30" t="n"/>
      <c r="C2301" s="30" t="n"/>
      <c r="D2301" s="30" t="n"/>
      <c r="E2301" s="33">
        <f>IF(B2301="","",IFERROR(INDEX(Productos!$B$2:$B$501,MATCH(B2301,Productos!$A$2:$A$501,0)),"¿Código?"))</f>
        <v/>
      </c>
      <c r="F2301" s="32">
        <f>IF(C2301&lt;&gt;"Venta","",D2301*IFERROR(INDEX(Productos!$D$2:$D$501,MATCH(B2301,Productos!$A$2:$A$501,0)),0))</f>
        <v/>
      </c>
      <c r="G2301" s="32">
        <f>IF(C2301&lt;&gt;"Venta","",D2301*IFERROR(INDEX(Productos!$E$2:$E$501,MATCH(B2301,Productos!$A$2:$A$501,0)),0))</f>
        <v/>
      </c>
      <c r="H2301" s="33">
        <f>IF(A2301="","",MONTH(A2301))</f>
        <v/>
      </c>
      <c r="I2301" s="33">
        <f>IF(A2301="","",YEAR(A2301))</f>
        <v/>
      </c>
    </row>
    <row r="2302" ht="15" customHeight="1" s="21">
      <c r="A2302" s="34" t="n"/>
      <c r="B2302" s="30" t="n"/>
      <c r="C2302" s="30" t="n"/>
      <c r="D2302" s="30" t="n"/>
      <c r="E2302" s="33">
        <f>IF(B2302="","",IFERROR(INDEX(Productos!$B$2:$B$501,MATCH(B2302,Productos!$A$2:$A$501,0)),"¿Código?"))</f>
        <v/>
      </c>
      <c r="F2302" s="32">
        <f>IF(C2302&lt;&gt;"Venta","",D2302*IFERROR(INDEX(Productos!$D$2:$D$501,MATCH(B2302,Productos!$A$2:$A$501,0)),0))</f>
        <v/>
      </c>
      <c r="G2302" s="32">
        <f>IF(C2302&lt;&gt;"Venta","",D2302*IFERROR(INDEX(Productos!$E$2:$E$501,MATCH(B2302,Productos!$A$2:$A$501,0)),0))</f>
        <v/>
      </c>
      <c r="H2302" s="33">
        <f>IF(A2302="","",MONTH(A2302))</f>
        <v/>
      </c>
      <c r="I2302" s="33">
        <f>IF(A2302="","",YEAR(A2302))</f>
        <v/>
      </c>
    </row>
    <row r="2303" ht="15" customHeight="1" s="21">
      <c r="A2303" s="34" t="n"/>
      <c r="B2303" s="30" t="n"/>
      <c r="C2303" s="30" t="n"/>
      <c r="D2303" s="30" t="n"/>
      <c r="E2303" s="33">
        <f>IF(B2303="","",IFERROR(INDEX(Productos!$B$2:$B$501,MATCH(B2303,Productos!$A$2:$A$501,0)),"¿Código?"))</f>
        <v/>
      </c>
      <c r="F2303" s="32">
        <f>IF(C2303&lt;&gt;"Venta","",D2303*IFERROR(INDEX(Productos!$D$2:$D$501,MATCH(B2303,Productos!$A$2:$A$501,0)),0))</f>
        <v/>
      </c>
      <c r="G2303" s="32">
        <f>IF(C2303&lt;&gt;"Venta","",D2303*IFERROR(INDEX(Productos!$E$2:$E$501,MATCH(B2303,Productos!$A$2:$A$501,0)),0))</f>
        <v/>
      </c>
      <c r="H2303" s="33">
        <f>IF(A2303="","",MONTH(A2303))</f>
        <v/>
      </c>
      <c r="I2303" s="33">
        <f>IF(A2303="","",YEAR(A2303))</f>
        <v/>
      </c>
    </row>
    <row r="2304" ht="15" customHeight="1" s="21">
      <c r="A2304" s="34" t="n"/>
      <c r="B2304" s="30" t="n"/>
      <c r="C2304" s="30" t="n"/>
      <c r="D2304" s="30" t="n"/>
      <c r="E2304" s="33">
        <f>IF(B2304="","",IFERROR(INDEX(Productos!$B$2:$B$501,MATCH(B2304,Productos!$A$2:$A$501,0)),"¿Código?"))</f>
        <v/>
      </c>
      <c r="F2304" s="32">
        <f>IF(C2304&lt;&gt;"Venta","",D2304*IFERROR(INDEX(Productos!$D$2:$D$501,MATCH(B2304,Productos!$A$2:$A$501,0)),0))</f>
        <v/>
      </c>
      <c r="G2304" s="32">
        <f>IF(C2304&lt;&gt;"Venta","",D2304*IFERROR(INDEX(Productos!$E$2:$E$501,MATCH(B2304,Productos!$A$2:$A$501,0)),0))</f>
        <v/>
      </c>
      <c r="H2304" s="33">
        <f>IF(A2304="","",MONTH(A2304))</f>
        <v/>
      </c>
      <c r="I2304" s="33">
        <f>IF(A2304="","",YEAR(A2304))</f>
        <v/>
      </c>
    </row>
    <row r="2305" ht="15" customHeight="1" s="21">
      <c r="A2305" s="34" t="n"/>
      <c r="B2305" s="30" t="n"/>
      <c r="C2305" s="30" t="n"/>
      <c r="D2305" s="30" t="n"/>
      <c r="E2305" s="33">
        <f>IF(B2305="","",IFERROR(INDEX(Productos!$B$2:$B$501,MATCH(B2305,Productos!$A$2:$A$501,0)),"¿Código?"))</f>
        <v/>
      </c>
      <c r="F2305" s="32">
        <f>IF(C2305&lt;&gt;"Venta","",D2305*IFERROR(INDEX(Productos!$D$2:$D$501,MATCH(B2305,Productos!$A$2:$A$501,0)),0))</f>
        <v/>
      </c>
      <c r="G2305" s="32">
        <f>IF(C2305&lt;&gt;"Venta","",D2305*IFERROR(INDEX(Productos!$E$2:$E$501,MATCH(B2305,Productos!$A$2:$A$501,0)),0))</f>
        <v/>
      </c>
      <c r="H2305" s="33">
        <f>IF(A2305="","",MONTH(A2305))</f>
        <v/>
      </c>
      <c r="I2305" s="33">
        <f>IF(A2305="","",YEAR(A2305))</f>
        <v/>
      </c>
    </row>
    <row r="2306" ht="15" customHeight="1" s="21">
      <c r="A2306" s="34" t="n"/>
      <c r="B2306" s="30" t="n"/>
      <c r="C2306" s="30" t="n"/>
      <c r="D2306" s="30" t="n"/>
      <c r="E2306" s="33">
        <f>IF(B2306="","",IFERROR(INDEX(Productos!$B$2:$B$501,MATCH(B2306,Productos!$A$2:$A$501,0)),"¿Código?"))</f>
        <v/>
      </c>
      <c r="F2306" s="32">
        <f>IF(C2306&lt;&gt;"Venta","",D2306*IFERROR(INDEX(Productos!$D$2:$D$501,MATCH(B2306,Productos!$A$2:$A$501,0)),0))</f>
        <v/>
      </c>
      <c r="G2306" s="32">
        <f>IF(C2306&lt;&gt;"Venta","",D2306*IFERROR(INDEX(Productos!$E$2:$E$501,MATCH(B2306,Productos!$A$2:$A$501,0)),0))</f>
        <v/>
      </c>
      <c r="H2306" s="33">
        <f>IF(A2306="","",MONTH(A2306))</f>
        <v/>
      </c>
      <c r="I2306" s="33">
        <f>IF(A2306="","",YEAR(A2306))</f>
        <v/>
      </c>
    </row>
    <row r="2307" ht="15" customHeight="1" s="21">
      <c r="A2307" s="34" t="n"/>
      <c r="B2307" s="30" t="n"/>
      <c r="C2307" s="30" t="n"/>
      <c r="D2307" s="30" t="n"/>
      <c r="E2307" s="33">
        <f>IF(B2307="","",IFERROR(INDEX(Productos!$B$2:$B$501,MATCH(B2307,Productos!$A$2:$A$501,0)),"¿Código?"))</f>
        <v/>
      </c>
      <c r="F2307" s="32">
        <f>IF(C2307&lt;&gt;"Venta","",D2307*IFERROR(INDEX(Productos!$D$2:$D$501,MATCH(B2307,Productos!$A$2:$A$501,0)),0))</f>
        <v/>
      </c>
      <c r="G2307" s="32">
        <f>IF(C2307&lt;&gt;"Venta","",D2307*IFERROR(INDEX(Productos!$E$2:$E$501,MATCH(B2307,Productos!$A$2:$A$501,0)),0))</f>
        <v/>
      </c>
      <c r="H2307" s="33">
        <f>IF(A2307="","",MONTH(A2307))</f>
        <v/>
      </c>
      <c r="I2307" s="33">
        <f>IF(A2307="","",YEAR(A2307))</f>
        <v/>
      </c>
    </row>
    <row r="2308" ht="15" customHeight="1" s="21">
      <c r="A2308" s="34" t="n"/>
      <c r="B2308" s="30" t="n"/>
      <c r="C2308" s="30" t="n"/>
      <c r="D2308" s="30" t="n"/>
      <c r="E2308" s="33">
        <f>IF(B2308="","",IFERROR(INDEX(Productos!$B$2:$B$501,MATCH(B2308,Productos!$A$2:$A$501,0)),"¿Código?"))</f>
        <v/>
      </c>
      <c r="F2308" s="32">
        <f>IF(C2308&lt;&gt;"Venta","",D2308*IFERROR(INDEX(Productos!$D$2:$D$501,MATCH(B2308,Productos!$A$2:$A$501,0)),0))</f>
        <v/>
      </c>
      <c r="G2308" s="32">
        <f>IF(C2308&lt;&gt;"Venta","",D2308*IFERROR(INDEX(Productos!$E$2:$E$501,MATCH(B2308,Productos!$A$2:$A$501,0)),0))</f>
        <v/>
      </c>
      <c r="H2308" s="33">
        <f>IF(A2308="","",MONTH(A2308))</f>
        <v/>
      </c>
      <c r="I2308" s="33">
        <f>IF(A2308="","",YEAR(A2308))</f>
        <v/>
      </c>
    </row>
    <row r="2309" ht="15" customHeight="1" s="21">
      <c r="A2309" s="34" t="n"/>
      <c r="B2309" s="30" t="n"/>
      <c r="C2309" s="30" t="n"/>
      <c r="D2309" s="30" t="n"/>
      <c r="E2309" s="33">
        <f>IF(B2309="","",IFERROR(INDEX(Productos!$B$2:$B$501,MATCH(B2309,Productos!$A$2:$A$501,0)),"¿Código?"))</f>
        <v/>
      </c>
      <c r="F2309" s="32">
        <f>IF(C2309&lt;&gt;"Venta","",D2309*IFERROR(INDEX(Productos!$D$2:$D$501,MATCH(B2309,Productos!$A$2:$A$501,0)),0))</f>
        <v/>
      </c>
      <c r="G2309" s="32">
        <f>IF(C2309&lt;&gt;"Venta","",D2309*IFERROR(INDEX(Productos!$E$2:$E$501,MATCH(B2309,Productos!$A$2:$A$501,0)),0))</f>
        <v/>
      </c>
      <c r="H2309" s="33">
        <f>IF(A2309="","",MONTH(A2309))</f>
        <v/>
      </c>
      <c r="I2309" s="33">
        <f>IF(A2309="","",YEAR(A2309))</f>
        <v/>
      </c>
    </row>
    <row r="2310" ht="15" customHeight="1" s="21">
      <c r="A2310" s="34" t="n"/>
      <c r="B2310" s="30" t="n"/>
      <c r="C2310" s="30" t="n"/>
      <c r="D2310" s="30" t="n"/>
      <c r="E2310" s="33">
        <f>IF(B2310="","",IFERROR(INDEX(Productos!$B$2:$B$501,MATCH(B2310,Productos!$A$2:$A$501,0)),"¿Código?"))</f>
        <v/>
      </c>
      <c r="F2310" s="32">
        <f>IF(C2310&lt;&gt;"Venta","",D2310*IFERROR(INDEX(Productos!$D$2:$D$501,MATCH(B2310,Productos!$A$2:$A$501,0)),0))</f>
        <v/>
      </c>
      <c r="G2310" s="32">
        <f>IF(C2310&lt;&gt;"Venta","",D2310*IFERROR(INDEX(Productos!$E$2:$E$501,MATCH(B2310,Productos!$A$2:$A$501,0)),0))</f>
        <v/>
      </c>
      <c r="H2310" s="33">
        <f>IF(A2310="","",MONTH(A2310))</f>
        <v/>
      </c>
      <c r="I2310" s="33">
        <f>IF(A2310="","",YEAR(A2310))</f>
        <v/>
      </c>
    </row>
    <row r="2311" ht="15" customHeight="1" s="21">
      <c r="A2311" s="34" t="n"/>
      <c r="B2311" s="30" t="n"/>
      <c r="C2311" s="30" t="n"/>
      <c r="D2311" s="30" t="n"/>
      <c r="E2311" s="33">
        <f>IF(B2311="","",IFERROR(INDEX(Productos!$B$2:$B$501,MATCH(B2311,Productos!$A$2:$A$501,0)),"¿Código?"))</f>
        <v/>
      </c>
      <c r="F2311" s="32">
        <f>IF(C2311&lt;&gt;"Venta","",D2311*IFERROR(INDEX(Productos!$D$2:$D$501,MATCH(B2311,Productos!$A$2:$A$501,0)),0))</f>
        <v/>
      </c>
      <c r="G2311" s="32">
        <f>IF(C2311&lt;&gt;"Venta","",D2311*IFERROR(INDEX(Productos!$E$2:$E$501,MATCH(B2311,Productos!$A$2:$A$501,0)),0))</f>
        <v/>
      </c>
      <c r="H2311" s="33">
        <f>IF(A2311="","",MONTH(A2311))</f>
        <v/>
      </c>
      <c r="I2311" s="33">
        <f>IF(A2311="","",YEAR(A2311))</f>
        <v/>
      </c>
    </row>
    <row r="2312" ht="15" customHeight="1" s="21">
      <c r="A2312" s="34" t="n"/>
      <c r="B2312" s="30" t="n"/>
      <c r="C2312" s="30" t="n"/>
      <c r="D2312" s="30" t="n"/>
      <c r="E2312" s="33">
        <f>IF(B2312="","",IFERROR(INDEX(Productos!$B$2:$B$501,MATCH(B2312,Productos!$A$2:$A$501,0)),"¿Código?"))</f>
        <v/>
      </c>
      <c r="F2312" s="32">
        <f>IF(C2312&lt;&gt;"Venta","",D2312*IFERROR(INDEX(Productos!$D$2:$D$501,MATCH(B2312,Productos!$A$2:$A$501,0)),0))</f>
        <v/>
      </c>
      <c r="G2312" s="32">
        <f>IF(C2312&lt;&gt;"Venta","",D2312*IFERROR(INDEX(Productos!$E$2:$E$501,MATCH(B2312,Productos!$A$2:$A$501,0)),0))</f>
        <v/>
      </c>
      <c r="H2312" s="33">
        <f>IF(A2312="","",MONTH(A2312))</f>
        <v/>
      </c>
      <c r="I2312" s="33">
        <f>IF(A2312="","",YEAR(A2312))</f>
        <v/>
      </c>
    </row>
    <row r="2313" ht="15" customHeight="1" s="21">
      <c r="A2313" s="34" t="n"/>
      <c r="B2313" s="30" t="n"/>
      <c r="C2313" s="30" t="n"/>
      <c r="D2313" s="30" t="n"/>
      <c r="E2313" s="33">
        <f>IF(B2313="","",IFERROR(INDEX(Productos!$B$2:$B$501,MATCH(B2313,Productos!$A$2:$A$501,0)),"¿Código?"))</f>
        <v/>
      </c>
      <c r="F2313" s="32">
        <f>IF(C2313&lt;&gt;"Venta","",D2313*IFERROR(INDEX(Productos!$D$2:$D$501,MATCH(B2313,Productos!$A$2:$A$501,0)),0))</f>
        <v/>
      </c>
      <c r="G2313" s="32">
        <f>IF(C2313&lt;&gt;"Venta","",D2313*IFERROR(INDEX(Productos!$E$2:$E$501,MATCH(B2313,Productos!$A$2:$A$501,0)),0))</f>
        <v/>
      </c>
      <c r="H2313" s="33">
        <f>IF(A2313="","",MONTH(A2313))</f>
        <v/>
      </c>
      <c r="I2313" s="33">
        <f>IF(A2313="","",YEAR(A2313))</f>
        <v/>
      </c>
    </row>
    <row r="2314" ht="15" customHeight="1" s="21">
      <c r="A2314" s="34" t="n"/>
      <c r="B2314" s="30" t="n"/>
      <c r="C2314" s="30" t="n"/>
      <c r="D2314" s="30" t="n"/>
      <c r="E2314" s="33">
        <f>IF(B2314="","",IFERROR(INDEX(Productos!$B$2:$B$501,MATCH(B2314,Productos!$A$2:$A$501,0)),"¿Código?"))</f>
        <v/>
      </c>
      <c r="F2314" s="32">
        <f>IF(C2314&lt;&gt;"Venta","",D2314*IFERROR(INDEX(Productos!$D$2:$D$501,MATCH(B2314,Productos!$A$2:$A$501,0)),0))</f>
        <v/>
      </c>
      <c r="G2314" s="32">
        <f>IF(C2314&lt;&gt;"Venta","",D2314*IFERROR(INDEX(Productos!$E$2:$E$501,MATCH(B2314,Productos!$A$2:$A$501,0)),0))</f>
        <v/>
      </c>
      <c r="H2314" s="33">
        <f>IF(A2314="","",MONTH(A2314))</f>
        <v/>
      </c>
      <c r="I2314" s="33">
        <f>IF(A2314="","",YEAR(A2314))</f>
        <v/>
      </c>
    </row>
    <row r="2315" ht="15" customHeight="1" s="21">
      <c r="A2315" s="34" t="n"/>
      <c r="B2315" s="30" t="n"/>
      <c r="C2315" s="30" t="n"/>
      <c r="D2315" s="30" t="n"/>
      <c r="E2315" s="33">
        <f>IF(B2315="","",IFERROR(INDEX(Productos!$B$2:$B$501,MATCH(B2315,Productos!$A$2:$A$501,0)),"¿Código?"))</f>
        <v/>
      </c>
      <c r="F2315" s="32">
        <f>IF(C2315&lt;&gt;"Venta","",D2315*IFERROR(INDEX(Productos!$D$2:$D$501,MATCH(B2315,Productos!$A$2:$A$501,0)),0))</f>
        <v/>
      </c>
      <c r="G2315" s="32">
        <f>IF(C2315&lt;&gt;"Venta","",D2315*IFERROR(INDEX(Productos!$E$2:$E$501,MATCH(B2315,Productos!$A$2:$A$501,0)),0))</f>
        <v/>
      </c>
      <c r="H2315" s="33">
        <f>IF(A2315="","",MONTH(A2315))</f>
        <v/>
      </c>
      <c r="I2315" s="33">
        <f>IF(A2315="","",YEAR(A2315))</f>
        <v/>
      </c>
    </row>
    <row r="2316" ht="15" customHeight="1" s="21">
      <c r="A2316" s="34" t="n"/>
      <c r="B2316" s="30" t="n"/>
      <c r="C2316" s="30" t="n"/>
      <c r="D2316" s="30" t="n"/>
      <c r="E2316" s="33">
        <f>IF(B2316="","",IFERROR(INDEX(Productos!$B$2:$B$501,MATCH(B2316,Productos!$A$2:$A$501,0)),"¿Código?"))</f>
        <v/>
      </c>
      <c r="F2316" s="32">
        <f>IF(C2316&lt;&gt;"Venta","",D2316*IFERROR(INDEX(Productos!$D$2:$D$501,MATCH(B2316,Productos!$A$2:$A$501,0)),0))</f>
        <v/>
      </c>
      <c r="G2316" s="32">
        <f>IF(C2316&lt;&gt;"Venta","",D2316*IFERROR(INDEX(Productos!$E$2:$E$501,MATCH(B2316,Productos!$A$2:$A$501,0)),0))</f>
        <v/>
      </c>
      <c r="H2316" s="33">
        <f>IF(A2316="","",MONTH(A2316))</f>
        <v/>
      </c>
      <c r="I2316" s="33">
        <f>IF(A2316="","",YEAR(A2316))</f>
        <v/>
      </c>
    </row>
    <row r="2317" ht="15" customHeight="1" s="21">
      <c r="A2317" s="34" t="n"/>
      <c r="B2317" s="30" t="n"/>
      <c r="C2317" s="30" t="n"/>
      <c r="D2317" s="30" t="n"/>
      <c r="E2317" s="33">
        <f>IF(B2317="","",IFERROR(INDEX(Productos!$B$2:$B$501,MATCH(B2317,Productos!$A$2:$A$501,0)),"¿Código?"))</f>
        <v/>
      </c>
      <c r="F2317" s="32">
        <f>IF(C2317&lt;&gt;"Venta","",D2317*IFERROR(INDEX(Productos!$D$2:$D$501,MATCH(B2317,Productos!$A$2:$A$501,0)),0))</f>
        <v/>
      </c>
      <c r="G2317" s="32">
        <f>IF(C2317&lt;&gt;"Venta","",D2317*IFERROR(INDEX(Productos!$E$2:$E$501,MATCH(B2317,Productos!$A$2:$A$501,0)),0))</f>
        <v/>
      </c>
      <c r="H2317" s="33">
        <f>IF(A2317="","",MONTH(A2317))</f>
        <v/>
      </c>
      <c r="I2317" s="33">
        <f>IF(A2317="","",YEAR(A2317))</f>
        <v/>
      </c>
    </row>
    <row r="2318" ht="15" customHeight="1" s="21">
      <c r="A2318" s="34" t="n"/>
      <c r="B2318" s="30" t="n"/>
      <c r="C2318" s="30" t="n"/>
      <c r="D2318" s="30" t="n"/>
      <c r="E2318" s="33">
        <f>IF(B2318="","",IFERROR(INDEX(Productos!$B$2:$B$501,MATCH(B2318,Productos!$A$2:$A$501,0)),"¿Código?"))</f>
        <v/>
      </c>
      <c r="F2318" s="32">
        <f>IF(C2318&lt;&gt;"Venta","",D2318*IFERROR(INDEX(Productos!$D$2:$D$501,MATCH(B2318,Productos!$A$2:$A$501,0)),0))</f>
        <v/>
      </c>
      <c r="G2318" s="32">
        <f>IF(C2318&lt;&gt;"Venta","",D2318*IFERROR(INDEX(Productos!$E$2:$E$501,MATCH(B2318,Productos!$A$2:$A$501,0)),0))</f>
        <v/>
      </c>
      <c r="H2318" s="33">
        <f>IF(A2318="","",MONTH(A2318))</f>
        <v/>
      </c>
      <c r="I2318" s="33">
        <f>IF(A2318="","",YEAR(A2318))</f>
        <v/>
      </c>
    </row>
    <row r="2319" ht="15" customHeight="1" s="21">
      <c r="A2319" s="34" t="n"/>
      <c r="B2319" s="30" t="n"/>
      <c r="C2319" s="30" t="n"/>
      <c r="D2319" s="30" t="n"/>
      <c r="E2319" s="33">
        <f>IF(B2319="","",IFERROR(INDEX(Productos!$B$2:$B$501,MATCH(B2319,Productos!$A$2:$A$501,0)),"¿Código?"))</f>
        <v/>
      </c>
      <c r="F2319" s="32">
        <f>IF(C2319&lt;&gt;"Venta","",D2319*IFERROR(INDEX(Productos!$D$2:$D$501,MATCH(B2319,Productos!$A$2:$A$501,0)),0))</f>
        <v/>
      </c>
      <c r="G2319" s="32">
        <f>IF(C2319&lt;&gt;"Venta","",D2319*IFERROR(INDEX(Productos!$E$2:$E$501,MATCH(B2319,Productos!$A$2:$A$501,0)),0))</f>
        <v/>
      </c>
      <c r="H2319" s="33">
        <f>IF(A2319="","",MONTH(A2319))</f>
        <v/>
      </c>
      <c r="I2319" s="33">
        <f>IF(A2319="","",YEAR(A2319))</f>
        <v/>
      </c>
    </row>
    <row r="2320" ht="15" customHeight="1" s="21">
      <c r="A2320" s="34" t="n"/>
      <c r="B2320" s="30" t="n"/>
      <c r="C2320" s="30" t="n"/>
      <c r="D2320" s="30" t="n"/>
      <c r="E2320" s="33">
        <f>IF(B2320="","",IFERROR(INDEX(Productos!$B$2:$B$501,MATCH(B2320,Productos!$A$2:$A$501,0)),"¿Código?"))</f>
        <v/>
      </c>
      <c r="F2320" s="32">
        <f>IF(C2320&lt;&gt;"Venta","",D2320*IFERROR(INDEX(Productos!$D$2:$D$501,MATCH(B2320,Productos!$A$2:$A$501,0)),0))</f>
        <v/>
      </c>
      <c r="G2320" s="32">
        <f>IF(C2320&lt;&gt;"Venta","",D2320*IFERROR(INDEX(Productos!$E$2:$E$501,MATCH(B2320,Productos!$A$2:$A$501,0)),0))</f>
        <v/>
      </c>
      <c r="H2320" s="33">
        <f>IF(A2320="","",MONTH(A2320))</f>
        <v/>
      </c>
      <c r="I2320" s="33">
        <f>IF(A2320="","",YEAR(A2320))</f>
        <v/>
      </c>
    </row>
    <row r="2321" ht="15" customHeight="1" s="21">
      <c r="A2321" s="34" t="n"/>
      <c r="B2321" s="30" t="n"/>
      <c r="C2321" s="30" t="n"/>
      <c r="D2321" s="30" t="n"/>
      <c r="E2321" s="33">
        <f>IF(B2321="","",IFERROR(INDEX(Productos!$B$2:$B$501,MATCH(B2321,Productos!$A$2:$A$501,0)),"¿Código?"))</f>
        <v/>
      </c>
      <c r="F2321" s="32">
        <f>IF(C2321&lt;&gt;"Venta","",D2321*IFERROR(INDEX(Productos!$D$2:$D$501,MATCH(B2321,Productos!$A$2:$A$501,0)),0))</f>
        <v/>
      </c>
      <c r="G2321" s="32">
        <f>IF(C2321&lt;&gt;"Venta","",D2321*IFERROR(INDEX(Productos!$E$2:$E$501,MATCH(B2321,Productos!$A$2:$A$501,0)),0))</f>
        <v/>
      </c>
      <c r="H2321" s="33">
        <f>IF(A2321="","",MONTH(A2321))</f>
        <v/>
      </c>
      <c r="I2321" s="33">
        <f>IF(A2321="","",YEAR(A2321))</f>
        <v/>
      </c>
    </row>
    <row r="2322" ht="15" customHeight="1" s="21">
      <c r="A2322" s="34" t="n"/>
      <c r="B2322" s="30" t="n"/>
      <c r="C2322" s="30" t="n"/>
      <c r="D2322" s="30" t="n"/>
      <c r="E2322" s="33">
        <f>IF(B2322="","",IFERROR(INDEX(Productos!$B$2:$B$501,MATCH(B2322,Productos!$A$2:$A$501,0)),"¿Código?"))</f>
        <v/>
      </c>
      <c r="F2322" s="32">
        <f>IF(C2322&lt;&gt;"Venta","",D2322*IFERROR(INDEX(Productos!$D$2:$D$501,MATCH(B2322,Productos!$A$2:$A$501,0)),0))</f>
        <v/>
      </c>
      <c r="G2322" s="32">
        <f>IF(C2322&lt;&gt;"Venta","",D2322*IFERROR(INDEX(Productos!$E$2:$E$501,MATCH(B2322,Productos!$A$2:$A$501,0)),0))</f>
        <v/>
      </c>
      <c r="H2322" s="33">
        <f>IF(A2322="","",MONTH(A2322))</f>
        <v/>
      </c>
      <c r="I2322" s="33">
        <f>IF(A2322="","",YEAR(A2322))</f>
        <v/>
      </c>
    </row>
    <row r="2323" ht="15" customHeight="1" s="21">
      <c r="A2323" s="34" t="n"/>
      <c r="B2323" s="30" t="n"/>
      <c r="C2323" s="30" t="n"/>
      <c r="D2323" s="30" t="n"/>
      <c r="E2323" s="33">
        <f>IF(B2323="","",IFERROR(INDEX(Productos!$B$2:$B$501,MATCH(B2323,Productos!$A$2:$A$501,0)),"¿Código?"))</f>
        <v/>
      </c>
      <c r="F2323" s="32">
        <f>IF(C2323&lt;&gt;"Venta","",D2323*IFERROR(INDEX(Productos!$D$2:$D$501,MATCH(B2323,Productos!$A$2:$A$501,0)),0))</f>
        <v/>
      </c>
      <c r="G2323" s="32">
        <f>IF(C2323&lt;&gt;"Venta","",D2323*IFERROR(INDEX(Productos!$E$2:$E$501,MATCH(B2323,Productos!$A$2:$A$501,0)),0))</f>
        <v/>
      </c>
      <c r="H2323" s="33">
        <f>IF(A2323="","",MONTH(A2323))</f>
        <v/>
      </c>
      <c r="I2323" s="33">
        <f>IF(A2323="","",YEAR(A2323))</f>
        <v/>
      </c>
    </row>
    <row r="2324" ht="15" customHeight="1" s="21">
      <c r="A2324" s="34" t="n"/>
      <c r="B2324" s="30" t="n"/>
      <c r="C2324" s="30" t="n"/>
      <c r="D2324" s="30" t="n"/>
      <c r="E2324" s="33">
        <f>IF(B2324="","",IFERROR(INDEX(Productos!$B$2:$B$501,MATCH(B2324,Productos!$A$2:$A$501,0)),"¿Código?"))</f>
        <v/>
      </c>
      <c r="F2324" s="32">
        <f>IF(C2324&lt;&gt;"Venta","",D2324*IFERROR(INDEX(Productos!$D$2:$D$501,MATCH(B2324,Productos!$A$2:$A$501,0)),0))</f>
        <v/>
      </c>
      <c r="G2324" s="32">
        <f>IF(C2324&lt;&gt;"Venta","",D2324*IFERROR(INDEX(Productos!$E$2:$E$501,MATCH(B2324,Productos!$A$2:$A$501,0)),0))</f>
        <v/>
      </c>
      <c r="H2324" s="33">
        <f>IF(A2324="","",MONTH(A2324))</f>
        <v/>
      </c>
      <c r="I2324" s="33">
        <f>IF(A2324="","",YEAR(A2324))</f>
        <v/>
      </c>
    </row>
    <row r="2325" ht="15" customHeight="1" s="21">
      <c r="A2325" s="34" t="n"/>
      <c r="B2325" s="30" t="n"/>
      <c r="C2325" s="30" t="n"/>
      <c r="D2325" s="30" t="n"/>
      <c r="E2325" s="33">
        <f>IF(B2325="","",IFERROR(INDEX(Productos!$B$2:$B$501,MATCH(B2325,Productos!$A$2:$A$501,0)),"¿Código?"))</f>
        <v/>
      </c>
      <c r="F2325" s="32">
        <f>IF(C2325&lt;&gt;"Venta","",D2325*IFERROR(INDEX(Productos!$D$2:$D$501,MATCH(B2325,Productos!$A$2:$A$501,0)),0))</f>
        <v/>
      </c>
      <c r="G2325" s="32">
        <f>IF(C2325&lt;&gt;"Venta","",D2325*IFERROR(INDEX(Productos!$E$2:$E$501,MATCH(B2325,Productos!$A$2:$A$501,0)),0))</f>
        <v/>
      </c>
      <c r="H2325" s="33">
        <f>IF(A2325="","",MONTH(A2325))</f>
        <v/>
      </c>
      <c r="I2325" s="33">
        <f>IF(A2325="","",YEAR(A2325))</f>
        <v/>
      </c>
    </row>
    <row r="2326" ht="15" customHeight="1" s="21">
      <c r="A2326" s="34" t="n"/>
      <c r="B2326" s="30" t="n"/>
      <c r="C2326" s="30" t="n"/>
      <c r="D2326" s="30" t="n"/>
      <c r="E2326" s="33">
        <f>IF(B2326="","",IFERROR(INDEX(Productos!$B$2:$B$501,MATCH(B2326,Productos!$A$2:$A$501,0)),"¿Código?"))</f>
        <v/>
      </c>
      <c r="F2326" s="32">
        <f>IF(C2326&lt;&gt;"Venta","",D2326*IFERROR(INDEX(Productos!$D$2:$D$501,MATCH(B2326,Productos!$A$2:$A$501,0)),0))</f>
        <v/>
      </c>
      <c r="G2326" s="32">
        <f>IF(C2326&lt;&gt;"Venta","",D2326*IFERROR(INDEX(Productos!$E$2:$E$501,MATCH(B2326,Productos!$A$2:$A$501,0)),0))</f>
        <v/>
      </c>
      <c r="H2326" s="33">
        <f>IF(A2326="","",MONTH(A2326))</f>
        <v/>
      </c>
      <c r="I2326" s="33">
        <f>IF(A2326="","",YEAR(A2326))</f>
        <v/>
      </c>
    </row>
    <row r="2327" ht="15" customHeight="1" s="21">
      <c r="A2327" s="34" t="n"/>
      <c r="B2327" s="30" t="n"/>
      <c r="C2327" s="30" t="n"/>
      <c r="D2327" s="30" t="n"/>
      <c r="E2327" s="33">
        <f>IF(B2327="","",IFERROR(INDEX(Productos!$B$2:$B$501,MATCH(B2327,Productos!$A$2:$A$501,0)),"¿Código?"))</f>
        <v/>
      </c>
      <c r="F2327" s="32">
        <f>IF(C2327&lt;&gt;"Venta","",D2327*IFERROR(INDEX(Productos!$D$2:$D$501,MATCH(B2327,Productos!$A$2:$A$501,0)),0))</f>
        <v/>
      </c>
      <c r="G2327" s="32">
        <f>IF(C2327&lt;&gt;"Venta","",D2327*IFERROR(INDEX(Productos!$E$2:$E$501,MATCH(B2327,Productos!$A$2:$A$501,0)),0))</f>
        <v/>
      </c>
      <c r="H2327" s="33">
        <f>IF(A2327="","",MONTH(A2327))</f>
        <v/>
      </c>
      <c r="I2327" s="33">
        <f>IF(A2327="","",YEAR(A2327))</f>
        <v/>
      </c>
    </row>
    <row r="2328" ht="15" customHeight="1" s="21">
      <c r="A2328" s="34" t="n"/>
      <c r="B2328" s="30" t="n"/>
      <c r="C2328" s="30" t="n"/>
      <c r="D2328" s="30" t="n"/>
      <c r="E2328" s="33">
        <f>IF(B2328="","",IFERROR(INDEX(Productos!$B$2:$B$501,MATCH(B2328,Productos!$A$2:$A$501,0)),"¿Código?"))</f>
        <v/>
      </c>
      <c r="F2328" s="32">
        <f>IF(C2328&lt;&gt;"Venta","",D2328*IFERROR(INDEX(Productos!$D$2:$D$501,MATCH(B2328,Productos!$A$2:$A$501,0)),0))</f>
        <v/>
      </c>
      <c r="G2328" s="32">
        <f>IF(C2328&lt;&gt;"Venta","",D2328*IFERROR(INDEX(Productos!$E$2:$E$501,MATCH(B2328,Productos!$A$2:$A$501,0)),0))</f>
        <v/>
      </c>
      <c r="H2328" s="33">
        <f>IF(A2328="","",MONTH(A2328))</f>
        <v/>
      </c>
      <c r="I2328" s="33">
        <f>IF(A2328="","",YEAR(A2328))</f>
        <v/>
      </c>
    </row>
    <row r="2329" ht="15" customHeight="1" s="21">
      <c r="A2329" s="34" t="n"/>
      <c r="B2329" s="30" t="n"/>
      <c r="C2329" s="30" t="n"/>
      <c r="D2329" s="30" t="n"/>
      <c r="E2329" s="33">
        <f>IF(B2329="","",IFERROR(INDEX(Productos!$B$2:$B$501,MATCH(B2329,Productos!$A$2:$A$501,0)),"¿Código?"))</f>
        <v/>
      </c>
      <c r="F2329" s="32">
        <f>IF(C2329&lt;&gt;"Venta","",D2329*IFERROR(INDEX(Productos!$D$2:$D$501,MATCH(B2329,Productos!$A$2:$A$501,0)),0))</f>
        <v/>
      </c>
      <c r="G2329" s="32">
        <f>IF(C2329&lt;&gt;"Venta","",D2329*IFERROR(INDEX(Productos!$E$2:$E$501,MATCH(B2329,Productos!$A$2:$A$501,0)),0))</f>
        <v/>
      </c>
      <c r="H2329" s="33">
        <f>IF(A2329="","",MONTH(A2329))</f>
        <v/>
      </c>
      <c r="I2329" s="33">
        <f>IF(A2329="","",YEAR(A2329))</f>
        <v/>
      </c>
    </row>
    <row r="2330" ht="15" customHeight="1" s="21">
      <c r="A2330" s="34" t="n"/>
      <c r="B2330" s="30" t="n"/>
      <c r="C2330" s="30" t="n"/>
      <c r="D2330" s="30" t="n"/>
      <c r="E2330" s="33">
        <f>IF(B2330="","",IFERROR(INDEX(Productos!$B$2:$B$501,MATCH(B2330,Productos!$A$2:$A$501,0)),"¿Código?"))</f>
        <v/>
      </c>
      <c r="F2330" s="32">
        <f>IF(C2330&lt;&gt;"Venta","",D2330*IFERROR(INDEX(Productos!$D$2:$D$501,MATCH(B2330,Productos!$A$2:$A$501,0)),0))</f>
        <v/>
      </c>
      <c r="G2330" s="32">
        <f>IF(C2330&lt;&gt;"Venta","",D2330*IFERROR(INDEX(Productos!$E$2:$E$501,MATCH(B2330,Productos!$A$2:$A$501,0)),0))</f>
        <v/>
      </c>
      <c r="H2330" s="33">
        <f>IF(A2330="","",MONTH(A2330))</f>
        <v/>
      </c>
      <c r="I2330" s="33">
        <f>IF(A2330="","",YEAR(A2330))</f>
        <v/>
      </c>
    </row>
    <row r="2331" ht="15" customHeight="1" s="21">
      <c r="A2331" s="34" t="n"/>
      <c r="B2331" s="30" t="n"/>
      <c r="C2331" s="30" t="n"/>
      <c r="D2331" s="30" t="n"/>
      <c r="E2331" s="33">
        <f>IF(B2331="","",IFERROR(INDEX(Productos!$B$2:$B$501,MATCH(B2331,Productos!$A$2:$A$501,0)),"¿Código?"))</f>
        <v/>
      </c>
      <c r="F2331" s="32">
        <f>IF(C2331&lt;&gt;"Venta","",D2331*IFERROR(INDEX(Productos!$D$2:$D$501,MATCH(B2331,Productos!$A$2:$A$501,0)),0))</f>
        <v/>
      </c>
      <c r="G2331" s="32">
        <f>IF(C2331&lt;&gt;"Venta","",D2331*IFERROR(INDEX(Productos!$E$2:$E$501,MATCH(B2331,Productos!$A$2:$A$501,0)),0))</f>
        <v/>
      </c>
      <c r="H2331" s="33">
        <f>IF(A2331="","",MONTH(A2331))</f>
        <v/>
      </c>
      <c r="I2331" s="33">
        <f>IF(A2331="","",YEAR(A2331))</f>
        <v/>
      </c>
    </row>
    <row r="2332" ht="15" customHeight="1" s="21">
      <c r="A2332" s="34" t="n"/>
      <c r="B2332" s="30" t="n"/>
      <c r="C2332" s="30" t="n"/>
      <c r="D2332" s="30" t="n"/>
      <c r="E2332" s="33">
        <f>IF(B2332="","",IFERROR(INDEX(Productos!$B$2:$B$501,MATCH(B2332,Productos!$A$2:$A$501,0)),"¿Código?"))</f>
        <v/>
      </c>
      <c r="F2332" s="32">
        <f>IF(C2332&lt;&gt;"Venta","",D2332*IFERROR(INDEX(Productos!$D$2:$D$501,MATCH(B2332,Productos!$A$2:$A$501,0)),0))</f>
        <v/>
      </c>
      <c r="G2332" s="32">
        <f>IF(C2332&lt;&gt;"Venta","",D2332*IFERROR(INDEX(Productos!$E$2:$E$501,MATCH(B2332,Productos!$A$2:$A$501,0)),0))</f>
        <v/>
      </c>
      <c r="H2332" s="33">
        <f>IF(A2332="","",MONTH(A2332))</f>
        <v/>
      </c>
      <c r="I2332" s="33">
        <f>IF(A2332="","",YEAR(A2332))</f>
        <v/>
      </c>
    </row>
    <row r="2333" ht="15" customHeight="1" s="21">
      <c r="A2333" s="34" t="n"/>
      <c r="B2333" s="30" t="n"/>
      <c r="C2333" s="30" t="n"/>
      <c r="D2333" s="30" t="n"/>
      <c r="E2333" s="33">
        <f>IF(B2333="","",IFERROR(INDEX(Productos!$B$2:$B$501,MATCH(B2333,Productos!$A$2:$A$501,0)),"¿Código?"))</f>
        <v/>
      </c>
      <c r="F2333" s="32">
        <f>IF(C2333&lt;&gt;"Venta","",D2333*IFERROR(INDEX(Productos!$D$2:$D$501,MATCH(B2333,Productos!$A$2:$A$501,0)),0))</f>
        <v/>
      </c>
      <c r="G2333" s="32">
        <f>IF(C2333&lt;&gt;"Venta","",D2333*IFERROR(INDEX(Productos!$E$2:$E$501,MATCH(B2333,Productos!$A$2:$A$501,0)),0))</f>
        <v/>
      </c>
      <c r="H2333" s="33">
        <f>IF(A2333="","",MONTH(A2333))</f>
        <v/>
      </c>
      <c r="I2333" s="33">
        <f>IF(A2333="","",YEAR(A2333))</f>
        <v/>
      </c>
    </row>
    <row r="2334" ht="15" customHeight="1" s="21">
      <c r="A2334" s="34" t="n"/>
      <c r="B2334" s="30" t="n"/>
      <c r="C2334" s="30" t="n"/>
      <c r="D2334" s="30" t="n"/>
      <c r="E2334" s="33">
        <f>IF(B2334="","",IFERROR(INDEX(Productos!$B$2:$B$501,MATCH(B2334,Productos!$A$2:$A$501,0)),"¿Código?"))</f>
        <v/>
      </c>
      <c r="F2334" s="32">
        <f>IF(C2334&lt;&gt;"Venta","",D2334*IFERROR(INDEX(Productos!$D$2:$D$501,MATCH(B2334,Productos!$A$2:$A$501,0)),0))</f>
        <v/>
      </c>
      <c r="G2334" s="32">
        <f>IF(C2334&lt;&gt;"Venta","",D2334*IFERROR(INDEX(Productos!$E$2:$E$501,MATCH(B2334,Productos!$A$2:$A$501,0)),0))</f>
        <v/>
      </c>
      <c r="H2334" s="33">
        <f>IF(A2334="","",MONTH(A2334))</f>
        <v/>
      </c>
      <c r="I2334" s="33">
        <f>IF(A2334="","",YEAR(A2334))</f>
        <v/>
      </c>
    </row>
    <row r="2335" ht="15" customHeight="1" s="21">
      <c r="A2335" s="34" t="n"/>
      <c r="B2335" s="30" t="n"/>
      <c r="C2335" s="30" t="n"/>
      <c r="D2335" s="30" t="n"/>
      <c r="E2335" s="33">
        <f>IF(B2335="","",IFERROR(INDEX(Productos!$B$2:$B$501,MATCH(B2335,Productos!$A$2:$A$501,0)),"¿Código?"))</f>
        <v/>
      </c>
      <c r="F2335" s="32">
        <f>IF(C2335&lt;&gt;"Venta","",D2335*IFERROR(INDEX(Productos!$D$2:$D$501,MATCH(B2335,Productos!$A$2:$A$501,0)),0))</f>
        <v/>
      </c>
      <c r="G2335" s="32">
        <f>IF(C2335&lt;&gt;"Venta","",D2335*IFERROR(INDEX(Productos!$E$2:$E$501,MATCH(B2335,Productos!$A$2:$A$501,0)),0))</f>
        <v/>
      </c>
      <c r="H2335" s="33">
        <f>IF(A2335="","",MONTH(A2335))</f>
        <v/>
      </c>
      <c r="I2335" s="33">
        <f>IF(A2335="","",YEAR(A2335))</f>
        <v/>
      </c>
    </row>
    <row r="2336" ht="15" customHeight="1" s="21">
      <c r="A2336" s="34" t="n"/>
      <c r="B2336" s="30" t="n"/>
      <c r="C2336" s="30" t="n"/>
      <c r="D2336" s="30" t="n"/>
      <c r="E2336" s="33">
        <f>IF(B2336="","",IFERROR(INDEX(Productos!$B$2:$B$501,MATCH(B2336,Productos!$A$2:$A$501,0)),"¿Código?"))</f>
        <v/>
      </c>
      <c r="F2336" s="32">
        <f>IF(C2336&lt;&gt;"Venta","",D2336*IFERROR(INDEX(Productos!$D$2:$D$501,MATCH(B2336,Productos!$A$2:$A$501,0)),0))</f>
        <v/>
      </c>
      <c r="G2336" s="32">
        <f>IF(C2336&lt;&gt;"Venta","",D2336*IFERROR(INDEX(Productos!$E$2:$E$501,MATCH(B2336,Productos!$A$2:$A$501,0)),0))</f>
        <v/>
      </c>
      <c r="H2336" s="33">
        <f>IF(A2336="","",MONTH(A2336))</f>
        <v/>
      </c>
      <c r="I2336" s="33">
        <f>IF(A2336="","",YEAR(A2336))</f>
        <v/>
      </c>
    </row>
    <row r="2337" ht="15" customHeight="1" s="21">
      <c r="A2337" s="34" t="n"/>
      <c r="B2337" s="30" t="n"/>
      <c r="C2337" s="30" t="n"/>
      <c r="D2337" s="30" t="n"/>
      <c r="E2337" s="33">
        <f>IF(B2337="","",IFERROR(INDEX(Productos!$B$2:$B$501,MATCH(B2337,Productos!$A$2:$A$501,0)),"¿Código?"))</f>
        <v/>
      </c>
      <c r="F2337" s="32">
        <f>IF(C2337&lt;&gt;"Venta","",D2337*IFERROR(INDEX(Productos!$D$2:$D$501,MATCH(B2337,Productos!$A$2:$A$501,0)),0))</f>
        <v/>
      </c>
      <c r="G2337" s="32">
        <f>IF(C2337&lt;&gt;"Venta","",D2337*IFERROR(INDEX(Productos!$E$2:$E$501,MATCH(B2337,Productos!$A$2:$A$501,0)),0))</f>
        <v/>
      </c>
      <c r="H2337" s="33">
        <f>IF(A2337="","",MONTH(A2337))</f>
        <v/>
      </c>
      <c r="I2337" s="33">
        <f>IF(A2337="","",YEAR(A2337))</f>
        <v/>
      </c>
    </row>
    <row r="2338" ht="15" customHeight="1" s="21">
      <c r="A2338" s="34" t="n"/>
      <c r="B2338" s="30" t="n"/>
      <c r="C2338" s="30" t="n"/>
      <c r="D2338" s="30" t="n"/>
      <c r="E2338" s="33">
        <f>IF(B2338="","",IFERROR(INDEX(Productos!$B$2:$B$501,MATCH(B2338,Productos!$A$2:$A$501,0)),"¿Código?"))</f>
        <v/>
      </c>
      <c r="F2338" s="32">
        <f>IF(C2338&lt;&gt;"Venta","",D2338*IFERROR(INDEX(Productos!$D$2:$D$501,MATCH(B2338,Productos!$A$2:$A$501,0)),0))</f>
        <v/>
      </c>
      <c r="G2338" s="32">
        <f>IF(C2338&lt;&gt;"Venta","",D2338*IFERROR(INDEX(Productos!$E$2:$E$501,MATCH(B2338,Productos!$A$2:$A$501,0)),0))</f>
        <v/>
      </c>
      <c r="H2338" s="33">
        <f>IF(A2338="","",MONTH(A2338))</f>
        <v/>
      </c>
      <c r="I2338" s="33">
        <f>IF(A2338="","",YEAR(A2338))</f>
        <v/>
      </c>
    </row>
    <row r="2339" ht="15" customHeight="1" s="21">
      <c r="A2339" s="34" t="n"/>
      <c r="B2339" s="30" t="n"/>
      <c r="C2339" s="30" t="n"/>
      <c r="D2339" s="30" t="n"/>
      <c r="E2339" s="33">
        <f>IF(B2339="","",IFERROR(INDEX(Productos!$B$2:$B$501,MATCH(B2339,Productos!$A$2:$A$501,0)),"¿Código?"))</f>
        <v/>
      </c>
      <c r="F2339" s="32">
        <f>IF(C2339&lt;&gt;"Venta","",D2339*IFERROR(INDEX(Productos!$D$2:$D$501,MATCH(B2339,Productos!$A$2:$A$501,0)),0))</f>
        <v/>
      </c>
      <c r="G2339" s="32">
        <f>IF(C2339&lt;&gt;"Venta","",D2339*IFERROR(INDEX(Productos!$E$2:$E$501,MATCH(B2339,Productos!$A$2:$A$501,0)),0))</f>
        <v/>
      </c>
      <c r="H2339" s="33">
        <f>IF(A2339="","",MONTH(A2339))</f>
        <v/>
      </c>
      <c r="I2339" s="33">
        <f>IF(A2339="","",YEAR(A2339))</f>
        <v/>
      </c>
    </row>
    <row r="2340" ht="15" customHeight="1" s="21">
      <c r="A2340" s="34" t="n"/>
      <c r="B2340" s="30" t="n"/>
      <c r="C2340" s="30" t="n"/>
      <c r="D2340" s="30" t="n"/>
      <c r="E2340" s="33">
        <f>IF(B2340="","",IFERROR(INDEX(Productos!$B$2:$B$501,MATCH(B2340,Productos!$A$2:$A$501,0)),"¿Código?"))</f>
        <v/>
      </c>
      <c r="F2340" s="32">
        <f>IF(C2340&lt;&gt;"Venta","",D2340*IFERROR(INDEX(Productos!$D$2:$D$501,MATCH(B2340,Productos!$A$2:$A$501,0)),0))</f>
        <v/>
      </c>
      <c r="G2340" s="32">
        <f>IF(C2340&lt;&gt;"Venta","",D2340*IFERROR(INDEX(Productos!$E$2:$E$501,MATCH(B2340,Productos!$A$2:$A$501,0)),0))</f>
        <v/>
      </c>
      <c r="H2340" s="33">
        <f>IF(A2340="","",MONTH(A2340))</f>
        <v/>
      </c>
      <c r="I2340" s="33">
        <f>IF(A2340="","",YEAR(A2340))</f>
        <v/>
      </c>
    </row>
    <row r="2341" ht="15" customHeight="1" s="21">
      <c r="A2341" s="34" t="n"/>
      <c r="B2341" s="30" t="n"/>
      <c r="C2341" s="30" t="n"/>
      <c r="D2341" s="30" t="n"/>
      <c r="E2341" s="33">
        <f>IF(B2341="","",IFERROR(INDEX(Productos!$B$2:$B$501,MATCH(B2341,Productos!$A$2:$A$501,0)),"¿Código?"))</f>
        <v/>
      </c>
      <c r="F2341" s="32">
        <f>IF(C2341&lt;&gt;"Venta","",D2341*IFERROR(INDEX(Productos!$D$2:$D$501,MATCH(B2341,Productos!$A$2:$A$501,0)),0))</f>
        <v/>
      </c>
      <c r="G2341" s="32">
        <f>IF(C2341&lt;&gt;"Venta","",D2341*IFERROR(INDEX(Productos!$E$2:$E$501,MATCH(B2341,Productos!$A$2:$A$501,0)),0))</f>
        <v/>
      </c>
      <c r="H2341" s="33">
        <f>IF(A2341="","",MONTH(A2341))</f>
        <v/>
      </c>
      <c r="I2341" s="33">
        <f>IF(A2341="","",YEAR(A2341))</f>
        <v/>
      </c>
    </row>
    <row r="2342" ht="15" customHeight="1" s="21">
      <c r="A2342" s="34" t="n"/>
      <c r="B2342" s="30" t="n"/>
      <c r="C2342" s="30" t="n"/>
      <c r="D2342" s="30" t="n"/>
      <c r="E2342" s="33">
        <f>IF(B2342="","",IFERROR(INDEX(Productos!$B$2:$B$501,MATCH(B2342,Productos!$A$2:$A$501,0)),"¿Código?"))</f>
        <v/>
      </c>
      <c r="F2342" s="32">
        <f>IF(C2342&lt;&gt;"Venta","",D2342*IFERROR(INDEX(Productos!$D$2:$D$501,MATCH(B2342,Productos!$A$2:$A$501,0)),0))</f>
        <v/>
      </c>
      <c r="G2342" s="32">
        <f>IF(C2342&lt;&gt;"Venta","",D2342*IFERROR(INDEX(Productos!$E$2:$E$501,MATCH(B2342,Productos!$A$2:$A$501,0)),0))</f>
        <v/>
      </c>
      <c r="H2342" s="33">
        <f>IF(A2342="","",MONTH(A2342))</f>
        <v/>
      </c>
      <c r="I2342" s="33">
        <f>IF(A2342="","",YEAR(A2342))</f>
        <v/>
      </c>
    </row>
    <row r="2343" ht="15" customHeight="1" s="21">
      <c r="A2343" s="34" t="n"/>
      <c r="B2343" s="30" t="n"/>
      <c r="C2343" s="30" t="n"/>
      <c r="D2343" s="30" t="n"/>
      <c r="E2343" s="33">
        <f>IF(B2343="","",IFERROR(INDEX(Productos!$B$2:$B$501,MATCH(B2343,Productos!$A$2:$A$501,0)),"¿Código?"))</f>
        <v/>
      </c>
      <c r="F2343" s="32">
        <f>IF(C2343&lt;&gt;"Venta","",D2343*IFERROR(INDEX(Productos!$D$2:$D$501,MATCH(B2343,Productos!$A$2:$A$501,0)),0))</f>
        <v/>
      </c>
      <c r="G2343" s="32">
        <f>IF(C2343&lt;&gt;"Venta","",D2343*IFERROR(INDEX(Productos!$E$2:$E$501,MATCH(B2343,Productos!$A$2:$A$501,0)),0))</f>
        <v/>
      </c>
      <c r="H2343" s="33">
        <f>IF(A2343="","",MONTH(A2343))</f>
        <v/>
      </c>
      <c r="I2343" s="33">
        <f>IF(A2343="","",YEAR(A2343))</f>
        <v/>
      </c>
    </row>
    <row r="2344" ht="15" customHeight="1" s="21">
      <c r="A2344" s="34" t="n"/>
      <c r="B2344" s="30" t="n"/>
      <c r="C2344" s="30" t="n"/>
      <c r="D2344" s="30" t="n"/>
      <c r="E2344" s="33">
        <f>IF(B2344="","",IFERROR(INDEX(Productos!$B$2:$B$501,MATCH(B2344,Productos!$A$2:$A$501,0)),"¿Código?"))</f>
        <v/>
      </c>
      <c r="F2344" s="32">
        <f>IF(C2344&lt;&gt;"Venta","",D2344*IFERROR(INDEX(Productos!$D$2:$D$501,MATCH(B2344,Productos!$A$2:$A$501,0)),0))</f>
        <v/>
      </c>
      <c r="G2344" s="32">
        <f>IF(C2344&lt;&gt;"Venta","",D2344*IFERROR(INDEX(Productos!$E$2:$E$501,MATCH(B2344,Productos!$A$2:$A$501,0)),0))</f>
        <v/>
      </c>
      <c r="H2344" s="33">
        <f>IF(A2344="","",MONTH(A2344))</f>
        <v/>
      </c>
      <c r="I2344" s="33">
        <f>IF(A2344="","",YEAR(A2344))</f>
        <v/>
      </c>
    </row>
    <row r="2345" ht="15" customHeight="1" s="21">
      <c r="A2345" s="34" t="n"/>
      <c r="B2345" s="30" t="n"/>
      <c r="C2345" s="30" t="n"/>
      <c r="D2345" s="30" t="n"/>
      <c r="E2345" s="33">
        <f>IF(B2345="","",IFERROR(INDEX(Productos!$B$2:$B$501,MATCH(B2345,Productos!$A$2:$A$501,0)),"¿Código?"))</f>
        <v/>
      </c>
      <c r="F2345" s="32">
        <f>IF(C2345&lt;&gt;"Venta","",D2345*IFERROR(INDEX(Productos!$D$2:$D$501,MATCH(B2345,Productos!$A$2:$A$501,0)),0))</f>
        <v/>
      </c>
      <c r="G2345" s="32">
        <f>IF(C2345&lt;&gt;"Venta","",D2345*IFERROR(INDEX(Productos!$E$2:$E$501,MATCH(B2345,Productos!$A$2:$A$501,0)),0))</f>
        <v/>
      </c>
      <c r="H2345" s="33">
        <f>IF(A2345="","",MONTH(A2345))</f>
        <v/>
      </c>
      <c r="I2345" s="33">
        <f>IF(A2345="","",YEAR(A2345))</f>
        <v/>
      </c>
    </row>
    <row r="2346" ht="15" customHeight="1" s="21">
      <c r="A2346" s="34" t="n"/>
      <c r="B2346" s="30" t="n"/>
      <c r="C2346" s="30" t="n"/>
      <c r="D2346" s="30" t="n"/>
      <c r="E2346" s="33">
        <f>IF(B2346="","",IFERROR(INDEX(Productos!$B$2:$B$501,MATCH(B2346,Productos!$A$2:$A$501,0)),"¿Código?"))</f>
        <v/>
      </c>
      <c r="F2346" s="32">
        <f>IF(C2346&lt;&gt;"Venta","",D2346*IFERROR(INDEX(Productos!$D$2:$D$501,MATCH(B2346,Productos!$A$2:$A$501,0)),0))</f>
        <v/>
      </c>
      <c r="G2346" s="32">
        <f>IF(C2346&lt;&gt;"Venta","",D2346*IFERROR(INDEX(Productos!$E$2:$E$501,MATCH(B2346,Productos!$A$2:$A$501,0)),0))</f>
        <v/>
      </c>
      <c r="H2346" s="33">
        <f>IF(A2346="","",MONTH(A2346))</f>
        <v/>
      </c>
      <c r="I2346" s="33">
        <f>IF(A2346="","",YEAR(A2346))</f>
        <v/>
      </c>
    </row>
    <row r="2347" ht="15" customHeight="1" s="21">
      <c r="A2347" s="34" t="n"/>
      <c r="B2347" s="30" t="n"/>
      <c r="C2347" s="30" t="n"/>
      <c r="D2347" s="30" t="n"/>
      <c r="E2347" s="33">
        <f>IF(B2347="","",IFERROR(INDEX(Productos!$B$2:$B$501,MATCH(B2347,Productos!$A$2:$A$501,0)),"¿Código?"))</f>
        <v/>
      </c>
      <c r="F2347" s="32">
        <f>IF(C2347&lt;&gt;"Venta","",D2347*IFERROR(INDEX(Productos!$D$2:$D$501,MATCH(B2347,Productos!$A$2:$A$501,0)),0))</f>
        <v/>
      </c>
      <c r="G2347" s="32">
        <f>IF(C2347&lt;&gt;"Venta","",D2347*IFERROR(INDEX(Productos!$E$2:$E$501,MATCH(B2347,Productos!$A$2:$A$501,0)),0))</f>
        <v/>
      </c>
      <c r="H2347" s="33">
        <f>IF(A2347="","",MONTH(A2347))</f>
        <v/>
      </c>
      <c r="I2347" s="33">
        <f>IF(A2347="","",YEAR(A2347))</f>
        <v/>
      </c>
    </row>
    <row r="2348" ht="15" customHeight="1" s="21">
      <c r="A2348" s="34" t="n"/>
      <c r="B2348" s="30" t="n"/>
      <c r="C2348" s="30" t="n"/>
      <c r="D2348" s="30" t="n"/>
      <c r="E2348" s="33">
        <f>IF(B2348="","",IFERROR(INDEX(Productos!$B$2:$B$501,MATCH(B2348,Productos!$A$2:$A$501,0)),"¿Código?"))</f>
        <v/>
      </c>
      <c r="F2348" s="32">
        <f>IF(C2348&lt;&gt;"Venta","",D2348*IFERROR(INDEX(Productos!$D$2:$D$501,MATCH(B2348,Productos!$A$2:$A$501,0)),0))</f>
        <v/>
      </c>
      <c r="G2348" s="32">
        <f>IF(C2348&lt;&gt;"Venta","",D2348*IFERROR(INDEX(Productos!$E$2:$E$501,MATCH(B2348,Productos!$A$2:$A$501,0)),0))</f>
        <v/>
      </c>
      <c r="H2348" s="33">
        <f>IF(A2348="","",MONTH(A2348))</f>
        <v/>
      </c>
      <c r="I2348" s="33">
        <f>IF(A2348="","",YEAR(A2348))</f>
        <v/>
      </c>
    </row>
    <row r="2349" ht="15" customHeight="1" s="21">
      <c r="A2349" s="34" t="n"/>
      <c r="B2349" s="30" t="n"/>
      <c r="C2349" s="30" t="n"/>
      <c r="D2349" s="30" t="n"/>
      <c r="E2349" s="33">
        <f>IF(B2349="","",IFERROR(INDEX(Productos!$B$2:$B$501,MATCH(B2349,Productos!$A$2:$A$501,0)),"¿Código?"))</f>
        <v/>
      </c>
      <c r="F2349" s="32">
        <f>IF(C2349&lt;&gt;"Venta","",D2349*IFERROR(INDEX(Productos!$D$2:$D$501,MATCH(B2349,Productos!$A$2:$A$501,0)),0))</f>
        <v/>
      </c>
      <c r="G2349" s="32">
        <f>IF(C2349&lt;&gt;"Venta","",D2349*IFERROR(INDEX(Productos!$E$2:$E$501,MATCH(B2349,Productos!$A$2:$A$501,0)),0))</f>
        <v/>
      </c>
      <c r="H2349" s="33">
        <f>IF(A2349="","",MONTH(A2349))</f>
        <v/>
      </c>
      <c r="I2349" s="33">
        <f>IF(A2349="","",YEAR(A2349))</f>
        <v/>
      </c>
    </row>
    <row r="2350" ht="15" customHeight="1" s="21">
      <c r="A2350" s="34" t="n"/>
      <c r="B2350" s="30" t="n"/>
      <c r="C2350" s="30" t="n"/>
      <c r="D2350" s="30" t="n"/>
      <c r="E2350" s="33">
        <f>IF(B2350="","",IFERROR(INDEX(Productos!$B$2:$B$501,MATCH(B2350,Productos!$A$2:$A$501,0)),"¿Código?"))</f>
        <v/>
      </c>
      <c r="F2350" s="32">
        <f>IF(C2350&lt;&gt;"Venta","",D2350*IFERROR(INDEX(Productos!$D$2:$D$501,MATCH(B2350,Productos!$A$2:$A$501,0)),0))</f>
        <v/>
      </c>
      <c r="G2350" s="32">
        <f>IF(C2350&lt;&gt;"Venta","",D2350*IFERROR(INDEX(Productos!$E$2:$E$501,MATCH(B2350,Productos!$A$2:$A$501,0)),0))</f>
        <v/>
      </c>
      <c r="H2350" s="33">
        <f>IF(A2350="","",MONTH(A2350))</f>
        <v/>
      </c>
      <c r="I2350" s="33">
        <f>IF(A2350="","",YEAR(A2350))</f>
        <v/>
      </c>
    </row>
    <row r="2351" ht="15" customHeight="1" s="21">
      <c r="A2351" s="34" t="n"/>
      <c r="B2351" s="30" t="n"/>
      <c r="C2351" s="30" t="n"/>
      <c r="D2351" s="30" t="n"/>
      <c r="E2351" s="33">
        <f>IF(B2351="","",IFERROR(INDEX(Productos!$B$2:$B$501,MATCH(B2351,Productos!$A$2:$A$501,0)),"¿Código?"))</f>
        <v/>
      </c>
      <c r="F2351" s="32">
        <f>IF(C2351&lt;&gt;"Venta","",D2351*IFERROR(INDEX(Productos!$D$2:$D$501,MATCH(B2351,Productos!$A$2:$A$501,0)),0))</f>
        <v/>
      </c>
      <c r="G2351" s="32">
        <f>IF(C2351&lt;&gt;"Venta","",D2351*IFERROR(INDEX(Productos!$E$2:$E$501,MATCH(B2351,Productos!$A$2:$A$501,0)),0))</f>
        <v/>
      </c>
      <c r="H2351" s="33">
        <f>IF(A2351="","",MONTH(A2351))</f>
        <v/>
      </c>
      <c r="I2351" s="33">
        <f>IF(A2351="","",YEAR(A2351))</f>
        <v/>
      </c>
    </row>
    <row r="2352" ht="15" customHeight="1" s="21">
      <c r="A2352" s="34" t="n"/>
      <c r="B2352" s="30" t="n"/>
      <c r="C2352" s="30" t="n"/>
      <c r="D2352" s="30" t="n"/>
      <c r="E2352" s="33">
        <f>IF(B2352="","",IFERROR(INDEX(Productos!$B$2:$B$501,MATCH(B2352,Productos!$A$2:$A$501,0)),"¿Código?"))</f>
        <v/>
      </c>
      <c r="F2352" s="32">
        <f>IF(C2352&lt;&gt;"Venta","",D2352*IFERROR(INDEX(Productos!$D$2:$D$501,MATCH(B2352,Productos!$A$2:$A$501,0)),0))</f>
        <v/>
      </c>
      <c r="G2352" s="32">
        <f>IF(C2352&lt;&gt;"Venta","",D2352*IFERROR(INDEX(Productos!$E$2:$E$501,MATCH(B2352,Productos!$A$2:$A$501,0)),0))</f>
        <v/>
      </c>
      <c r="H2352" s="33">
        <f>IF(A2352="","",MONTH(A2352))</f>
        <v/>
      </c>
      <c r="I2352" s="33">
        <f>IF(A2352="","",YEAR(A2352))</f>
        <v/>
      </c>
    </row>
    <row r="2353" ht="15" customHeight="1" s="21">
      <c r="A2353" s="34" t="n"/>
      <c r="B2353" s="30" t="n"/>
      <c r="C2353" s="30" t="n"/>
      <c r="D2353" s="30" t="n"/>
      <c r="E2353" s="33">
        <f>IF(B2353="","",IFERROR(INDEX(Productos!$B$2:$B$501,MATCH(B2353,Productos!$A$2:$A$501,0)),"¿Código?"))</f>
        <v/>
      </c>
      <c r="F2353" s="32">
        <f>IF(C2353&lt;&gt;"Venta","",D2353*IFERROR(INDEX(Productos!$D$2:$D$501,MATCH(B2353,Productos!$A$2:$A$501,0)),0))</f>
        <v/>
      </c>
      <c r="G2353" s="32">
        <f>IF(C2353&lt;&gt;"Venta","",D2353*IFERROR(INDEX(Productos!$E$2:$E$501,MATCH(B2353,Productos!$A$2:$A$501,0)),0))</f>
        <v/>
      </c>
      <c r="H2353" s="33">
        <f>IF(A2353="","",MONTH(A2353))</f>
        <v/>
      </c>
      <c r="I2353" s="33">
        <f>IF(A2353="","",YEAR(A2353))</f>
        <v/>
      </c>
    </row>
    <row r="2354" ht="15" customHeight="1" s="21">
      <c r="A2354" s="34" t="n"/>
      <c r="B2354" s="30" t="n"/>
      <c r="C2354" s="30" t="n"/>
      <c r="D2354" s="30" t="n"/>
      <c r="E2354" s="33">
        <f>IF(B2354="","",IFERROR(INDEX(Productos!$B$2:$B$501,MATCH(B2354,Productos!$A$2:$A$501,0)),"¿Código?"))</f>
        <v/>
      </c>
      <c r="F2354" s="32">
        <f>IF(C2354&lt;&gt;"Venta","",D2354*IFERROR(INDEX(Productos!$D$2:$D$501,MATCH(B2354,Productos!$A$2:$A$501,0)),0))</f>
        <v/>
      </c>
      <c r="G2354" s="32">
        <f>IF(C2354&lt;&gt;"Venta","",D2354*IFERROR(INDEX(Productos!$E$2:$E$501,MATCH(B2354,Productos!$A$2:$A$501,0)),0))</f>
        <v/>
      </c>
      <c r="H2354" s="33">
        <f>IF(A2354="","",MONTH(A2354))</f>
        <v/>
      </c>
      <c r="I2354" s="33">
        <f>IF(A2354="","",YEAR(A2354))</f>
        <v/>
      </c>
    </row>
    <row r="2355" ht="15" customHeight="1" s="21">
      <c r="A2355" s="34" t="n"/>
      <c r="B2355" s="30" t="n"/>
      <c r="C2355" s="30" t="n"/>
      <c r="D2355" s="30" t="n"/>
      <c r="E2355" s="33">
        <f>IF(B2355="","",IFERROR(INDEX(Productos!$B$2:$B$501,MATCH(B2355,Productos!$A$2:$A$501,0)),"¿Código?"))</f>
        <v/>
      </c>
      <c r="F2355" s="32">
        <f>IF(C2355&lt;&gt;"Venta","",D2355*IFERROR(INDEX(Productos!$D$2:$D$501,MATCH(B2355,Productos!$A$2:$A$501,0)),0))</f>
        <v/>
      </c>
      <c r="G2355" s="32">
        <f>IF(C2355&lt;&gt;"Venta","",D2355*IFERROR(INDEX(Productos!$E$2:$E$501,MATCH(B2355,Productos!$A$2:$A$501,0)),0))</f>
        <v/>
      </c>
      <c r="H2355" s="33">
        <f>IF(A2355="","",MONTH(A2355))</f>
        <v/>
      </c>
      <c r="I2355" s="33">
        <f>IF(A2355="","",YEAR(A2355))</f>
        <v/>
      </c>
    </row>
    <row r="2356" ht="15" customHeight="1" s="21">
      <c r="A2356" s="34" t="n"/>
      <c r="B2356" s="30" t="n"/>
      <c r="C2356" s="30" t="n"/>
      <c r="D2356" s="30" t="n"/>
      <c r="E2356" s="33">
        <f>IF(B2356="","",IFERROR(INDEX(Productos!$B$2:$B$501,MATCH(B2356,Productos!$A$2:$A$501,0)),"¿Código?"))</f>
        <v/>
      </c>
      <c r="F2356" s="32">
        <f>IF(C2356&lt;&gt;"Venta","",D2356*IFERROR(INDEX(Productos!$D$2:$D$501,MATCH(B2356,Productos!$A$2:$A$501,0)),0))</f>
        <v/>
      </c>
      <c r="G2356" s="32">
        <f>IF(C2356&lt;&gt;"Venta","",D2356*IFERROR(INDEX(Productos!$E$2:$E$501,MATCH(B2356,Productos!$A$2:$A$501,0)),0))</f>
        <v/>
      </c>
      <c r="H2356" s="33">
        <f>IF(A2356="","",MONTH(A2356))</f>
        <v/>
      </c>
      <c r="I2356" s="33">
        <f>IF(A2356="","",YEAR(A2356))</f>
        <v/>
      </c>
    </row>
    <row r="2357" ht="15" customHeight="1" s="21">
      <c r="A2357" s="34" t="n"/>
      <c r="B2357" s="30" t="n"/>
      <c r="C2357" s="30" t="n"/>
      <c r="D2357" s="30" t="n"/>
      <c r="E2357" s="33">
        <f>IF(B2357="","",IFERROR(INDEX(Productos!$B$2:$B$501,MATCH(B2357,Productos!$A$2:$A$501,0)),"¿Código?"))</f>
        <v/>
      </c>
      <c r="F2357" s="32">
        <f>IF(C2357&lt;&gt;"Venta","",D2357*IFERROR(INDEX(Productos!$D$2:$D$501,MATCH(B2357,Productos!$A$2:$A$501,0)),0))</f>
        <v/>
      </c>
      <c r="G2357" s="32">
        <f>IF(C2357&lt;&gt;"Venta","",D2357*IFERROR(INDEX(Productos!$E$2:$E$501,MATCH(B2357,Productos!$A$2:$A$501,0)),0))</f>
        <v/>
      </c>
      <c r="H2357" s="33">
        <f>IF(A2357="","",MONTH(A2357))</f>
        <v/>
      </c>
      <c r="I2357" s="33">
        <f>IF(A2357="","",YEAR(A2357))</f>
        <v/>
      </c>
    </row>
    <row r="2358" ht="15" customHeight="1" s="21">
      <c r="A2358" s="34" t="n"/>
      <c r="B2358" s="30" t="n"/>
      <c r="C2358" s="30" t="n"/>
      <c r="D2358" s="30" t="n"/>
      <c r="E2358" s="33">
        <f>IF(B2358="","",IFERROR(INDEX(Productos!$B$2:$B$501,MATCH(B2358,Productos!$A$2:$A$501,0)),"¿Código?"))</f>
        <v/>
      </c>
      <c r="F2358" s="32">
        <f>IF(C2358&lt;&gt;"Venta","",D2358*IFERROR(INDEX(Productos!$D$2:$D$501,MATCH(B2358,Productos!$A$2:$A$501,0)),0))</f>
        <v/>
      </c>
      <c r="G2358" s="32">
        <f>IF(C2358&lt;&gt;"Venta","",D2358*IFERROR(INDEX(Productos!$E$2:$E$501,MATCH(B2358,Productos!$A$2:$A$501,0)),0))</f>
        <v/>
      </c>
      <c r="H2358" s="33">
        <f>IF(A2358="","",MONTH(A2358))</f>
        <v/>
      </c>
      <c r="I2358" s="33">
        <f>IF(A2358="","",YEAR(A2358))</f>
        <v/>
      </c>
    </row>
    <row r="2359" ht="15" customHeight="1" s="21">
      <c r="A2359" s="34" t="n"/>
      <c r="B2359" s="30" t="n"/>
      <c r="C2359" s="30" t="n"/>
      <c r="D2359" s="30" t="n"/>
      <c r="E2359" s="33">
        <f>IF(B2359="","",IFERROR(INDEX(Productos!$B$2:$B$501,MATCH(B2359,Productos!$A$2:$A$501,0)),"¿Código?"))</f>
        <v/>
      </c>
      <c r="F2359" s="32">
        <f>IF(C2359&lt;&gt;"Venta","",D2359*IFERROR(INDEX(Productos!$D$2:$D$501,MATCH(B2359,Productos!$A$2:$A$501,0)),0))</f>
        <v/>
      </c>
      <c r="G2359" s="32">
        <f>IF(C2359&lt;&gt;"Venta","",D2359*IFERROR(INDEX(Productos!$E$2:$E$501,MATCH(B2359,Productos!$A$2:$A$501,0)),0))</f>
        <v/>
      </c>
      <c r="H2359" s="33">
        <f>IF(A2359="","",MONTH(A2359))</f>
        <v/>
      </c>
      <c r="I2359" s="33">
        <f>IF(A2359="","",YEAR(A2359))</f>
        <v/>
      </c>
    </row>
    <row r="2360" ht="15" customHeight="1" s="21">
      <c r="A2360" s="34" t="n"/>
      <c r="B2360" s="30" t="n"/>
      <c r="C2360" s="30" t="n"/>
      <c r="D2360" s="30" t="n"/>
      <c r="E2360" s="33">
        <f>IF(B2360="","",IFERROR(INDEX(Productos!$B$2:$B$501,MATCH(B2360,Productos!$A$2:$A$501,0)),"¿Código?"))</f>
        <v/>
      </c>
      <c r="F2360" s="32">
        <f>IF(C2360&lt;&gt;"Venta","",D2360*IFERROR(INDEX(Productos!$D$2:$D$501,MATCH(B2360,Productos!$A$2:$A$501,0)),0))</f>
        <v/>
      </c>
      <c r="G2360" s="32">
        <f>IF(C2360&lt;&gt;"Venta","",D2360*IFERROR(INDEX(Productos!$E$2:$E$501,MATCH(B2360,Productos!$A$2:$A$501,0)),0))</f>
        <v/>
      </c>
      <c r="H2360" s="33">
        <f>IF(A2360="","",MONTH(A2360))</f>
        <v/>
      </c>
      <c r="I2360" s="33">
        <f>IF(A2360="","",YEAR(A2360))</f>
        <v/>
      </c>
    </row>
    <row r="2361" ht="15" customHeight="1" s="21">
      <c r="A2361" s="34" t="n"/>
      <c r="B2361" s="30" t="n"/>
      <c r="C2361" s="30" t="n"/>
      <c r="D2361" s="30" t="n"/>
      <c r="E2361" s="33">
        <f>IF(B2361="","",IFERROR(INDEX(Productos!$B$2:$B$501,MATCH(B2361,Productos!$A$2:$A$501,0)),"¿Código?"))</f>
        <v/>
      </c>
      <c r="F2361" s="32">
        <f>IF(C2361&lt;&gt;"Venta","",D2361*IFERROR(INDEX(Productos!$D$2:$D$501,MATCH(B2361,Productos!$A$2:$A$501,0)),0))</f>
        <v/>
      </c>
      <c r="G2361" s="32">
        <f>IF(C2361&lt;&gt;"Venta","",D2361*IFERROR(INDEX(Productos!$E$2:$E$501,MATCH(B2361,Productos!$A$2:$A$501,0)),0))</f>
        <v/>
      </c>
      <c r="H2361" s="33">
        <f>IF(A2361="","",MONTH(A2361))</f>
        <v/>
      </c>
      <c r="I2361" s="33">
        <f>IF(A2361="","",YEAR(A2361))</f>
        <v/>
      </c>
    </row>
    <row r="2362" ht="15" customHeight="1" s="21">
      <c r="A2362" s="34" t="n"/>
      <c r="B2362" s="30" t="n"/>
      <c r="C2362" s="30" t="n"/>
      <c r="D2362" s="30" t="n"/>
      <c r="E2362" s="33">
        <f>IF(B2362="","",IFERROR(INDEX(Productos!$B$2:$B$501,MATCH(B2362,Productos!$A$2:$A$501,0)),"¿Código?"))</f>
        <v/>
      </c>
      <c r="F2362" s="32">
        <f>IF(C2362&lt;&gt;"Venta","",D2362*IFERROR(INDEX(Productos!$D$2:$D$501,MATCH(B2362,Productos!$A$2:$A$501,0)),0))</f>
        <v/>
      </c>
      <c r="G2362" s="32">
        <f>IF(C2362&lt;&gt;"Venta","",D2362*IFERROR(INDEX(Productos!$E$2:$E$501,MATCH(B2362,Productos!$A$2:$A$501,0)),0))</f>
        <v/>
      </c>
      <c r="H2362" s="33">
        <f>IF(A2362="","",MONTH(A2362))</f>
        <v/>
      </c>
      <c r="I2362" s="33">
        <f>IF(A2362="","",YEAR(A2362))</f>
        <v/>
      </c>
    </row>
    <row r="2363" ht="15" customHeight="1" s="21">
      <c r="A2363" s="34" t="n"/>
      <c r="B2363" s="30" t="n"/>
      <c r="C2363" s="30" t="n"/>
      <c r="D2363" s="30" t="n"/>
      <c r="E2363" s="33">
        <f>IF(B2363="","",IFERROR(INDEX(Productos!$B$2:$B$501,MATCH(B2363,Productos!$A$2:$A$501,0)),"¿Código?"))</f>
        <v/>
      </c>
      <c r="F2363" s="32">
        <f>IF(C2363&lt;&gt;"Venta","",D2363*IFERROR(INDEX(Productos!$D$2:$D$501,MATCH(B2363,Productos!$A$2:$A$501,0)),0))</f>
        <v/>
      </c>
      <c r="G2363" s="32">
        <f>IF(C2363&lt;&gt;"Venta","",D2363*IFERROR(INDEX(Productos!$E$2:$E$501,MATCH(B2363,Productos!$A$2:$A$501,0)),0))</f>
        <v/>
      </c>
      <c r="H2363" s="33">
        <f>IF(A2363="","",MONTH(A2363))</f>
        <v/>
      </c>
      <c r="I2363" s="33">
        <f>IF(A2363="","",YEAR(A2363))</f>
        <v/>
      </c>
    </row>
    <row r="2364" ht="15" customHeight="1" s="21">
      <c r="A2364" s="34" t="n"/>
      <c r="B2364" s="30" t="n"/>
      <c r="C2364" s="30" t="n"/>
      <c r="D2364" s="30" t="n"/>
      <c r="E2364" s="33">
        <f>IF(B2364="","",IFERROR(INDEX(Productos!$B$2:$B$501,MATCH(B2364,Productos!$A$2:$A$501,0)),"¿Código?"))</f>
        <v/>
      </c>
      <c r="F2364" s="32">
        <f>IF(C2364&lt;&gt;"Venta","",D2364*IFERROR(INDEX(Productos!$D$2:$D$501,MATCH(B2364,Productos!$A$2:$A$501,0)),0))</f>
        <v/>
      </c>
      <c r="G2364" s="32">
        <f>IF(C2364&lt;&gt;"Venta","",D2364*IFERROR(INDEX(Productos!$E$2:$E$501,MATCH(B2364,Productos!$A$2:$A$501,0)),0))</f>
        <v/>
      </c>
      <c r="H2364" s="33">
        <f>IF(A2364="","",MONTH(A2364))</f>
        <v/>
      </c>
      <c r="I2364" s="33">
        <f>IF(A2364="","",YEAR(A2364))</f>
        <v/>
      </c>
    </row>
    <row r="2365" ht="15" customHeight="1" s="21">
      <c r="A2365" s="34" t="n"/>
      <c r="B2365" s="30" t="n"/>
      <c r="C2365" s="30" t="n"/>
      <c r="D2365" s="30" t="n"/>
      <c r="E2365" s="33">
        <f>IF(B2365="","",IFERROR(INDEX(Productos!$B$2:$B$501,MATCH(B2365,Productos!$A$2:$A$501,0)),"¿Código?"))</f>
        <v/>
      </c>
      <c r="F2365" s="32">
        <f>IF(C2365&lt;&gt;"Venta","",D2365*IFERROR(INDEX(Productos!$D$2:$D$501,MATCH(B2365,Productos!$A$2:$A$501,0)),0))</f>
        <v/>
      </c>
      <c r="G2365" s="32">
        <f>IF(C2365&lt;&gt;"Venta","",D2365*IFERROR(INDEX(Productos!$E$2:$E$501,MATCH(B2365,Productos!$A$2:$A$501,0)),0))</f>
        <v/>
      </c>
      <c r="H2365" s="33">
        <f>IF(A2365="","",MONTH(A2365))</f>
        <v/>
      </c>
      <c r="I2365" s="33">
        <f>IF(A2365="","",YEAR(A2365))</f>
        <v/>
      </c>
    </row>
    <row r="2366" ht="15" customHeight="1" s="21">
      <c r="A2366" s="34" t="n"/>
      <c r="B2366" s="30" t="n"/>
      <c r="C2366" s="30" t="n"/>
      <c r="D2366" s="30" t="n"/>
      <c r="E2366" s="33">
        <f>IF(B2366="","",IFERROR(INDEX(Productos!$B$2:$B$501,MATCH(B2366,Productos!$A$2:$A$501,0)),"¿Código?"))</f>
        <v/>
      </c>
      <c r="F2366" s="32">
        <f>IF(C2366&lt;&gt;"Venta","",D2366*IFERROR(INDEX(Productos!$D$2:$D$501,MATCH(B2366,Productos!$A$2:$A$501,0)),0))</f>
        <v/>
      </c>
      <c r="G2366" s="32">
        <f>IF(C2366&lt;&gt;"Venta","",D2366*IFERROR(INDEX(Productos!$E$2:$E$501,MATCH(B2366,Productos!$A$2:$A$501,0)),0))</f>
        <v/>
      </c>
      <c r="H2366" s="33">
        <f>IF(A2366="","",MONTH(A2366))</f>
        <v/>
      </c>
      <c r="I2366" s="33">
        <f>IF(A2366="","",YEAR(A2366))</f>
        <v/>
      </c>
    </row>
    <row r="2367" ht="15" customHeight="1" s="21">
      <c r="A2367" s="34" t="n"/>
      <c r="B2367" s="30" t="n"/>
      <c r="C2367" s="30" t="n"/>
      <c r="D2367" s="30" t="n"/>
      <c r="E2367" s="33">
        <f>IF(B2367="","",IFERROR(INDEX(Productos!$B$2:$B$501,MATCH(B2367,Productos!$A$2:$A$501,0)),"¿Código?"))</f>
        <v/>
      </c>
      <c r="F2367" s="32">
        <f>IF(C2367&lt;&gt;"Venta","",D2367*IFERROR(INDEX(Productos!$D$2:$D$501,MATCH(B2367,Productos!$A$2:$A$501,0)),0))</f>
        <v/>
      </c>
      <c r="G2367" s="32">
        <f>IF(C2367&lt;&gt;"Venta","",D2367*IFERROR(INDEX(Productos!$E$2:$E$501,MATCH(B2367,Productos!$A$2:$A$501,0)),0))</f>
        <v/>
      </c>
      <c r="H2367" s="33">
        <f>IF(A2367="","",MONTH(A2367))</f>
        <v/>
      </c>
      <c r="I2367" s="33">
        <f>IF(A2367="","",YEAR(A2367))</f>
        <v/>
      </c>
    </row>
    <row r="2368" ht="15" customHeight="1" s="21">
      <c r="A2368" s="34" t="n"/>
      <c r="B2368" s="30" t="n"/>
      <c r="C2368" s="30" t="n"/>
      <c r="D2368" s="30" t="n"/>
      <c r="E2368" s="33">
        <f>IF(B2368="","",IFERROR(INDEX(Productos!$B$2:$B$501,MATCH(B2368,Productos!$A$2:$A$501,0)),"¿Código?"))</f>
        <v/>
      </c>
      <c r="F2368" s="32">
        <f>IF(C2368&lt;&gt;"Venta","",D2368*IFERROR(INDEX(Productos!$D$2:$D$501,MATCH(B2368,Productos!$A$2:$A$501,0)),0))</f>
        <v/>
      </c>
      <c r="G2368" s="32">
        <f>IF(C2368&lt;&gt;"Venta","",D2368*IFERROR(INDEX(Productos!$E$2:$E$501,MATCH(B2368,Productos!$A$2:$A$501,0)),0))</f>
        <v/>
      </c>
      <c r="H2368" s="33">
        <f>IF(A2368="","",MONTH(A2368))</f>
        <v/>
      </c>
      <c r="I2368" s="33">
        <f>IF(A2368="","",YEAR(A2368))</f>
        <v/>
      </c>
    </row>
    <row r="2369" ht="15" customHeight="1" s="21">
      <c r="A2369" s="34" t="n"/>
      <c r="B2369" s="30" t="n"/>
      <c r="C2369" s="30" t="n"/>
      <c r="D2369" s="30" t="n"/>
      <c r="E2369" s="33">
        <f>IF(B2369="","",IFERROR(INDEX(Productos!$B$2:$B$501,MATCH(B2369,Productos!$A$2:$A$501,0)),"¿Código?"))</f>
        <v/>
      </c>
      <c r="F2369" s="32">
        <f>IF(C2369&lt;&gt;"Venta","",D2369*IFERROR(INDEX(Productos!$D$2:$D$501,MATCH(B2369,Productos!$A$2:$A$501,0)),0))</f>
        <v/>
      </c>
      <c r="G2369" s="32">
        <f>IF(C2369&lt;&gt;"Venta","",D2369*IFERROR(INDEX(Productos!$E$2:$E$501,MATCH(B2369,Productos!$A$2:$A$501,0)),0))</f>
        <v/>
      </c>
      <c r="H2369" s="33">
        <f>IF(A2369="","",MONTH(A2369))</f>
        <v/>
      </c>
      <c r="I2369" s="33">
        <f>IF(A2369="","",YEAR(A2369))</f>
        <v/>
      </c>
    </row>
    <row r="2370" ht="15" customHeight="1" s="21">
      <c r="A2370" s="34" t="n"/>
      <c r="B2370" s="30" t="n"/>
      <c r="C2370" s="30" t="n"/>
      <c r="D2370" s="30" t="n"/>
      <c r="E2370" s="33">
        <f>IF(B2370="","",IFERROR(INDEX(Productos!$B$2:$B$501,MATCH(B2370,Productos!$A$2:$A$501,0)),"¿Código?"))</f>
        <v/>
      </c>
      <c r="F2370" s="32">
        <f>IF(C2370&lt;&gt;"Venta","",D2370*IFERROR(INDEX(Productos!$D$2:$D$501,MATCH(B2370,Productos!$A$2:$A$501,0)),0))</f>
        <v/>
      </c>
      <c r="G2370" s="32">
        <f>IF(C2370&lt;&gt;"Venta","",D2370*IFERROR(INDEX(Productos!$E$2:$E$501,MATCH(B2370,Productos!$A$2:$A$501,0)),0))</f>
        <v/>
      </c>
      <c r="H2370" s="33">
        <f>IF(A2370="","",MONTH(A2370))</f>
        <v/>
      </c>
      <c r="I2370" s="33">
        <f>IF(A2370="","",YEAR(A2370))</f>
        <v/>
      </c>
    </row>
    <row r="2371" ht="15" customHeight="1" s="21">
      <c r="A2371" s="34" t="n"/>
      <c r="B2371" s="30" t="n"/>
      <c r="C2371" s="30" t="n"/>
      <c r="D2371" s="30" t="n"/>
      <c r="E2371" s="33">
        <f>IF(B2371="","",IFERROR(INDEX(Productos!$B$2:$B$501,MATCH(B2371,Productos!$A$2:$A$501,0)),"¿Código?"))</f>
        <v/>
      </c>
      <c r="F2371" s="32">
        <f>IF(C2371&lt;&gt;"Venta","",D2371*IFERROR(INDEX(Productos!$D$2:$D$501,MATCH(B2371,Productos!$A$2:$A$501,0)),0))</f>
        <v/>
      </c>
      <c r="G2371" s="32">
        <f>IF(C2371&lt;&gt;"Venta","",D2371*IFERROR(INDEX(Productos!$E$2:$E$501,MATCH(B2371,Productos!$A$2:$A$501,0)),0))</f>
        <v/>
      </c>
      <c r="H2371" s="33">
        <f>IF(A2371="","",MONTH(A2371))</f>
        <v/>
      </c>
      <c r="I2371" s="33">
        <f>IF(A2371="","",YEAR(A2371))</f>
        <v/>
      </c>
    </row>
    <row r="2372" ht="15" customHeight="1" s="21">
      <c r="A2372" s="34" t="n"/>
      <c r="B2372" s="30" t="n"/>
      <c r="C2372" s="30" t="n"/>
      <c r="D2372" s="30" t="n"/>
      <c r="E2372" s="33">
        <f>IF(B2372="","",IFERROR(INDEX(Productos!$B$2:$B$501,MATCH(B2372,Productos!$A$2:$A$501,0)),"¿Código?"))</f>
        <v/>
      </c>
      <c r="F2372" s="32">
        <f>IF(C2372&lt;&gt;"Venta","",D2372*IFERROR(INDEX(Productos!$D$2:$D$501,MATCH(B2372,Productos!$A$2:$A$501,0)),0))</f>
        <v/>
      </c>
      <c r="G2372" s="32">
        <f>IF(C2372&lt;&gt;"Venta","",D2372*IFERROR(INDEX(Productos!$E$2:$E$501,MATCH(B2372,Productos!$A$2:$A$501,0)),0))</f>
        <v/>
      </c>
      <c r="H2372" s="33">
        <f>IF(A2372="","",MONTH(A2372))</f>
        <v/>
      </c>
      <c r="I2372" s="33">
        <f>IF(A2372="","",YEAR(A2372))</f>
        <v/>
      </c>
    </row>
    <row r="2373" ht="15" customHeight="1" s="21">
      <c r="A2373" s="34" t="n"/>
      <c r="B2373" s="30" t="n"/>
      <c r="C2373" s="30" t="n"/>
      <c r="D2373" s="30" t="n"/>
      <c r="E2373" s="33">
        <f>IF(B2373="","",IFERROR(INDEX(Productos!$B$2:$B$501,MATCH(B2373,Productos!$A$2:$A$501,0)),"¿Código?"))</f>
        <v/>
      </c>
      <c r="F2373" s="32">
        <f>IF(C2373&lt;&gt;"Venta","",D2373*IFERROR(INDEX(Productos!$D$2:$D$501,MATCH(B2373,Productos!$A$2:$A$501,0)),0))</f>
        <v/>
      </c>
      <c r="G2373" s="32">
        <f>IF(C2373&lt;&gt;"Venta","",D2373*IFERROR(INDEX(Productos!$E$2:$E$501,MATCH(B2373,Productos!$A$2:$A$501,0)),0))</f>
        <v/>
      </c>
      <c r="H2373" s="33">
        <f>IF(A2373="","",MONTH(A2373))</f>
        <v/>
      </c>
      <c r="I2373" s="33">
        <f>IF(A2373="","",YEAR(A2373))</f>
        <v/>
      </c>
    </row>
    <row r="2374" ht="15" customHeight="1" s="21">
      <c r="A2374" s="34" t="n"/>
      <c r="B2374" s="30" t="n"/>
      <c r="C2374" s="30" t="n"/>
      <c r="D2374" s="30" t="n"/>
      <c r="E2374" s="33">
        <f>IF(B2374="","",IFERROR(INDEX(Productos!$B$2:$B$501,MATCH(B2374,Productos!$A$2:$A$501,0)),"¿Código?"))</f>
        <v/>
      </c>
      <c r="F2374" s="32">
        <f>IF(C2374&lt;&gt;"Venta","",D2374*IFERROR(INDEX(Productos!$D$2:$D$501,MATCH(B2374,Productos!$A$2:$A$501,0)),0))</f>
        <v/>
      </c>
      <c r="G2374" s="32">
        <f>IF(C2374&lt;&gt;"Venta","",D2374*IFERROR(INDEX(Productos!$E$2:$E$501,MATCH(B2374,Productos!$A$2:$A$501,0)),0))</f>
        <v/>
      </c>
      <c r="H2374" s="33">
        <f>IF(A2374="","",MONTH(A2374))</f>
        <v/>
      </c>
      <c r="I2374" s="33">
        <f>IF(A2374="","",YEAR(A2374))</f>
        <v/>
      </c>
    </row>
    <row r="2375" ht="15" customHeight="1" s="21">
      <c r="A2375" s="34" t="n"/>
      <c r="B2375" s="30" t="n"/>
      <c r="C2375" s="30" t="n"/>
      <c r="D2375" s="30" t="n"/>
      <c r="E2375" s="33">
        <f>IF(B2375="","",IFERROR(INDEX(Productos!$B$2:$B$501,MATCH(B2375,Productos!$A$2:$A$501,0)),"¿Código?"))</f>
        <v/>
      </c>
      <c r="F2375" s="32">
        <f>IF(C2375&lt;&gt;"Venta","",D2375*IFERROR(INDEX(Productos!$D$2:$D$501,MATCH(B2375,Productos!$A$2:$A$501,0)),0))</f>
        <v/>
      </c>
      <c r="G2375" s="32">
        <f>IF(C2375&lt;&gt;"Venta","",D2375*IFERROR(INDEX(Productos!$E$2:$E$501,MATCH(B2375,Productos!$A$2:$A$501,0)),0))</f>
        <v/>
      </c>
      <c r="H2375" s="33">
        <f>IF(A2375="","",MONTH(A2375))</f>
        <v/>
      </c>
      <c r="I2375" s="33">
        <f>IF(A2375="","",YEAR(A2375))</f>
        <v/>
      </c>
    </row>
    <row r="2376" ht="15" customHeight="1" s="21">
      <c r="A2376" s="34" t="n"/>
      <c r="B2376" s="30" t="n"/>
      <c r="C2376" s="30" t="n"/>
      <c r="D2376" s="30" t="n"/>
      <c r="E2376" s="33">
        <f>IF(B2376="","",IFERROR(INDEX(Productos!$B$2:$B$501,MATCH(B2376,Productos!$A$2:$A$501,0)),"¿Código?"))</f>
        <v/>
      </c>
      <c r="F2376" s="32">
        <f>IF(C2376&lt;&gt;"Venta","",D2376*IFERROR(INDEX(Productos!$D$2:$D$501,MATCH(B2376,Productos!$A$2:$A$501,0)),0))</f>
        <v/>
      </c>
      <c r="G2376" s="32">
        <f>IF(C2376&lt;&gt;"Venta","",D2376*IFERROR(INDEX(Productos!$E$2:$E$501,MATCH(B2376,Productos!$A$2:$A$501,0)),0))</f>
        <v/>
      </c>
      <c r="H2376" s="33">
        <f>IF(A2376="","",MONTH(A2376))</f>
        <v/>
      </c>
      <c r="I2376" s="33">
        <f>IF(A2376="","",YEAR(A2376))</f>
        <v/>
      </c>
    </row>
    <row r="2377" ht="15" customHeight="1" s="21">
      <c r="A2377" s="34" t="n"/>
      <c r="B2377" s="30" t="n"/>
      <c r="C2377" s="30" t="n"/>
      <c r="D2377" s="30" t="n"/>
      <c r="E2377" s="33">
        <f>IF(B2377="","",IFERROR(INDEX(Productos!$B$2:$B$501,MATCH(B2377,Productos!$A$2:$A$501,0)),"¿Código?"))</f>
        <v/>
      </c>
      <c r="F2377" s="32">
        <f>IF(C2377&lt;&gt;"Venta","",D2377*IFERROR(INDEX(Productos!$D$2:$D$501,MATCH(B2377,Productos!$A$2:$A$501,0)),0))</f>
        <v/>
      </c>
      <c r="G2377" s="32">
        <f>IF(C2377&lt;&gt;"Venta","",D2377*IFERROR(INDEX(Productos!$E$2:$E$501,MATCH(B2377,Productos!$A$2:$A$501,0)),0))</f>
        <v/>
      </c>
      <c r="H2377" s="33">
        <f>IF(A2377="","",MONTH(A2377))</f>
        <v/>
      </c>
      <c r="I2377" s="33">
        <f>IF(A2377="","",YEAR(A2377))</f>
        <v/>
      </c>
    </row>
    <row r="2378" ht="15" customHeight="1" s="21">
      <c r="A2378" s="34" t="n"/>
      <c r="B2378" s="30" t="n"/>
      <c r="C2378" s="30" t="n"/>
      <c r="D2378" s="30" t="n"/>
      <c r="E2378" s="33">
        <f>IF(B2378="","",IFERROR(INDEX(Productos!$B$2:$B$501,MATCH(B2378,Productos!$A$2:$A$501,0)),"¿Código?"))</f>
        <v/>
      </c>
      <c r="F2378" s="32">
        <f>IF(C2378&lt;&gt;"Venta","",D2378*IFERROR(INDEX(Productos!$D$2:$D$501,MATCH(B2378,Productos!$A$2:$A$501,0)),0))</f>
        <v/>
      </c>
      <c r="G2378" s="32">
        <f>IF(C2378&lt;&gt;"Venta","",D2378*IFERROR(INDEX(Productos!$E$2:$E$501,MATCH(B2378,Productos!$A$2:$A$501,0)),0))</f>
        <v/>
      </c>
      <c r="H2378" s="33">
        <f>IF(A2378="","",MONTH(A2378))</f>
        <v/>
      </c>
      <c r="I2378" s="33">
        <f>IF(A2378="","",YEAR(A2378))</f>
        <v/>
      </c>
    </row>
    <row r="2379" ht="15" customHeight="1" s="21">
      <c r="A2379" s="34" t="n"/>
      <c r="B2379" s="30" t="n"/>
      <c r="C2379" s="30" t="n"/>
      <c r="D2379" s="30" t="n"/>
      <c r="E2379" s="33">
        <f>IF(B2379="","",IFERROR(INDEX(Productos!$B$2:$B$501,MATCH(B2379,Productos!$A$2:$A$501,0)),"¿Código?"))</f>
        <v/>
      </c>
      <c r="F2379" s="32">
        <f>IF(C2379&lt;&gt;"Venta","",D2379*IFERROR(INDEX(Productos!$D$2:$D$501,MATCH(B2379,Productos!$A$2:$A$501,0)),0))</f>
        <v/>
      </c>
      <c r="G2379" s="32">
        <f>IF(C2379&lt;&gt;"Venta","",D2379*IFERROR(INDEX(Productos!$E$2:$E$501,MATCH(B2379,Productos!$A$2:$A$501,0)),0))</f>
        <v/>
      </c>
      <c r="H2379" s="33">
        <f>IF(A2379="","",MONTH(A2379))</f>
        <v/>
      </c>
      <c r="I2379" s="33">
        <f>IF(A2379="","",YEAR(A2379))</f>
        <v/>
      </c>
    </row>
    <row r="2380" ht="15" customHeight="1" s="21">
      <c r="A2380" s="34" t="n"/>
      <c r="B2380" s="30" t="n"/>
      <c r="C2380" s="30" t="n"/>
      <c r="D2380" s="30" t="n"/>
      <c r="E2380" s="33">
        <f>IF(B2380="","",IFERROR(INDEX(Productos!$B$2:$B$501,MATCH(B2380,Productos!$A$2:$A$501,0)),"¿Código?"))</f>
        <v/>
      </c>
      <c r="F2380" s="32">
        <f>IF(C2380&lt;&gt;"Venta","",D2380*IFERROR(INDEX(Productos!$D$2:$D$501,MATCH(B2380,Productos!$A$2:$A$501,0)),0))</f>
        <v/>
      </c>
      <c r="G2380" s="32">
        <f>IF(C2380&lt;&gt;"Venta","",D2380*IFERROR(INDEX(Productos!$E$2:$E$501,MATCH(B2380,Productos!$A$2:$A$501,0)),0))</f>
        <v/>
      </c>
      <c r="H2380" s="33">
        <f>IF(A2380="","",MONTH(A2380))</f>
        <v/>
      </c>
      <c r="I2380" s="33">
        <f>IF(A2380="","",YEAR(A2380))</f>
        <v/>
      </c>
    </row>
    <row r="2381" ht="15" customHeight="1" s="21">
      <c r="A2381" s="34" t="n"/>
      <c r="B2381" s="30" t="n"/>
      <c r="C2381" s="30" t="n"/>
      <c r="D2381" s="30" t="n"/>
      <c r="E2381" s="33">
        <f>IF(B2381="","",IFERROR(INDEX(Productos!$B$2:$B$501,MATCH(B2381,Productos!$A$2:$A$501,0)),"¿Código?"))</f>
        <v/>
      </c>
      <c r="F2381" s="32">
        <f>IF(C2381&lt;&gt;"Venta","",D2381*IFERROR(INDEX(Productos!$D$2:$D$501,MATCH(B2381,Productos!$A$2:$A$501,0)),0))</f>
        <v/>
      </c>
      <c r="G2381" s="32">
        <f>IF(C2381&lt;&gt;"Venta","",D2381*IFERROR(INDEX(Productos!$E$2:$E$501,MATCH(B2381,Productos!$A$2:$A$501,0)),0))</f>
        <v/>
      </c>
      <c r="H2381" s="33">
        <f>IF(A2381="","",MONTH(A2381))</f>
        <v/>
      </c>
      <c r="I2381" s="33">
        <f>IF(A2381="","",YEAR(A2381))</f>
        <v/>
      </c>
    </row>
    <row r="2382" ht="15" customHeight="1" s="21">
      <c r="A2382" s="34" t="n"/>
      <c r="B2382" s="30" t="n"/>
      <c r="C2382" s="30" t="n"/>
      <c r="D2382" s="30" t="n"/>
      <c r="E2382" s="33">
        <f>IF(B2382="","",IFERROR(INDEX(Productos!$B$2:$B$501,MATCH(B2382,Productos!$A$2:$A$501,0)),"¿Código?"))</f>
        <v/>
      </c>
      <c r="F2382" s="32">
        <f>IF(C2382&lt;&gt;"Venta","",D2382*IFERROR(INDEX(Productos!$D$2:$D$501,MATCH(B2382,Productos!$A$2:$A$501,0)),0))</f>
        <v/>
      </c>
      <c r="G2382" s="32">
        <f>IF(C2382&lt;&gt;"Venta","",D2382*IFERROR(INDEX(Productos!$E$2:$E$501,MATCH(B2382,Productos!$A$2:$A$501,0)),0))</f>
        <v/>
      </c>
      <c r="H2382" s="33">
        <f>IF(A2382="","",MONTH(A2382))</f>
        <v/>
      </c>
      <c r="I2382" s="33">
        <f>IF(A2382="","",YEAR(A2382))</f>
        <v/>
      </c>
    </row>
    <row r="2383" ht="15" customHeight="1" s="21">
      <c r="A2383" s="34" t="n"/>
      <c r="B2383" s="30" t="n"/>
      <c r="C2383" s="30" t="n"/>
      <c r="D2383" s="30" t="n"/>
      <c r="E2383" s="33">
        <f>IF(B2383="","",IFERROR(INDEX(Productos!$B$2:$B$501,MATCH(B2383,Productos!$A$2:$A$501,0)),"¿Código?"))</f>
        <v/>
      </c>
      <c r="F2383" s="32">
        <f>IF(C2383&lt;&gt;"Venta","",D2383*IFERROR(INDEX(Productos!$D$2:$D$501,MATCH(B2383,Productos!$A$2:$A$501,0)),0))</f>
        <v/>
      </c>
      <c r="G2383" s="32">
        <f>IF(C2383&lt;&gt;"Venta","",D2383*IFERROR(INDEX(Productos!$E$2:$E$501,MATCH(B2383,Productos!$A$2:$A$501,0)),0))</f>
        <v/>
      </c>
      <c r="H2383" s="33">
        <f>IF(A2383="","",MONTH(A2383))</f>
        <v/>
      </c>
      <c r="I2383" s="33">
        <f>IF(A2383="","",YEAR(A2383))</f>
        <v/>
      </c>
    </row>
    <row r="2384" ht="15" customHeight="1" s="21">
      <c r="A2384" s="34" t="n"/>
      <c r="B2384" s="30" t="n"/>
      <c r="C2384" s="30" t="n"/>
      <c r="D2384" s="30" t="n"/>
      <c r="E2384" s="33">
        <f>IF(B2384="","",IFERROR(INDEX(Productos!$B$2:$B$501,MATCH(B2384,Productos!$A$2:$A$501,0)),"¿Código?"))</f>
        <v/>
      </c>
      <c r="F2384" s="32">
        <f>IF(C2384&lt;&gt;"Venta","",D2384*IFERROR(INDEX(Productos!$D$2:$D$501,MATCH(B2384,Productos!$A$2:$A$501,0)),0))</f>
        <v/>
      </c>
      <c r="G2384" s="32">
        <f>IF(C2384&lt;&gt;"Venta","",D2384*IFERROR(INDEX(Productos!$E$2:$E$501,MATCH(B2384,Productos!$A$2:$A$501,0)),0))</f>
        <v/>
      </c>
      <c r="H2384" s="33">
        <f>IF(A2384="","",MONTH(A2384))</f>
        <v/>
      </c>
      <c r="I2384" s="33">
        <f>IF(A2384="","",YEAR(A2384))</f>
        <v/>
      </c>
    </row>
    <row r="2385" ht="15" customHeight="1" s="21">
      <c r="A2385" s="34" t="n"/>
      <c r="B2385" s="30" t="n"/>
      <c r="C2385" s="30" t="n"/>
      <c r="D2385" s="30" t="n"/>
      <c r="E2385" s="33">
        <f>IF(B2385="","",IFERROR(INDEX(Productos!$B$2:$B$501,MATCH(B2385,Productos!$A$2:$A$501,0)),"¿Código?"))</f>
        <v/>
      </c>
      <c r="F2385" s="32">
        <f>IF(C2385&lt;&gt;"Venta","",D2385*IFERROR(INDEX(Productos!$D$2:$D$501,MATCH(B2385,Productos!$A$2:$A$501,0)),0))</f>
        <v/>
      </c>
      <c r="G2385" s="32">
        <f>IF(C2385&lt;&gt;"Venta","",D2385*IFERROR(INDEX(Productos!$E$2:$E$501,MATCH(B2385,Productos!$A$2:$A$501,0)),0))</f>
        <v/>
      </c>
      <c r="H2385" s="33">
        <f>IF(A2385="","",MONTH(A2385))</f>
        <v/>
      </c>
      <c r="I2385" s="33">
        <f>IF(A2385="","",YEAR(A2385))</f>
        <v/>
      </c>
    </row>
    <row r="2386" ht="15" customHeight="1" s="21">
      <c r="A2386" s="34" t="n"/>
      <c r="B2386" s="30" t="n"/>
      <c r="C2386" s="30" t="n"/>
      <c r="D2386" s="30" t="n"/>
      <c r="E2386" s="33">
        <f>IF(B2386="","",IFERROR(INDEX(Productos!$B$2:$B$501,MATCH(B2386,Productos!$A$2:$A$501,0)),"¿Código?"))</f>
        <v/>
      </c>
      <c r="F2386" s="32">
        <f>IF(C2386&lt;&gt;"Venta","",D2386*IFERROR(INDEX(Productos!$D$2:$D$501,MATCH(B2386,Productos!$A$2:$A$501,0)),0))</f>
        <v/>
      </c>
      <c r="G2386" s="32">
        <f>IF(C2386&lt;&gt;"Venta","",D2386*IFERROR(INDEX(Productos!$E$2:$E$501,MATCH(B2386,Productos!$A$2:$A$501,0)),0))</f>
        <v/>
      </c>
      <c r="H2386" s="33">
        <f>IF(A2386="","",MONTH(A2386))</f>
        <v/>
      </c>
      <c r="I2386" s="33">
        <f>IF(A2386="","",YEAR(A2386))</f>
        <v/>
      </c>
    </row>
    <row r="2387" ht="15" customHeight="1" s="21">
      <c r="A2387" s="34" t="n"/>
      <c r="B2387" s="30" t="n"/>
      <c r="C2387" s="30" t="n"/>
      <c r="D2387" s="30" t="n"/>
      <c r="E2387" s="33">
        <f>IF(B2387="","",IFERROR(INDEX(Productos!$B$2:$B$501,MATCH(B2387,Productos!$A$2:$A$501,0)),"¿Código?"))</f>
        <v/>
      </c>
      <c r="F2387" s="32">
        <f>IF(C2387&lt;&gt;"Venta","",D2387*IFERROR(INDEX(Productos!$D$2:$D$501,MATCH(B2387,Productos!$A$2:$A$501,0)),0))</f>
        <v/>
      </c>
      <c r="G2387" s="32">
        <f>IF(C2387&lt;&gt;"Venta","",D2387*IFERROR(INDEX(Productos!$E$2:$E$501,MATCH(B2387,Productos!$A$2:$A$501,0)),0))</f>
        <v/>
      </c>
      <c r="H2387" s="33">
        <f>IF(A2387="","",MONTH(A2387))</f>
        <v/>
      </c>
      <c r="I2387" s="33">
        <f>IF(A2387="","",YEAR(A2387))</f>
        <v/>
      </c>
    </row>
    <row r="2388" ht="15" customHeight="1" s="21">
      <c r="A2388" s="34" t="n"/>
      <c r="B2388" s="30" t="n"/>
      <c r="C2388" s="30" t="n"/>
      <c r="D2388" s="30" t="n"/>
      <c r="E2388" s="33">
        <f>IF(B2388="","",IFERROR(INDEX(Productos!$B$2:$B$501,MATCH(B2388,Productos!$A$2:$A$501,0)),"¿Código?"))</f>
        <v/>
      </c>
      <c r="F2388" s="32">
        <f>IF(C2388&lt;&gt;"Venta","",D2388*IFERROR(INDEX(Productos!$D$2:$D$501,MATCH(B2388,Productos!$A$2:$A$501,0)),0))</f>
        <v/>
      </c>
      <c r="G2388" s="32">
        <f>IF(C2388&lt;&gt;"Venta","",D2388*IFERROR(INDEX(Productos!$E$2:$E$501,MATCH(B2388,Productos!$A$2:$A$501,0)),0))</f>
        <v/>
      </c>
      <c r="H2388" s="33">
        <f>IF(A2388="","",MONTH(A2388))</f>
        <v/>
      </c>
      <c r="I2388" s="33">
        <f>IF(A2388="","",YEAR(A2388))</f>
        <v/>
      </c>
    </row>
    <row r="2389" ht="15" customHeight="1" s="21">
      <c r="A2389" s="34" t="n"/>
      <c r="B2389" s="30" t="n"/>
      <c r="C2389" s="30" t="n"/>
      <c r="D2389" s="30" t="n"/>
      <c r="E2389" s="33">
        <f>IF(B2389="","",IFERROR(INDEX(Productos!$B$2:$B$501,MATCH(B2389,Productos!$A$2:$A$501,0)),"¿Código?"))</f>
        <v/>
      </c>
      <c r="F2389" s="32">
        <f>IF(C2389&lt;&gt;"Venta","",D2389*IFERROR(INDEX(Productos!$D$2:$D$501,MATCH(B2389,Productos!$A$2:$A$501,0)),0))</f>
        <v/>
      </c>
      <c r="G2389" s="32">
        <f>IF(C2389&lt;&gt;"Venta","",D2389*IFERROR(INDEX(Productos!$E$2:$E$501,MATCH(B2389,Productos!$A$2:$A$501,0)),0))</f>
        <v/>
      </c>
      <c r="H2389" s="33">
        <f>IF(A2389="","",MONTH(A2389))</f>
        <v/>
      </c>
      <c r="I2389" s="33">
        <f>IF(A2389="","",YEAR(A2389))</f>
        <v/>
      </c>
    </row>
    <row r="2390" ht="15" customHeight="1" s="21">
      <c r="A2390" s="34" t="n"/>
      <c r="B2390" s="30" t="n"/>
      <c r="C2390" s="30" t="n"/>
      <c r="D2390" s="30" t="n"/>
      <c r="E2390" s="33">
        <f>IF(B2390="","",IFERROR(INDEX(Productos!$B$2:$B$501,MATCH(B2390,Productos!$A$2:$A$501,0)),"¿Código?"))</f>
        <v/>
      </c>
      <c r="F2390" s="32">
        <f>IF(C2390&lt;&gt;"Venta","",D2390*IFERROR(INDEX(Productos!$D$2:$D$501,MATCH(B2390,Productos!$A$2:$A$501,0)),0))</f>
        <v/>
      </c>
      <c r="G2390" s="32">
        <f>IF(C2390&lt;&gt;"Venta","",D2390*IFERROR(INDEX(Productos!$E$2:$E$501,MATCH(B2390,Productos!$A$2:$A$501,0)),0))</f>
        <v/>
      </c>
      <c r="H2390" s="33">
        <f>IF(A2390="","",MONTH(A2390))</f>
        <v/>
      </c>
      <c r="I2390" s="33">
        <f>IF(A2390="","",YEAR(A2390))</f>
        <v/>
      </c>
    </row>
    <row r="2391" ht="15" customHeight="1" s="21">
      <c r="A2391" s="34" t="n"/>
      <c r="B2391" s="30" t="n"/>
      <c r="C2391" s="30" t="n"/>
      <c r="D2391" s="30" t="n"/>
      <c r="E2391" s="33">
        <f>IF(B2391="","",IFERROR(INDEX(Productos!$B$2:$B$501,MATCH(B2391,Productos!$A$2:$A$501,0)),"¿Código?"))</f>
        <v/>
      </c>
      <c r="F2391" s="32">
        <f>IF(C2391&lt;&gt;"Venta","",D2391*IFERROR(INDEX(Productos!$D$2:$D$501,MATCH(B2391,Productos!$A$2:$A$501,0)),0))</f>
        <v/>
      </c>
      <c r="G2391" s="32">
        <f>IF(C2391&lt;&gt;"Venta","",D2391*IFERROR(INDEX(Productos!$E$2:$E$501,MATCH(B2391,Productos!$A$2:$A$501,0)),0))</f>
        <v/>
      </c>
      <c r="H2391" s="33">
        <f>IF(A2391="","",MONTH(A2391))</f>
        <v/>
      </c>
      <c r="I2391" s="33">
        <f>IF(A2391="","",YEAR(A2391))</f>
        <v/>
      </c>
    </row>
    <row r="2392" ht="15" customHeight="1" s="21">
      <c r="A2392" s="34" t="n"/>
      <c r="B2392" s="30" t="n"/>
      <c r="C2392" s="30" t="n"/>
      <c r="D2392" s="30" t="n"/>
      <c r="E2392" s="33">
        <f>IF(B2392="","",IFERROR(INDEX(Productos!$B$2:$B$501,MATCH(B2392,Productos!$A$2:$A$501,0)),"¿Código?"))</f>
        <v/>
      </c>
      <c r="F2392" s="32">
        <f>IF(C2392&lt;&gt;"Venta","",D2392*IFERROR(INDEX(Productos!$D$2:$D$501,MATCH(B2392,Productos!$A$2:$A$501,0)),0))</f>
        <v/>
      </c>
      <c r="G2392" s="32">
        <f>IF(C2392&lt;&gt;"Venta","",D2392*IFERROR(INDEX(Productos!$E$2:$E$501,MATCH(B2392,Productos!$A$2:$A$501,0)),0))</f>
        <v/>
      </c>
      <c r="H2392" s="33">
        <f>IF(A2392="","",MONTH(A2392))</f>
        <v/>
      </c>
      <c r="I2392" s="33">
        <f>IF(A2392="","",YEAR(A2392))</f>
        <v/>
      </c>
    </row>
    <row r="2393" ht="15" customHeight="1" s="21">
      <c r="A2393" s="34" t="n"/>
      <c r="B2393" s="30" t="n"/>
      <c r="C2393" s="30" t="n"/>
      <c r="D2393" s="30" t="n"/>
      <c r="E2393" s="33">
        <f>IF(B2393="","",IFERROR(INDEX(Productos!$B$2:$B$501,MATCH(B2393,Productos!$A$2:$A$501,0)),"¿Código?"))</f>
        <v/>
      </c>
      <c r="F2393" s="32">
        <f>IF(C2393&lt;&gt;"Venta","",D2393*IFERROR(INDEX(Productos!$D$2:$D$501,MATCH(B2393,Productos!$A$2:$A$501,0)),0))</f>
        <v/>
      </c>
      <c r="G2393" s="32">
        <f>IF(C2393&lt;&gt;"Venta","",D2393*IFERROR(INDEX(Productos!$E$2:$E$501,MATCH(B2393,Productos!$A$2:$A$501,0)),0))</f>
        <v/>
      </c>
      <c r="H2393" s="33">
        <f>IF(A2393="","",MONTH(A2393))</f>
        <v/>
      </c>
      <c r="I2393" s="33">
        <f>IF(A2393="","",YEAR(A2393))</f>
        <v/>
      </c>
    </row>
    <row r="2394" ht="15" customHeight="1" s="21">
      <c r="A2394" s="34" t="n"/>
      <c r="B2394" s="30" t="n"/>
      <c r="C2394" s="30" t="n"/>
      <c r="D2394" s="30" t="n"/>
      <c r="E2394" s="33">
        <f>IF(B2394="","",IFERROR(INDEX(Productos!$B$2:$B$501,MATCH(B2394,Productos!$A$2:$A$501,0)),"¿Código?"))</f>
        <v/>
      </c>
      <c r="F2394" s="32">
        <f>IF(C2394&lt;&gt;"Venta","",D2394*IFERROR(INDEX(Productos!$D$2:$D$501,MATCH(B2394,Productos!$A$2:$A$501,0)),0))</f>
        <v/>
      </c>
      <c r="G2394" s="32">
        <f>IF(C2394&lt;&gt;"Venta","",D2394*IFERROR(INDEX(Productos!$E$2:$E$501,MATCH(B2394,Productos!$A$2:$A$501,0)),0))</f>
        <v/>
      </c>
      <c r="H2394" s="33">
        <f>IF(A2394="","",MONTH(A2394))</f>
        <v/>
      </c>
      <c r="I2394" s="33">
        <f>IF(A2394="","",YEAR(A2394))</f>
        <v/>
      </c>
    </row>
    <row r="2395" ht="15" customHeight="1" s="21">
      <c r="A2395" s="34" t="n"/>
      <c r="B2395" s="30" t="n"/>
      <c r="C2395" s="30" t="n"/>
      <c r="D2395" s="30" t="n"/>
      <c r="E2395" s="33">
        <f>IF(B2395="","",IFERROR(INDEX(Productos!$B$2:$B$501,MATCH(B2395,Productos!$A$2:$A$501,0)),"¿Código?"))</f>
        <v/>
      </c>
      <c r="F2395" s="32">
        <f>IF(C2395&lt;&gt;"Venta","",D2395*IFERROR(INDEX(Productos!$D$2:$D$501,MATCH(B2395,Productos!$A$2:$A$501,0)),0))</f>
        <v/>
      </c>
      <c r="G2395" s="32">
        <f>IF(C2395&lt;&gt;"Venta","",D2395*IFERROR(INDEX(Productos!$E$2:$E$501,MATCH(B2395,Productos!$A$2:$A$501,0)),0))</f>
        <v/>
      </c>
      <c r="H2395" s="33">
        <f>IF(A2395="","",MONTH(A2395))</f>
        <v/>
      </c>
      <c r="I2395" s="33">
        <f>IF(A2395="","",YEAR(A2395))</f>
        <v/>
      </c>
    </row>
    <row r="2396" ht="15" customHeight="1" s="21">
      <c r="A2396" s="34" t="n"/>
      <c r="B2396" s="30" t="n"/>
      <c r="C2396" s="30" t="n"/>
      <c r="D2396" s="30" t="n"/>
      <c r="E2396" s="33">
        <f>IF(B2396="","",IFERROR(INDEX(Productos!$B$2:$B$501,MATCH(B2396,Productos!$A$2:$A$501,0)),"¿Código?"))</f>
        <v/>
      </c>
      <c r="F2396" s="32">
        <f>IF(C2396&lt;&gt;"Venta","",D2396*IFERROR(INDEX(Productos!$D$2:$D$501,MATCH(B2396,Productos!$A$2:$A$501,0)),0))</f>
        <v/>
      </c>
      <c r="G2396" s="32">
        <f>IF(C2396&lt;&gt;"Venta","",D2396*IFERROR(INDEX(Productos!$E$2:$E$501,MATCH(B2396,Productos!$A$2:$A$501,0)),0))</f>
        <v/>
      </c>
      <c r="H2396" s="33">
        <f>IF(A2396="","",MONTH(A2396))</f>
        <v/>
      </c>
      <c r="I2396" s="33">
        <f>IF(A2396="","",YEAR(A2396))</f>
        <v/>
      </c>
    </row>
    <row r="2397" ht="15" customHeight="1" s="21">
      <c r="A2397" s="34" t="n"/>
      <c r="B2397" s="30" t="n"/>
      <c r="C2397" s="30" t="n"/>
      <c r="D2397" s="30" t="n"/>
      <c r="E2397" s="33">
        <f>IF(B2397="","",IFERROR(INDEX(Productos!$B$2:$B$501,MATCH(B2397,Productos!$A$2:$A$501,0)),"¿Código?"))</f>
        <v/>
      </c>
      <c r="F2397" s="32">
        <f>IF(C2397&lt;&gt;"Venta","",D2397*IFERROR(INDEX(Productos!$D$2:$D$501,MATCH(B2397,Productos!$A$2:$A$501,0)),0))</f>
        <v/>
      </c>
      <c r="G2397" s="32">
        <f>IF(C2397&lt;&gt;"Venta","",D2397*IFERROR(INDEX(Productos!$E$2:$E$501,MATCH(B2397,Productos!$A$2:$A$501,0)),0))</f>
        <v/>
      </c>
      <c r="H2397" s="33">
        <f>IF(A2397="","",MONTH(A2397))</f>
        <v/>
      </c>
      <c r="I2397" s="33">
        <f>IF(A2397="","",YEAR(A2397))</f>
        <v/>
      </c>
    </row>
    <row r="2398" ht="15" customHeight="1" s="21">
      <c r="A2398" s="34" t="n"/>
      <c r="B2398" s="30" t="n"/>
      <c r="C2398" s="30" t="n"/>
      <c r="D2398" s="30" t="n"/>
      <c r="E2398" s="33">
        <f>IF(B2398="","",IFERROR(INDEX(Productos!$B$2:$B$501,MATCH(B2398,Productos!$A$2:$A$501,0)),"¿Código?"))</f>
        <v/>
      </c>
      <c r="F2398" s="32">
        <f>IF(C2398&lt;&gt;"Venta","",D2398*IFERROR(INDEX(Productos!$D$2:$D$501,MATCH(B2398,Productos!$A$2:$A$501,0)),0))</f>
        <v/>
      </c>
      <c r="G2398" s="32">
        <f>IF(C2398&lt;&gt;"Venta","",D2398*IFERROR(INDEX(Productos!$E$2:$E$501,MATCH(B2398,Productos!$A$2:$A$501,0)),0))</f>
        <v/>
      </c>
      <c r="H2398" s="33">
        <f>IF(A2398="","",MONTH(A2398))</f>
        <v/>
      </c>
      <c r="I2398" s="33">
        <f>IF(A2398="","",YEAR(A2398))</f>
        <v/>
      </c>
    </row>
    <row r="2399" ht="15" customHeight="1" s="21">
      <c r="A2399" s="34" t="n"/>
      <c r="B2399" s="30" t="n"/>
      <c r="C2399" s="30" t="n"/>
      <c r="D2399" s="30" t="n"/>
      <c r="E2399" s="33">
        <f>IF(B2399="","",IFERROR(INDEX(Productos!$B$2:$B$501,MATCH(B2399,Productos!$A$2:$A$501,0)),"¿Código?"))</f>
        <v/>
      </c>
      <c r="F2399" s="32">
        <f>IF(C2399&lt;&gt;"Venta","",D2399*IFERROR(INDEX(Productos!$D$2:$D$501,MATCH(B2399,Productos!$A$2:$A$501,0)),0))</f>
        <v/>
      </c>
      <c r="G2399" s="32">
        <f>IF(C2399&lt;&gt;"Venta","",D2399*IFERROR(INDEX(Productos!$E$2:$E$501,MATCH(B2399,Productos!$A$2:$A$501,0)),0))</f>
        <v/>
      </c>
      <c r="H2399" s="33">
        <f>IF(A2399="","",MONTH(A2399))</f>
        <v/>
      </c>
      <c r="I2399" s="33">
        <f>IF(A2399="","",YEAR(A2399))</f>
        <v/>
      </c>
    </row>
    <row r="2400" ht="15" customHeight="1" s="21">
      <c r="A2400" s="34" t="n"/>
      <c r="B2400" s="30" t="n"/>
      <c r="C2400" s="30" t="n"/>
      <c r="D2400" s="30" t="n"/>
      <c r="E2400" s="33">
        <f>IF(B2400="","",IFERROR(INDEX(Productos!$B$2:$B$501,MATCH(B2400,Productos!$A$2:$A$501,0)),"¿Código?"))</f>
        <v/>
      </c>
      <c r="F2400" s="32">
        <f>IF(C2400&lt;&gt;"Venta","",D2400*IFERROR(INDEX(Productos!$D$2:$D$501,MATCH(B2400,Productos!$A$2:$A$501,0)),0))</f>
        <v/>
      </c>
      <c r="G2400" s="32">
        <f>IF(C2400&lt;&gt;"Venta","",D2400*IFERROR(INDEX(Productos!$E$2:$E$501,MATCH(B2400,Productos!$A$2:$A$501,0)),0))</f>
        <v/>
      </c>
      <c r="H2400" s="33">
        <f>IF(A2400="","",MONTH(A2400))</f>
        <v/>
      </c>
      <c r="I2400" s="33">
        <f>IF(A2400="","",YEAR(A2400))</f>
        <v/>
      </c>
    </row>
    <row r="2401" ht="15" customHeight="1" s="21">
      <c r="A2401" s="34" t="n"/>
      <c r="B2401" s="30" t="n"/>
      <c r="C2401" s="30" t="n"/>
      <c r="D2401" s="30" t="n"/>
      <c r="E2401" s="33">
        <f>IF(B2401="","",IFERROR(INDEX(Productos!$B$2:$B$501,MATCH(B2401,Productos!$A$2:$A$501,0)),"¿Código?"))</f>
        <v/>
      </c>
      <c r="F2401" s="32">
        <f>IF(C2401&lt;&gt;"Venta","",D2401*IFERROR(INDEX(Productos!$D$2:$D$501,MATCH(B2401,Productos!$A$2:$A$501,0)),0))</f>
        <v/>
      </c>
      <c r="G2401" s="32">
        <f>IF(C2401&lt;&gt;"Venta","",D2401*IFERROR(INDEX(Productos!$E$2:$E$501,MATCH(B2401,Productos!$A$2:$A$501,0)),0))</f>
        <v/>
      </c>
      <c r="H2401" s="33">
        <f>IF(A2401="","",MONTH(A2401))</f>
        <v/>
      </c>
      <c r="I2401" s="33">
        <f>IF(A2401="","",YEAR(A2401))</f>
        <v/>
      </c>
    </row>
    <row r="2402" ht="15" customHeight="1" s="21">
      <c r="A2402" s="34" t="n"/>
      <c r="B2402" s="30" t="n"/>
      <c r="C2402" s="30" t="n"/>
      <c r="D2402" s="30" t="n"/>
      <c r="E2402" s="33">
        <f>IF(B2402="","",IFERROR(INDEX(Productos!$B$2:$B$501,MATCH(B2402,Productos!$A$2:$A$501,0)),"¿Código?"))</f>
        <v/>
      </c>
      <c r="F2402" s="32">
        <f>IF(C2402&lt;&gt;"Venta","",D2402*IFERROR(INDEX(Productos!$D$2:$D$501,MATCH(B2402,Productos!$A$2:$A$501,0)),0))</f>
        <v/>
      </c>
      <c r="G2402" s="32">
        <f>IF(C2402&lt;&gt;"Venta","",D2402*IFERROR(INDEX(Productos!$E$2:$E$501,MATCH(B2402,Productos!$A$2:$A$501,0)),0))</f>
        <v/>
      </c>
      <c r="H2402" s="33">
        <f>IF(A2402="","",MONTH(A2402))</f>
        <v/>
      </c>
      <c r="I2402" s="33">
        <f>IF(A2402="","",YEAR(A2402))</f>
        <v/>
      </c>
    </row>
    <row r="2403" ht="15" customHeight="1" s="21">
      <c r="A2403" s="34" t="n"/>
      <c r="B2403" s="30" t="n"/>
      <c r="C2403" s="30" t="n"/>
      <c r="D2403" s="30" t="n"/>
      <c r="E2403" s="33">
        <f>IF(B2403="","",IFERROR(INDEX(Productos!$B$2:$B$501,MATCH(B2403,Productos!$A$2:$A$501,0)),"¿Código?"))</f>
        <v/>
      </c>
      <c r="F2403" s="32">
        <f>IF(C2403&lt;&gt;"Venta","",D2403*IFERROR(INDEX(Productos!$D$2:$D$501,MATCH(B2403,Productos!$A$2:$A$501,0)),0))</f>
        <v/>
      </c>
      <c r="G2403" s="32">
        <f>IF(C2403&lt;&gt;"Venta","",D2403*IFERROR(INDEX(Productos!$E$2:$E$501,MATCH(B2403,Productos!$A$2:$A$501,0)),0))</f>
        <v/>
      </c>
      <c r="H2403" s="33">
        <f>IF(A2403="","",MONTH(A2403))</f>
        <v/>
      </c>
      <c r="I2403" s="33">
        <f>IF(A2403="","",YEAR(A2403))</f>
        <v/>
      </c>
    </row>
    <row r="2404" ht="15" customHeight="1" s="21">
      <c r="A2404" s="34" t="n"/>
      <c r="B2404" s="30" t="n"/>
      <c r="C2404" s="30" t="n"/>
      <c r="D2404" s="30" t="n"/>
      <c r="E2404" s="33">
        <f>IF(B2404="","",IFERROR(INDEX(Productos!$B$2:$B$501,MATCH(B2404,Productos!$A$2:$A$501,0)),"¿Código?"))</f>
        <v/>
      </c>
      <c r="F2404" s="32">
        <f>IF(C2404&lt;&gt;"Venta","",D2404*IFERROR(INDEX(Productos!$D$2:$D$501,MATCH(B2404,Productos!$A$2:$A$501,0)),0))</f>
        <v/>
      </c>
      <c r="G2404" s="32">
        <f>IF(C2404&lt;&gt;"Venta","",D2404*IFERROR(INDEX(Productos!$E$2:$E$501,MATCH(B2404,Productos!$A$2:$A$501,0)),0))</f>
        <v/>
      </c>
      <c r="H2404" s="33">
        <f>IF(A2404="","",MONTH(A2404))</f>
        <v/>
      </c>
      <c r="I2404" s="33">
        <f>IF(A2404="","",YEAR(A2404))</f>
        <v/>
      </c>
    </row>
    <row r="2405" ht="15" customHeight="1" s="21">
      <c r="A2405" s="34" t="n"/>
      <c r="B2405" s="30" t="n"/>
      <c r="C2405" s="30" t="n"/>
      <c r="D2405" s="30" t="n"/>
      <c r="E2405" s="33">
        <f>IF(B2405="","",IFERROR(INDEX(Productos!$B$2:$B$501,MATCH(B2405,Productos!$A$2:$A$501,0)),"¿Código?"))</f>
        <v/>
      </c>
      <c r="F2405" s="32">
        <f>IF(C2405&lt;&gt;"Venta","",D2405*IFERROR(INDEX(Productos!$D$2:$D$501,MATCH(B2405,Productos!$A$2:$A$501,0)),0))</f>
        <v/>
      </c>
      <c r="G2405" s="32">
        <f>IF(C2405&lt;&gt;"Venta","",D2405*IFERROR(INDEX(Productos!$E$2:$E$501,MATCH(B2405,Productos!$A$2:$A$501,0)),0))</f>
        <v/>
      </c>
      <c r="H2405" s="33">
        <f>IF(A2405="","",MONTH(A2405))</f>
        <v/>
      </c>
      <c r="I2405" s="33">
        <f>IF(A2405="","",YEAR(A2405))</f>
        <v/>
      </c>
    </row>
    <row r="2406" ht="15" customHeight="1" s="21">
      <c r="A2406" s="34" t="n"/>
      <c r="B2406" s="30" t="n"/>
      <c r="C2406" s="30" t="n"/>
      <c r="D2406" s="30" t="n"/>
      <c r="E2406" s="33">
        <f>IF(B2406="","",IFERROR(INDEX(Productos!$B$2:$B$501,MATCH(B2406,Productos!$A$2:$A$501,0)),"¿Código?"))</f>
        <v/>
      </c>
      <c r="F2406" s="32">
        <f>IF(C2406&lt;&gt;"Venta","",D2406*IFERROR(INDEX(Productos!$D$2:$D$501,MATCH(B2406,Productos!$A$2:$A$501,0)),0))</f>
        <v/>
      </c>
      <c r="G2406" s="32">
        <f>IF(C2406&lt;&gt;"Venta","",D2406*IFERROR(INDEX(Productos!$E$2:$E$501,MATCH(B2406,Productos!$A$2:$A$501,0)),0))</f>
        <v/>
      </c>
      <c r="H2406" s="33">
        <f>IF(A2406="","",MONTH(A2406))</f>
        <v/>
      </c>
      <c r="I2406" s="33">
        <f>IF(A2406="","",YEAR(A2406))</f>
        <v/>
      </c>
    </row>
    <row r="2407" ht="15" customHeight="1" s="21">
      <c r="A2407" s="34" t="n"/>
      <c r="B2407" s="30" t="n"/>
      <c r="C2407" s="30" t="n"/>
      <c r="D2407" s="30" t="n"/>
      <c r="E2407" s="33">
        <f>IF(B2407="","",IFERROR(INDEX(Productos!$B$2:$B$501,MATCH(B2407,Productos!$A$2:$A$501,0)),"¿Código?"))</f>
        <v/>
      </c>
      <c r="F2407" s="32">
        <f>IF(C2407&lt;&gt;"Venta","",D2407*IFERROR(INDEX(Productos!$D$2:$D$501,MATCH(B2407,Productos!$A$2:$A$501,0)),0))</f>
        <v/>
      </c>
      <c r="G2407" s="32">
        <f>IF(C2407&lt;&gt;"Venta","",D2407*IFERROR(INDEX(Productos!$E$2:$E$501,MATCH(B2407,Productos!$A$2:$A$501,0)),0))</f>
        <v/>
      </c>
      <c r="H2407" s="33">
        <f>IF(A2407="","",MONTH(A2407))</f>
        <v/>
      </c>
      <c r="I2407" s="33">
        <f>IF(A2407="","",YEAR(A2407))</f>
        <v/>
      </c>
    </row>
    <row r="2408" ht="15" customHeight="1" s="21">
      <c r="A2408" s="34" t="n"/>
      <c r="B2408" s="30" t="n"/>
      <c r="C2408" s="30" t="n"/>
      <c r="D2408" s="30" t="n"/>
      <c r="E2408" s="33">
        <f>IF(B2408="","",IFERROR(INDEX(Productos!$B$2:$B$501,MATCH(B2408,Productos!$A$2:$A$501,0)),"¿Código?"))</f>
        <v/>
      </c>
      <c r="F2408" s="32">
        <f>IF(C2408&lt;&gt;"Venta","",D2408*IFERROR(INDEX(Productos!$D$2:$D$501,MATCH(B2408,Productos!$A$2:$A$501,0)),0))</f>
        <v/>
      </c>
      <c r="G2408" s="32">
        <f>IF(C2408&lt;&gt;"Venta","",D2408*IFERROR(INDEX(Productos!$E$2:$E$501,MATCH(B2408,Productos!$A$2:$A$501,0)),0))</f>
        <v/>
      </c>
      <c r="H2408" s="33">
        <f>IF(A2408="","",MONTH(A2408))</f>
        <v/>
      </c>
      <c r="I2408" s="33">
        <f>IF(A2408="","",YEAR(A2408))</f>
        <v/>
      </c>
    </row>
    <row r="2409" ht="15" customHeight="1" s="21">
      <c r="A2409" s="34" t="n"/>
      <c r="B2409" s="30" t="n"/>
      <c r="C2409" s="30" t="n"/>
      <c r="D2409" s="30" t="n"/>
      <c r="E2409" s="33">
        <f>IF(B2409="","",IFERROR(INDEX(Productos!$B$2:$B$501,MATCH(B2409,Productos!$A$2:$A$501,0)),"¿Código?"))</f>
        <v/>
      </c>
      <c r="F2409" s="32">
        <f>IF(C2409&lt;&gt;"Venta","",D2409*IFERROR(INDEX(Productos!$D$2:$D$501,MATCH(B2409,Productos!$A$2:$A$501,0)),0))</f>
        <v/>
      </c>
      <c r="G2409" s="32">
        <f>IF(C2409&lt;&gt;"Venta","",D2409*IFERROR(INDEX(Productos!$E$2:$E$501,MATCH(B2409,Productos!$A$2:$A$501,0)),0))</f>
        <v/>
      </c>
      <c r="H2409" s="33">
        <f>IF(A2409="","",MONTH(A2409))</f>
        <v/>
      </c>
      <c r="I2409" s="33">
        <f>IF(A2409="","",YEAR(A2409))</f>
        <v/>
      </c>
    </row>
    <row r="2410" ht="15" customHeight="1" s="21">
      <c r="A2410" s="34" t="n"/>
      <c r="B2410" s="30" t="n"/>
      <c r="C2410" s="30" t="n"/>
      <c r="D2410" s="30" t="n"/>
      <c r="E2410" s="33">
        <f>IF(B2410="","",IFERROR(INDEX(Productos!$B$2:$B$501,MATCH(B2410,Productos!$A$2:$A$501,0)),"¿Código?"))</f>
        <v/>
      </c>
      <c r="F2410" s="32">
        <f>IF(C2410&lt;&gt;"Venta","",D2410*IFERROR(INDEX(Productos!$D$2:$D$501,MATCH(B2410,Productos!$A$2:$A$501,0)),0))</f>
        <v/>
      </c>
      <c r="G2410" s="32">
        <f>IF(C2410&lt;&gt;"Venta","",D2410*IFERROR(INDEX(Productos!$E$2:$E$501,MATCH(B2410,Productos!$A$2:$A$501,0)),0))</f>
        <v/>
      </c>
      <c r="H2410" s="33">
        <f>IF(A2410="","",MONTH(A2410))</f>
        <v/>
      </c>
      <c r="I2410" s="33">
        <f>IF(A2410="","",YEAR(A2410))</f>
        <v/>
      </c>
    </row>
    <row r="2411" ht="15" customHeight="1" s="21">
      <c r="A2411" s="34" t="n"/>
      <c r="B2411" s="30" t="n"/>
      <c r="C2411" s="30" t="n"/>
      <c r="D2411" s="30" t="n"/>
      <c r="E2411" s="33">
        <f>IF(B2411="","",IFERROR(INDEX(Productos!$B$2:$B$501,MATCH(B2411,Productos!$A$2:$A$501,0)),"¿Código?"))</f>
        <v/>
      </c>
      <c r="F2411" s="32">
        <f>IF(C2411&lt;&gt;"Venta","",D2411*IFERROR(INDEX(Productos!$D$2:$D$501,MATCH(B2411,Productos!$A$2:$A$501,0)),0))</f>
        <v/>
      </c>
      <c r="G2411" s="32">
        <f>IF(C2411&lt;&gt;"Venta","",D2411*IFERROR(INDEX(Productos!$E$2:$E$501,MATCH(B2411,Productos!$A$2:$A$501,0)),0))</f>
        <v/>
      </c>
      <c r="H2411" s="33">
        <f>IF(A2411="","",MONTH(A2411))</f>
        <v/>
      </c>
      <c r="I2411" s="33">
        <f>IF(A2411="","",YEAR(A2411))</f>
        <v/>
      </c>
    </row>
    <row r="2412" ht="15" customHeight="1" s="21">
      <c r="A2412" s="34" t="n"/>
      <c r="B2412" s="30" t="n"/>
      <c r="C2412" s="30" t="n"/>
      <c r="D2412" s="30" t="n"/>
      <c r="E2412" s="33">
        <f>IF(B2412="","",IFERROR(INDEX(Productos!$B$2:$B$501,MATCH(B2412,Productos!$A$2:$A$501,0)),"¿Código?"))</f>
        <v/>
      </c>
      <c r="F2412" s="32">
        <f>IF(C2412&lt;&gt;"Venta","",D2412*IFERROR(INDEX(Productos!$D$2:$D$501,MATCH(B2412,Productos!$A$2:$A$501,0)),0))</f>
        <v/>
      </c>
      <c r="G2412" s="32">
        <f>IF(C2412&lt;&gt;"Venta","",D2412*IFERROR(INDEX(Productos!$E$2:$E$501,MATCH(B2412,Productos!$A$2:$A$501,0)),0))</f>
        <v/>
      </c>
      <c r="H2412" s="33">
        <f>IF(A2412="","",MONTH(A2412))</f>
        <v/>
      </c>
      <c r="I2412" s="33">
        <f>IF(A2412="","",YEAR(A2412))</f>
        <v/>
      </c>
    </row>
    <row r="2413" ht="15" customHeight="1" s="21">
      <c r="A2413" s="34" t="n"/>
      <c r="B2413" s="30" t="n"/>
      <c r="C2413" s="30" t="n"/>
      <c r="D2413" s="30" t="n"/>
      <c r="E2413" s="33">
        <f>IF(B2413="","",IFERROR(INDEX(Productos!$B$2:$B$501,MATCH(B2413,Productos!$A$2:$A$501,0)),"¿Código?"))</f>
        <v/>
      </c>
      <c r="F2413" s="32">
        <f>IF(C2413&lt;&gt;"Venta","",D2413*IFERROR(INDEX(Productos!$D$2:$D$501,MATCH(B2413,Productos!$A$2:$A$501,0)),0))</f>
        <v/>
      </c>
      <c r="G2413" s="32">
        <f>IF(C2413&lt;&gt;"Venta","",D2413*IFERROR(INDEX(Productos!$E$2:$E$501,MATCH(B2413,Productos!$A$2:$A$501,0)),0))</f>
        <v/>
      </c>
      <c r="H2413" s="33">
        <f>IF(A2413="","",MONTH(A2413))</f>
        <v/>
      </c>
      <c r="I2413" s="33">
        <f>IF(A2413="","",YEAR(A2413))</f>
        <v/>
      </c>
    </row>
    <row r="2414" ht="15" customHeight="1" s="21">
      <c r="A2414" s="34" t="n"/>
      <c r="B2414" s="30" t="n"/>
      <c r="C2414" s="30" t="n"/>
      <c r="D2414" s="30" t="n"/>
      <c r="E2414" s="33">
        <f>IF(B2414="","",IFERROR(INDEX(Productos!$B$2:$B$501,MATCH(B2414,Productos!$A$2:$A$501,0)),"¿Código?"))</f>
        <v/>
      </c>
      <c r="F2414" s="32">
        <f>IF(C2414&lt;&gt;"Venta","",D2414*IFERROR(INDEX(Productos!$D$2:$D$501,MATCH(B2414,Productos!$A$2:$A$501,0)),0))</f>
        <v/>
      </c>
      <c r="G2414" s="32">
        <f>IF(C2414&lt;&gt;"Venta","",D2414*IFERROR(INDEX(Productos!$E$2:$E$501,MATCH(B2414,Productos!$A$2:$A$501,0)),0))</f>
        <v/>
      </c>
      <c r="H2414" s="33">
        <f>IF(A2414="","",MONTH(A2414))</f>
        <v/>
      </c>
      <c r="I2414" s="33">
        <f>IF(A2414="","",YEAR(A2414))</f>
        <v/>
      </c>
    </row>
    <row r="2415" ht="15" customHeight="1" s="21">
      <c r="A2415" s="34" t="n"/>
      <c r="B2415" s="30" t="n"/>
      <c r="C2415" s="30" t="n"/>
      <c r="D2415" s="30" t="n"/>
      <c r="E2415" s="33">
        <f>IF(B2415="","",IFERROR(INDEX(Productos!$B$2:$B$501,MATCH(B2415,Productos!$A$2:$A$501,0)),"¿Código?"))</f>
        <v/>
      </c>
      <c r="F2415" s="32">
        <f>IF(C2415&lt;&gt;"Venta","",D2415*IFERROR(INDEX(Productos!$D$2:$D$501,MATCH(B2415,Productos!$A$2:$A$501,0)),0))</f>
        <v/>
      </c>
      <c r="G2415" s="32">
        <f>IF(C2415&lt;&gt;"Venta","",D2415*IFERROR(INDEX(Productos!$E$2:$E$501,MATCH(B2415,Productos!$A$2:$A$501,0)),0))</f>
        <v/>
      </c>
      <c r="H2415" s="33">
        <f>IF(A2415="","",MONTH(A2415))</f>
        <v/>
      </c>
      <c r="I2415" s="33">
        <f>IF(A2415="","",YEAR(A2415))</f>
        <v/>
      </c>
    </row>
    <row r="2416" ht="15" customHeight="1" s="21">
      <c r="A2416" s="34" t="n"/>
      <c r="B2416" s="30" t="n"/>
      <c r="C2416" s="30" t="n"/>
      <c r="D2416" s="30" t="n"/>
      <c r="E2416" s="33">
        <f>IF(B2416="","",IFERROR(INDEX(Productos!$B$2:$B$501,MATCH(B2416,Productos!$A$2:$A$501,0)),"¿Código?"))</f>
        <v/>
      </c>
      <c r="F2416" s="32">
        <f>IF(C2416&lt;&gt;"Venta","",D2416*IFERROR(INDEX(Productos!$D$2:$D$501,MATCH(B2416,Productos!$A$2:$A$501,0)),0))</f>
        <v/>
      </c>
      <c r="G2416" s="32">
        <f>IF(C2416&lt;&gt;"Venta","",D2416*IFERROR(INDEX(Productos!$E$2:$E$501,MATCH(B2416,Productos!$A$2:$A$501,0)),0))</f>
        <v/>
      </c>
      <c r="H2416" s="33">
        <f>IF(A2416="","",MONTH(A2416))</f>
        <v/>
      </c>
      <c r="I2416" s="33">
        <f>IF(A2416="","",YEAR(A2416))</f>
        <v/>
      </c>
    </row>
    <row r="2417" ht="15" customHeight="1" s="21">
      <c r="A2417" s="34" t="n"/>
      <c r="B2417" s="30" t="n"/>
      <c r="C2417" s="30" t="n"/>
      <c r="D2417" s="30" t="n"/>
      <c r="E2417" s="33">
        <f>IF(B2417="","",IFERROR(INDEX(Productos!$B$2:$B$501,MATCH(B2417,Productos!$A$2:$A$501,0)),"¿Código?"))</f>
        <v/>
      </c>
      <c r="F2417" s="32">
        <f>IF(C2417&lt;&gt;"Venta","",D2417*IFERROR(INDEX(Productos!$D$2:$D$501,MATCH(B2417,Productos!$A$2:$A$501,0)),0))</f>
        <v/>
      </c>
      <c r="G2417" s="32">
        <f>IF(C2417&lt;&gt;"Venta","",D2417*IFERROR(INDEX(Productos!$E$2:$E$501,MATCH(B2417,Productos!$A$2:$A$501,0)),0))</f>
        <v/>
      </c>
      <c r="H2417" s="33">
        <f>IF(A2417="","",MONTH(A2417))</f>
        <v/>
      </c>
      <c r="I2417" s="33">
        <f>IF(A2417="","",YEAR(A2417))</f>
        <v/>
      </c>
    </row>
    <row r="2418" ht="15" customHeight="1" s="21">
      <c r="A2418" s="34" t="n"/>
      <c r="B2418" s="30" t="n"/>
      <c r="C2418" s="30" t="n"/>
      <c r="D2418" s="30" t="n"/>
      <c r="E2418" s="33">
        <f>IF(B2418="","",IFERROR(INDEX(Productos!$B$2:$B$501,MATCH(B2418,Productos!$A$2:$A$501,0)),"¿Código?"))</f>
        <v/>
      </c>
      <c r="F2418" s="32">
        <f>IF(C2418&lt;&gt;"Venta","",D2418*IFERROR(INDEX(Productos!$D$2:$D$501,MATCH(B2418,Productos!$A$2:$A$501,0)),0))</f>
        <v/>
      </c>
      <c r="G2418" s="32">
        <f>IF(C2418&lt;&gt;"Venta","",D2418*IFERROR(INDEX(Productos!$E$2:$E$501,MATCH(B2418,Productos!$A$2:$A$501,0)),0))</f>
        <v/>
      </c>
      <c r="H2418" s="33">
        <f>IF(A2418="","",MONTH(A2418))</f>
        <v/>
      </c>
      <c r="I2418" s="33">
        <f>IF(A2418="","",YEAR(A2418))</f>
        <v/>
      </c>
    </row>
    <row r="2419" ht="15" customHeight="1" s="21">
      <c r="A2419" s="34" t="n"/>
      <c r="B2419" s="30" t="n"/>
      <c r="C2419" s="30" t="n"/>
      <c r="D2419" s="30" t="n"/>
      <c r="E2419" s="33">
        <f>IF(B2419="","",IFERROR(INDEX(Productos!$B$2:$B$501,MATCH(B2419,Productos!$A$2:$A$501,0)),"¿Código?"))</f>
        <v/>
      </c>
      <c r="F2419" s="32">
        <f>IF(C2419&lt;&gt;"Venta","",D2419*IFERROR(INDEX(Productos!$D$2:$D$501,MATCH(B2419,Productos!$A$2:$A$501,0)),0))</f>
        <v/>
      </c>
      <c r="G2419" s="32">
        <f>IF(C2419&lt;&gt;"Venta","",D2419*IFERROR(INDEX(Productos!$E$2:$E$501,MATCH(B2419,Productos!$A$2:$A$501,0)),0))</f>
        <v/>
      </c>
      <c r="H2419" s="33">
        <f>IF(A2419="","",MONTH(A2419))</f>
        <v/>
      </c>
      <c r="I2419" s="33">
        <f>IF(A2419="","",YEAR(A2419))</f>
        <v/>
      </c>
    </row>
    <row r="2420" ht="15" customHeight="1" s="21">
      <c r="A2420" s="34" t="n"/>
      <c r="B2420" s="30" t="n"/>
      <c r="C2420" s="30" t="n"/>
      <c r="D2420" s="30" t="n"/>
      <c r="E2420" s="33">
        <f>IF(B2420="","",IFERROR(INDEX(Productos!$B$2:$B$501,MATCH(B2420,Productos!$A$2:$A$501,0)),"¿Código?"))</f>
        <v/>
      </c>
      <c r="F2420" s="32">
        <f>IF(C2420&lt;&gt;"Venta","",D2420*IFERROR(INDEX(Productos!$D$2:$D$501,MATCH(B2420,Productos!$A$2:$A$501,0)),0))</f>
        <v/>
      </c>
      <c r="G2420" s="32">
        <f>IF(C2420&lt;&gt;"Venta","",D2420*IFERROR(INDEX(Productos!$E$2:$E$501,MATCH(B2420,Productos!$A$2:$A$501,0)),0))</f>
        <v/>
      </c>
      <c r="H2420" s="33">
        <f>IF(A2420="","",MONTH(A2420))</f>
        <v/>
      </c>
      <c r="I2420" s="33">
        <f>IF(A2420="","",YEAR(A2420))</f>
        <v/>
      </c>
    </row>
    <row r="2421" ht="15" customHeight="1" s="21">
      <c r="A2421" s="34" t="n"/>
      <c r="B2421" s="30" t="n"/>
      <c r="C2421" s="30" t="n"/>
      <c r="D2421" s="30" t="n"/>
      <c r="E2421" s="33">
        <f>IF(B2421="","",IFERROR(INDEX(Productos!$B$2:$B$501,MATCH(B2421,Productos!$A$2:$A$501,0)),"¿Código?"))</f>
        <v/>
      </c>
      <c r="F2421" s="32">
        <f>IF(C2421&lt;&gt;"Venta","",D2421*IFERROR(INDEX(Productos!$D$2:$D$501,MATCH(B2421,Productos!$A$2:$A$501,0)),0))</f>
        <v/>
      </c>
      <c r="G2421" s="32">
        <f>IF(C2421&lt;&gt;"Venta","",D2421*IFERROR(INDEX(Productos!$E$2:$E$501,MATCH(B2421,Productos!$A$2:$A$501,0)),0))</f>
        <v/>
      </c>
      <c r="H2421" s="33">
        <f>IF(A2421="","",MONTH(A2421))</f>
        <v/>
      </c>
      <c r="I2421" s="33">
        <f>IF(A2421="","",YEAR(A2421))</f>
        <v/>
      </c>
    </row>
    <row r="2422" ht="15" customHeight="1" s="21">
      <c r="A2422" s="34" t="n"/>
      <c r="B2422" s="30" t="n"/>
      <c r="C2422" s="30" t="n"/>
      <c r="D2422" s="30" t="n"/>
      <c r="E2422" s="33">
        <f>IF(B2422="","",IFERROR(INDEX(Productos!$B$2:$B$501,MATCH(B2422,Productos!$A$2:$A$501,0)),"¿Código?"))</f>
        <v/>
      </c>
      <c r="F2422" s="32">
        <f>IF(C2422&lt;&gt;"Venta","",D2422*IFERROR(INDEX(Productos!$D$2:$D$501,MATCH(B2422,Productos!$A$2:$A$501,0)),0))</f>
        <v/>
      </c>
      <c r="G2422" s="32">
        <f>IF(C2422&lt;&gt;"Venta","",D2422*IFERROR(INDEX(Productos!$E$2:$E$501,MATCH(B2422,Productos!$A$2:$A$501,0)),0))</f>
        <v/>
      </c>
      <c r="H2422" s="33">
        <f>IF(A2422="","",MONTH(A2422))</f>
        <v/>
      </c>
      <c r="I2422" s="33">
        <f>IF(A2422="","",YEAR(A2422))</f>
        <v/>
      </c>
    </row>
    <row r="2423" ht="15" customHeight="1" s="21">
      <c r="A2423" s="34" t="n"/>
      <c r="B2423" s="30" t="n"/>
      <c r="C2423" s="30" t="n"/>
      <c r="D2423" s="30" t="n"/>
      <c r="E2423" s="33">
        <f>IF(B2423="","",IFERROR(INDEX(Productos!$B$2:$B$501,MATCH(B2423,Productos!$A$2:$A$501,0)),"¿Código?"))</f>
        <v/>
      </c>
      <c r="F2423" s="32">
        <f>IF(C2423&lt;&gt;"Venta","",D2423*IFERROR(INDEX(Productos!$D$2:$D$501,MATCH(B2423,Productos!$A$2:$A$501,0)),0))</f>
        <v/>
      </c>
      <c r="G2423" s="32">
        <f>IF(C2423&lt;&gt;"Venta","",D2423*IFERROR(INDEX(Productos!$E$2:$E$501,MATCH(B2423,Productos!$A$2:$A$501,0)),0))</f>
        <v/>
      </c>
      <c r="H2423" s="33">
        <f>IF(A2423="","",MONTH(A2423))</f>
        <v/>
      </c>
      <c r="I2423" s="33">
        <f>IF(A2423="","",YEAR(A2423))</f>
        <v/>
      </c>
    </row>
    <row r="2424" ht="15" customHeight="1" s="21">
      <c r="A2424" s="34" t="n"/>
      <c r="B2424" s="30" t="n"/>
      <c r="C2424" s="30" t="n"/>
      <c r="D2424" s="30" t="n"/>
      <c r="E2424" s="33">
        <f>IF(B2424="","",IFERROR(INDEX(Productos!$B$2:$B$501,MATCH(B2424,Productos!$A$2:$A$501,0)),"¿Código?"))</f>
        <v/>
      </c>
      <c r="F2424" s="32">
        <f>IF(C2424&lt;&gt;"Venta","",D2424*IFERROR(INDEX(Productos!$D$2:$D$501,MATCH(B2424,Productos!$A$2:$A$501,0)),0))</f>
        <v/>
      </c>
      <c r="G2424" s="32">
        <f>IF(C2424&lt;&gt;"Venta","",D2424*IFERROR(INDEX(Productos!$E$2:$E$501,MATCH(B2424,Productos!$A$2:$A$501,0)),0))</f>
        <v/>
      </c>
      <c r="H2424" s="33">
        <f>IF(A2424="","",MONTH(A2424))</f>
        <v/>
      </c>
      <c r="I2424" s="33">
        <f>IF(A2424="","",YEAR(A2424))</f>
        <v/>
      </c>
    </row>
    <row r="2425" ht="15" customHeight="1" s="21">
      <c r="A2425" s="34" t="n"/>
      <c r="B2425" s="30" t="n"/>
      <c r="C2425" s="30" t="n"/>
      <c r="D2425" s="30" t="n"/>
      <c r="E2425" s="33">
        <f>IF(B2425="","",IFERROR(INDEX(Productos!$B$2:$B$501,MATCH(B2425,Productos!$A$2:$A$501,0)),"¿Código?"))</f>
        <v/>
      </c>
      <c r="F2425" s="32">
        <f>IF(C2425&lt;&gt;"Venta","",D2425*IFERROR(INDEX(Productos!$D$2:$D$501,MATCH(B2425,Productos!$A$2:$A$501,0)),0))</f>
        <v/>
      </c>
      <c r="G2425" s="32">
        <f>IF(C2425&lt;&gt;"Venta","",D2425*IFERROR(INDEX(Productos!$E$2:$E$501,MATCH(B2425,Productos!$A$2:$A$501,0)),0))</f>
        <v/>
      </c>
      <c r="H2425" s="33">
        <f>IF(A2425="","",MONTH(A2425))</f>
        <v/>
      </c>
      <c r="I2425" s="33">
        <f>IF(A2425="","",YEAR(A2425))</f>
        <v/>
      </c>
    </row>
    <row r="2426" ht="15" customHeight="1" s="21">
      <c r="A2426" s="34" t="n"/>
      <c r="B2426" s="30" t="n"/>
      <c r="C2426" s="30" t="n"/>
      <c r="D2426" s="30" t="n"/>
      <c r="E2426" s="33">
        <f>IF(B2426="","",IFERROR(INDEX(Productos!$B$2:$B$501,MATCH(B2426,Productos!$A$2:$A$501,0)),"¿Código?"))</f>
        <v/>
      </c>
      <c r="F2426" s="32">
        <f>IF(C2426&lt;&gt;"Venta","",D2426*IFERROR(INDEX(Productos!$D$2:$D$501,MATCH(B2426,Productos!$A$2:$A$501,0)),0))</f>
        <v/>
      </c>
      <c r="G2426" s="32">
        <f>IF(C2426&lt;&gt;"Venta","",D2426*IFERROR(INDEX(Productos!$E$2:$E$501,MATCH(B2426,Productos!$A$2:$A$501,0)),0))</f>
        <v/>
      </c>
      <c r="H2426" s="33">
        <f>IF(A2426="","",MONTH(A2426))</f>
        <v/>
      </c>
      <c r="I2426" s="33">
        <f>IF(A2426="","",YEAR(A2426))</f>
        <v/>
      </c>
    </row>
    <row r="2427" ht="15" customHeight="1" s="21">
      <c r="A2427" s="34" t="n"/>
      <c r="B2427" s="30" t="n"/>
      <c r="C2427" s="30" t="n"/>
      <c r="D2427" s="30" t="n"/>
      <c r="E2427" s="33">
        <f>IF(B2427="","",IFERROR(INDEX(Productos!$B$2:$B$501,MATCH(B2427,Productos!$A$2:$A$501,0)),"¿Código?"))</f>
        <v/>
      </c>
      <c r="F2427" s="32">
        <f>IF(C2427&lt;&gt;"Venta","",D2427*IFERROR(INDEX(Productos!$D$2:$D$501,MATCH(B2427,Productos!$A$2:$A$501,0)),0))</f>
        <v/>
      </c>
      <c r="G2427" s="32">
        <f>IF(C2427&lt;&gt;"Venta","",D2427*IFERROR(INDEX(Productos!$E$2:$E$501,MATCH(B2427,Productos!$A$2:$A$501,0)),0))</f>
        <v/>
      </c>
      <c r="H2427" s="33">
        <f>IF(A2427="","",MONTH(A2427))</f>
        <v/>
      </c>
      <c r="I2427" s="33">
        <f>IF(A2427="","",YEAR(A2427))</f>
        <v/>
      </c>
    </row>
    <row r="2428" ht="15" customHeight="1" s="21">
      <c r="A2428" s="34" t="n"/>
      <c r="B2428" s="30" t="n"/>
      <c r="C2428" s="30" t="n"/>
      <c r="D2428" s="30" t="n"/>
      <c r="E2428" s="33">
        <f>IF(B2428="","",IFERROR(INDEX(Productos!$B$2:$B$501,MATCH(B2428,Productos!$A$2:$A$501,0)),"¿Código?"))</f>
        <v/>
      </c>
      <c r="F2428" s="32">
        <f>IF(C2428&lt;&gt;"Venta","",D2428*IFERROR(INDEX(Productos!$D$2:$D$501,MATCH(B2428,Productos!$A$2:$A$501,0)),0))</f>
        <v/>
      </c>
      <c r="G2428" s="32">
        <f>IF(C2428&lt;&gt;"Venta","",D2428*IFERROR(INDEX(Productos!$E$2:$E$501,MATCH(B2428,Productos!$A$2:$A$501,0)),0))</f>
        <v/>
      </c>
      <c r="H2428" s="33">
        <f>IF(A2428="","",MONTH(A2428))</f>
        <v/>
      </c>
      <c r="I2428" s="33">
        <f>IF(A2428="","",YEAR(A2428))</f>
        <v/>
      </c>
    </row>
    <row r="2429" ht="15" customHeight="1" s="21">
      <c r="A2429" s="34" t="n"/>
      <c r="B2429" s="30" t="n"/>
      <c r="C2429" s="30" t="n"/>
      <c r="D2429" s="30" t="n"/>
      <c r="E2429" s="33">
        <f>IF(B2429="","",IFERROR(INDEX(Productos!$B$2:$B$501,MATCH(B2429,Productos!$A$2:$A$501,0)),"¿Código?"))</f>
        <v/>
      </c>
      <c r="F2429" s="32">
        <f>IF(C2429&lt;&gt;"Venta","",D2429*IFERROR(INDEX(Productos!$D$2:$D$501,MATCH(B2429,Productos!$A$2:$A$501,0)),0))</f>
        <v/>
      </c>
      <c r="G2429" s="32">
        <f>IF(C2429&lt;&gt;"Venta","",D2429*IFERROR(INDEX(Productos!$E$2:$E$501,MATCH(B2429,Productos!$A$2:$A$501,0)),0))</f>
        <v/>
      </c>
      <c r="H2429" s="33">
        <f>IF(A2429="","",MONTH(A2429))</f>
        <v/>
      </c>
      <c r="I2429" s="33">
        <f>IF(A2429="","",YEAR(A2429))</f>
        <v/>
      </c>
    </row>
    <row r="2430" ht="15" customHeight="1" s="21">
      <c r="A2430" s="34" t="n"/>
      <c r="B2430" s="30" t="n"/>
      <c r="C2430" s="30" t="n"/>
      <c r="D2430" s="30" t="n"/>
      <c r="E2430" s="33">
        <f>IF(B2430="","",IFERROR(INDEX(Productos!$B$2:$B$501,MATCH(B2430,Productos!$A$2:$A$501,0)),"¿Código?"))</f>
        <v/>
      </c>
      <c r="F2430" s="32">
        <f>IF(C2430&lt;&gt;"Venta","",D2430*IFERROR(INDEX(Productos!$D$2:$D$501,MATCH(B2430,Productos!$A$2:$A$501,0)),0))</f>
        <v/>
      </c>
      <c r="G2430" s="32">
        <f>IF(C2430&lt;&gt;"Venta","",D2430*IFERROR(INDEX(Productos!$E$2:$E$501,MATCH(B2430,Productos!$A$2:$A$501,0)),0))</f>
        <v/>
      </c>
      <c r="H2430" s="33">
        <f>IF(A2430="","",MONTH(A2430))</f>
        <v/>
      </c>
      <c r="I2430" s="33">
        <f>IF(A2430="","",YEAR(A2430))</f>
        <v/>
      </c>
    </row>
    <row r="2431" ht="15" customHeight="1" s="21">
      <c r="A2431" s="34" t="n"/>
      <c r="B2431" s="30" t="n"/>
      <c r="C2431" s="30" t="n"/>
      <c r="D2431" s="30" t="n"/>
      <c r="E2431" s="33">
        <f>IF(B2431="","",IFERROR(INDEX(Productos!$B$2:$B$501,MATCH(B2431,Productos!$A$2:$A$501,0)),"¿Código?"))</f>
        <v/>
      </c>
      <c r="F2431" s="32">
        <f>IF(C2431&lt;&gt;"Venta","",D2431*IFERROR(INDEX(Productos!$D$2:$D$501,MATCH(B2431,Productos!$A$2:$A$501,0)),0))</f>
        <v/>
      </c>
      <c r="G2431" s="32">
        <f>IF(C2431&lt;&gt;"Venta","",D2431*IFERROR(INDEX(Productos!$E$2:$E$501,MATCH(B2431,Productos!$A$2:$A$501,0)),0))</f>
        <v/>
      </c>
      <c r="H2431" s="33">
        <f>IF(A2431="","",MONTH(A2431))</f>
        <v/>
      </c>
      <c r="I2431" s="33">
        <f>IF(A2431="","",YEAR(A2431))</f>
        <v/>
      </c>
    </row>
    <row r="2432" ht="15" customHeight="1" s="21">
      <c r="A2432" s="34" t="n"/>
      <c r="B2432" s="30" t="n"/>
      <c r="C2432" s="30" t="n"/>
      <c r="D2432" s="30" t="n"/>
      <c r="E2432" s="33">
        <f>IF(B2432="","",IFERROR(INDEX(Productos!$B$2:$B$501,MATCH(B2432,Productos!$A$2:$A$501,0)),"¿Código?"))</f>
        <v/>
      </c>
      <c r="F2432" s="32">
        <f>IF(C2432&lt;&gt;"Venta","",D2432*IFERROR(INDEX(Productos!$D$2:$D$501,MATCH(B2432,Productos!$A$2:$A$501,0)),0))</f>
        <v/>
      </c>
      <c r="G2432" s="32">
        <f>IF(C2432&lt;&gt;"Venta","",D2432*IFERROR(INDEX(Productos!$E$2:$E$501,MATCH(B2432,Productos!$A$2:$A$501,0)),0))</f>
        <v/>
      </c>
      <c r="H2432" s="33">
        <f>IF(A2432="","",MONTH(A2432))</f>
        <v/>
      </c>
      <c r="I2432" s="33">
        <f>IF(A2432="","",YEAR(A2432))</f>
        <v/>
      </c>
    </row>
    <row r="2433" ht="15" customHeight="1" s="21">
      <c r="A2433" s="34" t="n"/>
      <c r="B2433" s="30" t="n"/>
      <c r="C2433" s="30" t="n"/>
      <c r="D2433" s="30" t="n"/>
      <c r="E2433" s="33">
        <f>IF(B2433="","",IFERROR(INDEX(Productos!$B$2:$B$501,MATCH(B2433,Productos!$A$2:$A$501,0)),"¿Código?"))</f>
        <v/>
      </c>
      <c r="F2433" s="32">
        <f>IF(C2433&lt;&gt;"Venta","",D2433*IFERROR(INDEX(Productos!$D$2:$D$501,MATCH(B2433,Productos!$A$2:$A$501,0)),0))</f>
        <v/>
      </c>
      <c r="G2433" s="32">
        <f>IF(C2433&lt;&gt;"Venta","",D2433*IFERROR(INDEX(Productos!$E$2:$E$501,MATCH(B2433,Productos!$A$2:$A$501,0)),0))</f>
        <v/>
      </c>
      <c r="H2433" s="33">
        <f>IF(A2433="","",MONTH(A2433))</f>
        <v/>
      </c>
      <c r="I2433" s="33">
        <f>IF(A2433="","",YEAR(A2433))</f>
        <v/>
      </c>
    </row>
    <row r="2434" ht="15" customHeight="1" s="21">
      <c r="A2434" s="34" t="n"/>
      <c r="B2434" s="30" t="n"/>
      <c r="C2434" s="30" t="n"/>
      <c r="D2434" s="30" t="n"/>
      <c r="E2434" s="33">
        <f>IF(B2434="","",IFERROR(INDEX(Productos!$B$2:$B$501,MATCH(B2434,Productos!$A$2:$A$501,0)),"¿Código?"))</f>
        <v/>
      </c>
      <c r="F2434" s="32">
        <f>IF(C2434&lt;&gt;"Venta","",D2434*IFERROR(INDEX(Productos!$D$2:$D$501,MATCH(B2434,Productos!$A$2:$A$501,0)),0))</f>
        <v/>
      </c>
      <c r="G2434" s="32">
        <f>IF(C2434&lt;&gt;"Venta","",D2434*IFERROR(INDEX(Productos!$E$2:$E$501,MATCH(B2434,Productos!$A$2:$A$501,0)),0))</f>
        <v/>
      </c>
      <c r="H2434" s="33">
        <f>IF(A2434="","",MONTH(A2434))</f>
        <v/>
      </c>
      <c r="I2434" s="33">
        <f>IF(A2434="","",YEAR(A2434))</f>
        <v/>
      </c>
    </row>
    <row r="2435" ht="15" customHeight="1" s="21">
      <c r="A2435" s="34" t="n"/>
      <c r="B2435" s="30" t="n"/>
      <c r="C2435" s="30" t="n"/>
      <c r="D2435" s="30" t="n"/>
      <c r="E2435" s="33">
        <f>IF(B2435="","",IFERROR(INDEX(Productos!$B$2:$B$501,MATCH(B2435,Productos!$A$2:$A$501,0)),"¿Código?"))</f>
        <v/>
      </c>
      <c r="F2435" s="32">
        <f>IF(C2435&lt;&gt;"Venta","",D2435*IFERROR(INDEX(Productos!$D$2:$D$501,MATCH(B2435,Productos!$A$2:$A$501,0)),0))</f>
        <v/>
      </c>
      <c r="G2435" s="32">
        <f>IF(C2435&lt;&gt;"Venta","",D2435*IFERROR(INDEX(Productos!$E$2:$E$501,MATCH(B2435,Productos!$A$2:$A$501,0)),0))</f>
        <v/>
      </c>
      <c r="H2435" s="33">
        <f>IF(A2435="","",MONTH(A2435))</f>
        <v/>
      </c>
      <c r="I2435" s="33">
        <f>IF(A2435="","",YEAR(A2435))</f>
        <v/>
      </c>
    </row>
    <row r="2436" ht="15" customHeight="1" s="21">
      <c r="A2436" s="34" t="n"/>
      <c r="B2436" s="30" t="n"/>
      <c r="C2436" s="30" t="n"/>
      <c r="D2436" s="30" t="n"/>
      <c r="E2436" s="33">
        <f>IF(B2436="","",IFERROR(INDEX(Productos!$B$2:$B$501,MATCH(B2436,Productos!$A$2:$A$501,0)),"¿Código?"))</f>
        <v/>
      </c>
      <c r="F2436" s="32">
        <f>IF(C2436&lt;&gt;"Venta","",D2436*IFERROR(INDEX(Productos!$D$2:$D$501,MATCH(B2436,Productos!$A$2:$A$501,0)),0))</f>
        <v/>
      </c>
      <c r="G2436" s="32">
        <f>IF(C2436&lt;&gt;"Venta","",D2436*IFERROR(INDEX(Productos!$E$2:$E$501,MATCH(B2436,Productos!$A$2:$A$501,0)),0))</f>
        <v/>
      </c>
      <c r="H2436" s="33">
        <f>IF(A2436="","",MONTH(A2436))</f>
        <v/>
      </c>
      <c r="I2436" s="33">
        <f>IF(A2436="","",YEAR(A2436))</f>
        <v/>
      </c>
    </row>
    <row r="2437" ht="15" customHeight="1" s="21">
      <c r="A2437" s="34" t="n"/>
      <c r="B2437" s="30" t="n"/>
      <c r="C2437" s="30" t="n"/>
      <c r="D2437" s="30" t="n"/>
      <c r="E2437" s="33">
        <f>IF(B2437="","",IFERROR(INDEX(Productos!$B$2:$B$501,MATCH(B2437,Productos!$A$2:$A$501,0)),"¿Código?"))</f>
        <v/>
      </c>
      <c r="F2437" s="32">
        <f>IF(C2437&lt;&gt;"Venta","",D2437*IFERROR(INDEX(Productos!$D$2:$D$501,MATCH(B2437,Productos!$A$2:$A$501,0)),0))</f>
        <v/>
      </c>
      <c r="G2437" s="32">
        <f>IF(C2437&lt;&gt;"Venta","",D2437*IFERROR(INDEX(Productos!$E$2:$E$501,MATCH(B2437,Productos!$A$2:$A$501,0)),0))</f>
        <v/>
      </c>
      <c r="H2437" s="33">
        <f>IF(A2437="","",MONTH(A2437))</f>
        <v/>
      </c>
      <c r="I2437" s="33">
        <f>IF(A2437="","",YEAR(A2437))</f>
        <v/>
      </c>
    </row>
    <row r="2438" ht="15" customHeight="1" s="21">
      <c r="A2438" s="34" t="n"/>
      <c r="B2438" s="30" t="n"/>
      <c r="C2438" s="30" t="n"/>
      <c r="D2438" s="30" t="n"/>
      <c r="E2438" s="33">
        <f>IF(B2438="","",IFERROR(INDEX(Productos!$B$2:$B$501,MATCH(B2438,Productos!$A$2:$A$501,0)),"¿Código?"))</f>
        <v/>
      </c>
      <c r="F2438" s="32">
        <f>IF(C2438&lt;&gt;"Venta","",D2438*IFERROR(INDEX(Productos!$D$2:$D$501,MATCH(B2438,Productos!$A$2:$A$501,0)),0))</f>
        <v/>
      </c>
      <c r="G2438" s="32">
        <f>IF(C2438&lt;&gt;"Venta","",D2438*IFERROR(INDEX(Productos!$E$2:$E$501,MATCH(B2438,Productos!$A$2:$A$501,0)),0))</f>
        <v/>
      </c>
      <c r="H2438" s="33">
        <f>IF(A2438="","",MONTH(A2438))</f>
        <v/>
      </c>
      <c r="I2438" s="33">
        <f>IF(A2438="","",YEAR(A2438))</f>
        <v/>
      </c>
    </row>
    <row r="2439" ht="15" customHeight="1" s="21">
      <c r="A2439" s="34" t="n"/>
      <c r="B2439" s="30" t="n"/>
      <c r="C2439" s="30" t="n"/>
      <c r="D2439" s="30" t="n"/>
      <c r="E2439" s="33">
        <f>IF(B2439="","",IFERROR(INDEX(Productos!$B$2:$B$501,MATCH(B2439,Productos!$A$2:$A$501,0)),"¿Código?"))</f>
        <v/>
      </c>
      <c r="F2439" s="32">
        <f>IF(C2439&lt;&gt;"Venta","",D2439*IFERROR(INDEX(Productos!$D$2:$D$501,MATCH(B2439,Productos!$A$2:$A$501,0)),0))</f>
        <v/>
      </c>
      <c r="G2439" s="32">
        <f>IF(C2439&lt;&gt;"Venta","",D2439*IFERROR(INDEX(Productos!$E$2:$E$501,MATCH(B2439,Productos!$A$2:$A$501,0)),0))</f>
        <v/>
      </c>
      <c r="H2439" s="33">
        <f>IF(A2439="","",MONTH(A2439))</f>
        <v/>
      </c>
      <c r="I2439" s="33">
        <f>IF(A2439="","",YEAR(A2439))</f>
        <v/>
      </c>
    </row>
    <row r="2440" ht="15" customHeight="1" s="21">
      <c r="A2440" s="34" t="n"/>
      <c r="B2440" s="30" t="n"/>
      <c r="C2440" s="30" t="n"/>
      <c r="D2440" s="30" t="n"/>
      <c r="E2440" s="33">
        <f>IF(B2440="","",IFERROR(INDEX(Productos!$B$2:$B$501,MATCH(B2440,Productos!$A$2:$A$501,0)),"¿Código?"))</f>
        <v/>
      </c>
      <c r="F2440" s="32">
        <f>IF(C2440&lt;&gt;"Venta","",D2440*IFERROR(INDEX(Productos!$D$2:$D$501,MATCH(B2440,Productos!$A$2:$A$501,0)),0))</f>
        <v/>
      </c>
      <c r="G2440" s="32">
        <f>IF(C2440&lt;&gt;"Venta","",D2440*IFERROR(INDEX(Productos!$E$2:$E$501,MATCH(B2440,Productos!$A$2:$A$501,0)),0))</f>
        <v/>
      </c>
      <c r="H2440" s="33">
        <f>IF(A2440="","",MONTH(A2440))</f>
        <v/>
      </c>
      <c r="I2440" s="33">
        <f>IF(A2440="","",YEAR(A2440))</f>
        <v/>
      </c>
    </row>
    <row r="2441" ht="15" customHeight="1" s="21">
      <c r="A2441" s="34" t="n"/>
      <c r="B2441" s="30" t="n"/>
      <c r="C2441" s="30" t="n"/>
      <c r="D2441" s="30" t="n"/>
      <c r="E2441" s="33">
        <f>IF(B2441="","",IFERROR(INDEX(Productos!$B$2:$B$501,MATCH(B2441,Productos!$A$2:$A$501,0)),"¿Código?"))</f>
        <v/>
      </c>
      <c r="F2441" s="32">
        <f>IF(C2441&lt;&gt;"Venta","",D2441*IFERROR(INDEX(Productos!$D$2:$D$501,MATCH(B2441,Productos!$A$2:$A$501,0)),0))</f>
        <v/>
      </c>
      <c r="G2441" s="32">
        <f>IF(C2441&lt;&gt;"Venta","",D2441*IFERROR(INDEX(Productos!$E$2:$E$501,MATCH(B2441,Productos!$A$2:$A$501,0)),0))</f>
        <v/>
      </c>
      <c r="H2441" s="33">
        <f>IF(A2441="","",MONTH(A2441))</f>
        <v/>
      </c>
      <c r="I2441" s="33">
        <f>IF(A2441="","",YEAR(A2441))</f>
        <v/>
      </c>
    </row>
    <row r="2442" ht="15" customHeight="1" s="21">
      <c r="A2442" s="34" t="n"/>
      <c r="B2442" s="30" t="n"/>
      <c r="C2442" s="30" t="n"/>
      <c r="D2442" s="30" t="n"/>
      <c r="E2442" s="33">
        <f>IF(B2442="","",IFERROR(INDEX(Productos!$B$2:$B$501,MATCH(B2442,Productos!$A$2:$A$501,0)),"¿Código?"))</f>
        <v/>
      </c>
      <c r="F2442" s="32">
        <f>IF(C2442&lt;&gt;"Venta","",D2442*IFERROR(INDEX(Productos!$D$2:$D$501,MATCH(B2442,Productos!$A$2:$A$501,0)),0))</f>
        <v/>
      </c>
      <c r="G2442" s="32">
        <f>IF(C2442&lt;&gt;"Venta","",D2442*IFERROR(INDEX(Productos!$E$2:$E$501,MATCH(B2442,Productos!$A$2:$A$501,0)),0))</f>
        <v/>
      </c>
      <c r="H2442" s="33">
        <f>IF(A2442="","",MONTH(A2442))</f>
        <v/>
      </c>
      <c r="I2442" s="33">
        <f>IF(A2442="","",YEAR(A2442))</f>
        <v/>
      </c>
    </row>
    <row r="2443" ht="15" customHeight="1" s="21">
      <c r="A2443" s="34" t="n"/>
      <c r="B2443" s="30" t="n"/>
      <c r="C2443" s="30" t="n"/>
      <c r="D2443" s="30" t="n"/>
      <c r="E2443" s="33">
        <f>IF(B2443="","",IFERROR(INDEX(Productos!$B$2:$B$501,MATCH(B2443,Productos!$A$2:$A$501,0)),"¿Código?"))</f>
        <v/>
      </c>
      <c r="F2443" s="32">
        <f>IF(C2443&lt;&gt;"Venta","",D2443*IFERROR(INDEX(Productos!$D$2:$D$501,MATCH(B2443,Productos!$A$2:$A$501,0)),0))</f>
        <v/>
      </c>
      <c r="G2443" s="32">
        <f>IF(C2443&lt;&gt;"Venta","",D2443*IFERROR(INDEX(Productos!$E$2:$E$501,MATCH(B2443,Productos!$A$2:$A$501,0)),0))</f>
        <v/>
      </c>
      <c r="H2443" s="33">
        <f>IF(A2443="","",MONTH(A2443))</f>
        <v/>
      </c>
      <c r="I2443" s="33">
        <f>IF(A2443="","",YEAR(A2443))</f>
        <v/>
      </c>
    </row>
    <row r="2444" ht="15" customHeight="1" s="21">
      <c r="A2444" s="34" t="n"/>
      <c r="B2444" s="30" t="n"/>
      <c r="C2444" s="30" t="n"/>
      <c r="D2444" s="30" t="n"/>
      <c r="E2444" s="33">
        <f>IF(B2444="","",IFERROR(INDEX(Productos!$B$2:$B$501,MATCH(B2444,Productos!$A$2:$A$501,0)),"¿Código?"))</f>
        <v/>
      </c>
      <c r="F2444" s="32">
        <f>IF(C2444&lt;&gt;"Venta","",D2444*IFERROR(INDEX(Productos!$D$2:$D$501,MATCH(B2444,Productos!$A$2:$A$501,0)),0))</f>
        <v/>
      </c>
      <c r="G2444" s="32">
        <f>IF(C2444&lt;&gt;"Venta","",D2444*IFERROR(INDEX(Productos!$E$2:$E$501,MATCH(B2444,Productos!$A$2:$A$501,0)),0))</f>
        <v/>
      </c>
      <c r="H2444" s="33">
        <f>IF(A2444="","",MONTH(A2444))</f>
        <v/>
      </c>
      <c r="I2444" s="33">
        <f>IF(A2444="","",YEAR(A2444))</f>
        <v/>
      </c>
    </row>
    <row r="2445" ht="15" customHeight="1" s="21">
      <c r="A2445" s="34" t="n"/>
      <c r="B2445" s="30" t="n"/>
      <c r="C2445" s="30" t="n"/>
      <c r="D2445" s="30" t="n"/>
      <c r="E2445" s="33">
        <f>IF(B2445="","",IFERROR(INDEX(Productos!$B$2:$B$501,MATCH(B2445,Productos!$A$2:$A$501,0)),"¿Código?"))</f>
        <v/>
      </c>
      <c r="F2445" s="32">
        <f>IF(C2445&lt;&gt;"Venta","",D2445*IFERROR(INDEX(Productos!$D$2:$D$501,MATCH(B2445,Productos!$A$2:$A$501,0)),0))</f>
        <v/>
      </c>
      <c r="G2445" s="32">
        <f>IF(C2445&lt;&gt;"Venta","",D2445*IFERROR(INDEX(Productos!$E$2:$E$501,MATCH(B2445,Productos!$A$2:$A$501,0)),0))</f>
        <v/>
      </c>
      <c r="H2445" s="33">
        <f>IF(A2445="","",MONTH(A2445))</f>
        <v/>
      </c>
      <c r="I2445" s="33">
        <f>IF(A2445="","",YEAR(A2445))</f>
        <v/>
      </c>
    </row>
    <row r="2446" ht="15" customHeight="1" s="21">
      <c r="A2446" s="34" t="n"/>
      <c r="B2446" s="30" t="n"/>
      <c r="C2446" s="30" t="n"/>
      <c r="D2446" s="30" t="n"/>
      <c r="E2446" s="33">
        <f>IF(B2446="","",IFERROR(INDEX(Productos!$B$2:$B$501,MATCH(B2446,Productos!$A$2:$A$501,0)),"¿Código?"))</f>
        <v/>
      </c>
      <c r="F2446" s="32">
        <f>IF(C2446&lt;&gt;"Venta","",D2446*IFERROR(INDEX(Productos!$D$2:$D$501,MATCH(B2446,Productos!$A$2:$A$501,0)),0))</f>
        <v/>
      </c>
      <c r="G2446" s="32">
        <f>IF(C2446&lt;&gt;"Venta","",D2446*IFERROR(INDEX(Productos!$E$2:$E$501,MATCH(B2446,Productos!$A$2:$A$501,0)),0))</f>
        <v/>
      </c>
      <c r="H2446" s="33">
        <f>IF(A2446="","",MONTH(A2446))</f>
        <v/>
      </c>
      <c r="I2446" s="33">
        <f>IF(A2446="","",YEAR(A2446))</f>
        <v/>
      </c>
    </row>
    <row r="2447" ht="15" customHeight="1" s="21">
      <c r="A2447" s="34" t="n"/>
      <c r="B2447" s="30" t="n"/>
      <c r="C2447" s="30" t="n"/>
      <c r="D2447" s="30" t="n"/>
      <c r="E2447" s="33">
        <f>IF(B2447="","",IFERROR(INDEX(Productos!$B$2:$B$501,MATCH(B2447,Productos!$A$2:$A$501,0)),"¿Código?"))</f>
        <v/>
      </c>
      <c r="F2447" s="32">
        <f>IF(C2447&lt;&gt;"Venta","",D2447*IFERROR(INDEX(Productos!$D$2:$D$501,MATCH(B2447,Productos!$A$2:$A$501,0)),0))</f>
        <v/>
      </c>
      <c r="G2447" s="32">
        <f>IF(C2447&lt;&gt;"Venta","",D2447*IFERROR(INDEX(Productos!$E$2:$E$501,MATCH(B2447,Productos!$A$2:$A$501,0)),0))</f>
        <v/>
      </c>
      <c r="H2447" s="33">
        <f>IF(A2447="","",MONTH(A2447))</f>
        <v/>
      </c>
      <c r="I2447" s="33">
        <f>IF(A2447="","",YEAR(A2447))</f>
        <v/>
      </c>
    </row>
    <row r="2448" ht="15" customHeight="1" s="21">
      <c r="A2448" s="34" t="n"/>
      <c r="B2448" s="30" t="n"/>
      <c r="C2448" s="30" t="n"/>
      <c r="D2448" s="30" t="n"/>
      <c r="E2448" s="33">
        <f>IF(B2448="","",IFERROR(INDEX(Productos!$B$2:$B$501,MATCH(B2448,Productos!$A$2:$A$501,0)),"¿Código?"))</f>
        <v/>
      </c>
      <c r="F2448" s="32">
        <f>IF(C2448&lt;&gt;"Venta","",D2448*IFERROR(INDEX(Productos!$D$2:$D$501,MATCH(B2448,Productos!$A$2:$A$501,0)),0))</f>
        <v/>
      </c>
      <c r="G2448" s="32">
        <f>IF(C2448&lt;&gt;"Venta","",D2448*IFERROR(INDEX(Productos!$E$2:$E$501,MATCH(B2448,Productos!$A$2:$A$501,0)),0))</f>
        <v/>
      </c>
      <c r="H2448" s="33">
        <f>IF(A2448="","",MONTH(A2448))</f>
        <v/>
      </c>
      <c r="I2448" s="33">
        <f>IF(A2448="","",YEAR(A2448))</f>
        <v/>
      </c>
    </row>
    <row r="2449" ht="15" customHeight="1" s="21">
      <c r="A2449" s="34" t="n"/>
      <c r="B2449" s="30" t="n"/>
      <c r="C2449" s="30" t="n"/>
      <c r="D2449" s="30" t="n"/>
      <c r="E2449" s="33">
        <f>IF(B2449="","",IFERROR(INDEX(Productos!$B$2:$B$501,MATCH(B2449,Productos!$A$2:$A$501,0)),"¿Código?"))</f>
        <v/>
      </c>
      <c r="F2449" s="32">
        <f>IF(C2449&lt;&gt;"Venta","",D2449*IFERROR(INDEX(Productos!$D$2:$D$501,MATCH(B2449,Productos!$A$2:$A$501,0)),0))</f>
        <v/>
      </c>
      <c r="G2449" s="32">
        <f>IF(C2449&lt;&gt;"Venta","",D2449*IFERROR(INDEX(Productos!$E$2:$E$501,MATCH(B2449,Productos!$A$2:$A$501,0)),0))</f>
        <v/>
      </c>
      <c r="H2449" s="33">
        <f>IF(A2449="","",MONTH(A2449))</f>
        <v/>
      </c>
      <c r="I2449" s="33">
        <f>IF(A2449="","",YEAR(A2449))</f>
        <v/>
      </c>
    </row>
    <row r="2450" ht="15" customHeight="1" s="21">
      <c r="A2450" s="34" t="n"/>
      <c r="B2450" s="30" t="n"/>
      <c r="C2450" s="30" t="n"/>
      <c r="D2450" s="30" t="n"/>
      <c r="E2450" s="33">
        <f>IF(B2450="","",IFERROR(INDEX(Productos!$B$2:$B$501,MATCH(B2450,Productos!$A$2:$A$501,0)),"¿Código?"))</f>
        <v/>
      </c>
      <c r="F2450" s="32">
        <f>IF(C2450&lt;&gt;"Venta","",D2450*IFERROR(INDEX(Productos!$D$2:$D$501,MATCH(B2450,Productos!$A$2:$A$501,0)),0))</f>
        <v/>
      </c>
      <c r="G2450" s="32">
        <f>IF(C2450&lt;&gt;"Venta","",D2450*IFERROR(INDEX(Productos!$E$2:$E$501,MATCH(B2450,Productos!$A$2:$A$501,0)),0))</f>
        <v/>
      </c>
      <c r="H2450" s="33">
        <f>IF(A2450="","",MONTH(A2450))</f>
        <v/>
      </c>
      <c r="I2450" s="33">
        <f>IF(A2450="","",YEAR(A2450))</f>
        <v/>
      </c>
    </row>
    <row r="2451" ht="15" customHeight="1" s="21">
      <c r="A2451" s="34" t="n"/>
      <c r="B2451" s="30" t="n"/>
      <c r="C2451" s="30" t="n"/>
      <c r="D2451" s="30" t="n"/>
      <c r="E2451" s="33">
        <f>IF(B2451="","",IFERROR(INDEX(Productos!$B$2:$B$501,MATCH(B2451,Productos!$A$2:$A$501,0)),"¿Código?"))</f>
        <v/>
      </c>
      <c r="F2451" s="32">
        <f>IF(C2451&lt;&gt;"Venta","",D2451*IFERROR(INDEX(Productos!$D$2:$D$501,MATCH(B2451,Productos!$A$2:$A$501,0)),0))</f>
        <v/>
      </c>
      <c r="G2451" s="32">
        <f>IF(C2451&lt;&gt;"Venta","",D2451*IFERROR(INDEX(Productos!$E$2:$E$501,MATCH(B2451,Productos!$A$2:$A$501,0)),0))</f>
        <v/>
      </c>
      <c r="H2451" s="33">
        <f>IF(A2451="","",MONTH(A2451))</f>
        <v/>
      </c>
      <c r="I2451" s="33">
        <f>IF(A2451="","",YEAR(A2451))</f>
        <v/>
      </c>
    </row>
    <row r="2452" ht="15" customHeight="1" s="21">
      <c r="A2452" s="34" t="n"/>
      <c r="B2452" s="30" t="n"/>
      <c r="C2452" s="30" t="n"/>
      <c r="D2452" s="30" t="n"/>
      <c r="E2452" s="33">
        <f>IF(B2452="","",IFERROR(INDEX(Productos!$B$2:$B$501,MATCH(B2452,Productos!$A$2:$A$501,0)),"¿Código?"))</f>
        <v/>
      </c>
      <c r="F2452" s="32">
        <f>IF(C2452&lt;&gt;"Venta","",D2452*IFERROR(INDEX(Productos!$D$2:$D$501,MATCH(B2452,Productos!$A$2:$A$501,0)),0))</f>
        <v/>
      </c>
      <c r="G2452" s="32">
        <f>IF(C2452&lt;&gt;"Venta","",D2452*IFERROR(INDEX(Productos!$E$2:$E$501,MATCH(B2452,Productos!$A$2:$A$501,0)),0))</f>
        <v/>
      </c>
      <c r="H2452" s="33">
        <f>IF(A2452="","",MONTH(A2452))</f>
        <v/>
      </c>
      <c r="I2452" s="33">
        <f>IF(A2452="","",YEAR(A2452))</f>
        <v/>
      </c>
    </row>
    <row r="2453" ht="15" customHeight="1" s="21">
      <c r="A2453" s="34" t="n"/>
      <c r="B2453" s="30" t="n"/>
      <c r="C2453" s="30" t="n"/>
      <c r="D2453" s="30" t="n"/>
      <c r="E2453" s="33">
        <f>IF(B2453="","",IFERROR(INDEX(Productos!$B$2:$B$501,MATCH(B2453,Productos!$A$2:$A$501,0)),"¿Código?"))</f>
        <v/>
      </c>
      <c r="F2453" s="32">
        <f>IF(C2453&lt;&gt;"Venta","",D2453*IFERROR(INDEX(Productos!$D$2:$D$501,MATCH(B2453,Productos!$A$2:$A$501,0)),0))</f>
        <v/>
      </c>
      <c r="G2453" s="32">
        <f>IF(C2453&lt;&gt;"Venta","",D2453*IFERROR(INDEX(Productos!$E$2:$E$501,MATCH(B2453,Productos!$A$2:$A$501,0)),0))</f>
        <v/>
      </c>
      <c r="H2453" s="33">
        <f>IF(A2453="","",MONTH(A2453))</f>
        <v/>
      </c>
      <c r="I2453" s="33">
        <f>IF(A2453="","",YEAR(A2453))</f>
        <v/>
      </c>
    </row>
    <row r="2454" ht="15" customHeight="1" s="21">
      <c r="A2454" s="34" t="n"/>
      <c r="B2454" s="30" t="n"/>
      <c r="C2454" s="30" t="n"/>
      <c r="D2454" s="30" t="n"/>
      <c r="E2454" s="33">
        <f>IF(B2454="","",IFERROR(INDEX(Productos!$B$2:$B$501,MATCH(B2454,Productos!$A$2:$A$501,0)),"¿Código?"))</f>
        <v/>
      </c>
      <c r="F2454" s="32">
        <f>IF(C2454&lt;&gt;"Venta","",D2454*IFERROR(INDEX(Productos!$D$2:$D$501,MATCH(B2454,Productos!$A$2:$A$501,0)),0))</f>
        <v/>
      </c>
      <c r="G2454" s="32">
        <f>IF(C2454&lt;&gt;"Venta","",D2454*IFERROR(INDEX(Productos!$E$2:$E$501,MATCH(B2454,Productos!$A$2:$A$501,0)),0))</f>
        <v/>
      </c>
      <c r="H2454" s="33">
        <f>IF(A2454="","",MONTH(A2454))</f>
        <v/>
      </c>
      <c r="I2454" s="33">
        <f>IF(A2454="","",YEAR(A2454))</f>
        <v/>
      </c>
    </row>
    <row r="2455" ht="15" customHeight="1" s="21">
      <c r="A2455" s="34" t="n"/>
      <c r="B2455" s="30" t="n"/>
      <c r="C2455" s="30" t="n"/>
      <c r="D2455" s="30" t="n"/>
      <c r="E2455" s="33">
        <f>IF(B2455="","",IFERROR(INDEX(Productos!$B$2:$B$501,MATCH(B2455,Productos!$A$2:$A$501,0)),"¿Código?"))</f>
        <v/>
      </c>
      <c r="F2455" s="32">
        <f>IF(C2455&lt;&gt;"Venta","",D2455*IFERROR(INDEX(Productos!$D$2:$D$501,MATCH(B2455,Productos!$A$2:$A$501,0)),0))</f>
        <v/>
      </c>
      <c r="G2455" s="32">
        <f>IF(C2455&lt;&gt;"Venta","",D2455*IFERROR(INDEX(Productos!$E$2:$E$501,MATCH(B2455,Productos!$A$2:$A$501,0)),0))</f>
        <v/>
      </c>
      <c r="H2455" s="33">
        <f>IF(A2455="","",MONTH(A2455))</f>
        <v/>
      </c>
      <c r="I2455" s="33">
        <f>IF(A2455="","",YEAR(A2455))</f>
        <v/>
      </c>
    </row>
    <row r="2456" ht="15" customHeight="1" s="21">
      <c r="A2456" s="34" t="n"/>
      <c r="B2456" s="30" t="n"/>
      <c r="C2456" s="30" t="n"/>
      <c r="D2456" s="30" t="n"/>
      <c r="E2456" s="33">
        <f>IF(B2456="","",IFERROR(INDEX(Productos!$B$2:$B$501,MATCH(B2456,Productos!$A$2:$A$501,0)),"¿Código?"))</f>
        <v/>
      </c>
      <c r="F2456" s="32">
        <f>IF(C2456&lt;&gt;"Venta","",D2456*IFERROR(INDEX(Productos!$D$2:$D$501,MATCH(B2456,Productos!$A$2:$A$501,0)),0))</f>
        <v/>
      </c>
      <c r="G2456" s="32">
        <f>IF(C2456&lt;&gt;"Venta","",D2456*IFERROR(INDEX(Productos!$E$2:$E$501,MATCH(B2456,Productos!$A$2:$A$501,0)),0))</f>
        <v/>
      </c>
      <c r="H2456" s="33">
        <f>IF(A2456="","",MONTH(A2456))</f>
        <v/>
      </c>
      <c r="I2456" s="33">
        <f>IF(A2456="","",YEAR(A2456))</f>
        <v/>
      </c>
    </row>
    <row r="2457" ht="15" customHeight="1" s="21">
      <c r="A2457" s="34" t="n"/>
      <c r="B2457" s="30" t="n"/>
      <c r="C2457" s="30" t="n"/>
      <c r="D2457" s="30" t="n"/>
      <c r="E2457" s="33">
        <f>IF(B2457="","",IFERROR(INDEX(Productos!$B$2:$B$501,MATCH(B2457,Productos!$A$2:$A$501,0)),"¿Código?"))</f>
        <v/>
      </c>
      <c r="F2457" s="32">
        <f>IF(C2457&lt;&gt;"Venta","",D2457*IFERROR(INDEX(Productos!$D$2:$D$501,MATCH(B2457,Productos!$A$2:$A$501,0)),0))</f>
        <v/>
      </c>
      <c r="G2457" s="32">
        <f>IF(C2457&lt;&gt;"Venta","",D2457*IFERROR(INDEX(Productos!$E$2:$E$501,MATCH(B2457,Productos!$A$2:$A$501,0)),0))</f>
        <v/>
      </c>
      <c r="H2457" s="33">
        <f>IF(A2457="","",MONTH(A2457))</f>
        <v/>
      </c>
      <c r="I2457" s="33">
        <f>IF(A2457="","",YEAR(A2457))</f>
        <v/>
      </c>
    </row>
    <row r="2458" ht="15" customHeight="1" s="21">
      <c r="A2458" s="34" t="n"/>
      <c r="B2458" s="30" t="n"/>
      <c r="C2458" s="30" t="n"/>
      <c r="D2458" s="30" t="n"/>
      <c r="E2458" s="33">
        <f>IF(B2458="","",IFERROR(INDEX(Productos!$B$2:$B$501,MATCH(B2458,Productos!$A$2:$A$501,0)),"¿Código?"))</f>
        <v/>
      </c>
      <c r="F2458" s="32">
        <f>IF(C2458&lt;&gt;"Venta","",D2458*IFERROR(INDEX(Productos!$D$2:$D$501,MATCH(B2458,Productos!$A$2:$A$501,0)),0))</f>
        <v/>
      </c>
      <c r="G2458" s="32">
        <f>IF(C2458&lt;&gt;"Venta","",D2458*IFERROR(INDEX(Productos!$E$2:$E$501,MATCH(B2458,Productos!$A$2:$A$501,0)),0))</f>
        <v/>
      </c>
      <c r="H2458" s="33">
        <f>IF(A2458="","",MONTH(A2458))</f>
        <v/>
      </c>
      <c r="I2458" s="33">
        <f>IF(A2458="","",YEAR(A2458))</f>
        <v/>
      </c>
    </row>
    <row r="2459" ht="15" customHeight="1" s="21">
      <c r="A2459" s="34" t="n"/>
      <c r="B2459" s="30" t="n"/>
      <c r="C2459" s="30" t="n"/>
      <c r="D2459" s="30" t="n"/>
      <c r="E2459" s="33">
        <f>IF(B2459="","",IFERROR(INDEX(Productos!$B$2:$B$501,MATCH(B2459,Productos!$A$2:$A$501,0)),"¿Código?"))</f>
        <v/>
      </c>
      <c r="F2459" s="32">
        <f>IF(C2459&lt;&gt;"Venta","",D2459*IFERROR(INDEX(Productos!$D$2:$D$501,MATCH(B2459,Productos!$A$2:$A$501,0)),0))</f>
        <v/>
      </c>
      <c r="G2459" s="32">
        <f>IF(C2459&lt;&gt;"Venta","",D2459*IFERROR(INDEX(Productos!$E$2:$E$501,MATCH(B2459,Productos!$A$2:$A$501,0)),0))</f>
        <v/>
      </c>
      <c r="H2459" s="33">
        <f>IF(A2459="","",MONTH(A2459))</f>
        <v/>
      </c>
      <c r="I2459" s="33">
        <f>IF(A2459="","",YEAR(A2459))</f>
        <v/>
      </c>
    </row>
    <row r="2460" ht="15" customHeight="1" s="21">
      <c r="A2460" s="34" t="n"/>
      <c r="B2460" s="30" t="n"/>
      <c r="C2460" s="30" t="n"/>
      <c r="D2460" s="30" t="n"/>
      <c r="E2460" s="33">
        <f>IF(B2460="","",IFERROR(INDEX(Productos!$B$2:$B$501,MATCH(B2460,Productos!$A$2:$A$501,0)),"¿Código?"))</f>
        <v/>
      </c>
      <c r="F2460" s="32">
        <f>IF(C2460&lt;&gt;"Venta","",D2460*IFERROR(INDEX(Productos!$D$2:$D$501,MATCH(B2460,Productos!$A$2:$A$501,0)),0))</f>
        <v/>
      </c>
      <c r="G2460" s="32">
        <f>IF(C2460&lt;&gt;"Venta","",D2460*IFERROR(INDEX(Productos!$E$2:$E$501,MATCH(B2460,Productos!$A$2:$A$501,0)),0))</f>
        <v/>
      </c>
      <c r="H2460" s="33">
        <f>IF(A2460="","",MONTH(A2460))</f>
        <v/>
      </c>
      <c r="I2460" s="33">
        <f>IF(A2460="","",YEAR(A2460))</f>
        <v/>
      </c>
    </row>
    <row r="2461" ht="15" customHeight="1" s="21">
      <c r="A2461" s="34" t="n"/>
      <c r="B2461" s="30" t="n"/>
      <c r="C2461" s="30" t="n"/>
      <c r="D2461" s="30" t="n"/>
      <c r="E2461" s="33">
        <f>IF(B2461="","",IFERROR(INDEX(Productos!$B$2:$B$501,MATCH(B2461,Productos!$A$2:$A$501,0)),"¿Código?"))</f>
        <v/>
      </c>
      <c r="F2461" s="32">
        <f>IF(C2461&lt;&gt;"Venta","",D2461*IFERROR(INDEX(Productos!$D$2:$D$501,MATCH(B2461,Productos!$A$2:$A$501,0)),0))</f>
        <v/>
      </c>
      <c r="G2461" s="32">
        <f>IF(C2461&lt;&gt;"Venta","",D2461*IFERROR(INDEX(Productos!$E$2:$E$501,MATCH(B2461,Productos!$A$2:$A$501,0)),0))</f>
        <v/>
      </c>
      <c r="H2461" s="33">
        <f>IF(A2461="","",MONTH(A2461))</f>
        <v/>
      </c>
      <c r="I2461" s="33">
        <f>IF(A2461="","",YEAR(A2461))</f>
        <v/>
      </c>
    </row>
    <row r="2462" ht="15" customHeight="1" s="21">
      <c r="A2462" s="34" t="n"/>
      <c r="B2462" s="30" t="n"/>
      <c r="C2462" s="30" t="n"/>
      <c r="D2462" s="30" t="n"/>
      <c r="E2462" s="33">
        <f>IF(B2462="","",IFERROR(INDEX(Productos!$B$2:$B$501,MATCH(B2462,Productos!$A$2:$A$501,0)),"¿Código?"))</f>
        <v/>
      </c>
      <c r="F2462" s="32">
        <f>IF(C2462&lt;&gt;"Venta","",D2462*IFERROR(INDEX(Productos!$D$2:$D$501,MATCH(B2462,Productos!$A$2:$A$501,0)),0))</f>
        <v/>
      </c>
      <c r="G2462" s="32">
        <f>IF(C2462&lt;&gt;"Venta","",D2462*IFERROR(INDEX(Productos!$E$2:$E$501,MATCH(B2462,Productos!$A$2:$A$501,0)),0))</f>
        <v/>
      </c>
      <c r="H2462" s="33">
        <f>IF(A2462="","",MONTH(A2462))</f>
        <v/>
      </c>
      <c r="I2462" s="33">
        <f>IF(A2462="","",YEAR(A2462))</f>
        <v/>
      </c>
    </row>
    <row r="2463" ht="15" customHeight="1" s="21">
      <c r="A2463" s="34" t="n"/>
      <c r="B2463" s="30" t="n"/>
      <c r="C2463" s="30" t="n"/>
      <c r="D2463" s="30" t="n"/>
      <c r="E2463" s="33">
        <f>IF(B2463="","",IFERROR(INDEX(Productos!$B$2:$B$501,MATCH(B2463,Productos!$A$2:$A$501,0)),"¿Código?"))</f>
        <v/>
      </c>
      <c r="F2463" s="32">
        <f>IF(C2463&lt;&gt;"Venta","",D2463*IFERROR(INDEX(Productos!$D$2:$D$501,MATCH(B2463,Productos!$A$2:$A$501,0)),0))</f>
        <v/>
      </c>
      <c r="G2463" s="32">
        <f>IF(C2463&lt;&gt;"Venta","",D2463*IFERROR(INDEX(Productos!$E$2:$E$501,MATCH(B2463,Productos!$A$2:$A$501,0)),0))</f>
        <v/>
      </c>
      <c r="H2463" s="33">
        <f>IF(A2463="","",MONTH(A2463))</f>
        <v/>
      </c>
      <c r="I2463" s="33">
        <f>IF(A2463="","",YEAR(A2463))</f>
        <v/>
      </c>
    </row>
    <row r="2464" ht="15" customHeight="1" s="21">
      <c r="A2464" s="34" t="n"/>
      <c r="B2464" s="30" t="n"/>
      <c r="C2464" s="30" t="n"/>
      <c r="D2464" s="30" t="n"/>
      <c r="E2464" s="33">
        <f>IF(B2464="","",IFERROR(INDEX(Productos!$B$2:$B$501,MATCH(B2464,Productos!$A$2:$A$501,0)),"¿Código?"))</f>
        <v/>
      </c>
      <c r="F2464" s="32">
        <f>IF(C2464&lt;&gt;"Venta","",D2464*IFERROR(INDEX(Productos!$D$2:$D$501,MATCH(B2464,Productos!$A$2:$A$501,0)),0))</f>
        <v/>
      </c>
      <c r="G2464" s="32">
        <f>IF(C2464&lt;&gt;"Venta","",D2464*IFERROR(INDEX(Productos!$E$2:$E$501,MATCH(B2464,Productos!$A$2:$A$501,0)),0))</f>
        <v/>
      </c>
      <c r="H2464" s="33">
        <f>IF(A2464="","",MONTH(A2464))</f>
        <v/>
      </c>
      <c r="I2464" s="33">
        <f>IF(A2464="","",YEAR(A2464))</f>
        <v/>
      </c>
    </row>
    <row r="2465" ht="15" customHeight="1" s="21">
      <c r="A2465" s="34" t="n"/>
      <c r="B2465" s="30" t="n"/>
      <c r="C2465" s="30" t="n"/>
      <c r="D2465" s="30" t="n"/>
      <c r="E2465" s="33">
        <f>IF(B2465="","",IFERROR(INDEX(Productos!$B$2:$B$501,MATCH(B2465,Productos!$A$2:$A$501,0)),"¿Código?"))</f>
        <v/>
      </c>
      <c r="F2465" s="32">
        <f>IF(C2465&lt;&gt;"Venta","",D2465*IFERROR(INDEX(Productos!$D$2:$D$501,MATCH(B2465,Productos!$A$2:$A$501,0)),0))</f>
        <v/>
      </c>
      <c r="G2465" s="32">
        <f>IF(C2465&lt;&gt;"Venta","",D2465*IFERROR(INDEX(Productos!$E$2:$E$501,MATCH(B2465,Productos!$A$2:$A$501,0)),0))</f>
        <v/>
      </c>
      <c r="H2465" s="33">
        <f>IF(A2465="","",MONTH(A2465))</f>
        <v/>
      </c>
      <c r="I2465" s="33">
        <f>IF(A2465="","",YEAR(A2465))</f>
        <v/>
      </c>
    </row>
    <row r="2466" ht="15" customHeight="1" s="21">
      <c r="A2466" s="34" t="n"/>
      <c r="B2466" s="30" t="n"/>
      <c r="C2466" s="30" t="n"/>
      <c r="D2466" s="30" t="n"/>
      <c r="E2466" s="33">
        <f>IF(B2466="","",IFERROR(INDEX(Productos!$B$2:$B$501,MATCH(B2466,Productos!$A$2:$A$501,0)),"¿Código?"))</f>
        <v/>
      </c>
      <c r="F2466" s="32">
        <f>IF(C2466&lt;&gt;"Venta","",D2466*IFERROR(INDEX(Productos!$D$2:$D$501,MATCH(B2466,Productos!$A$2:$A$501,0)),0))</f>
        <v/>
      </c>
      <c r="G2466" s="32">
        <f>IF(C2466&lt;&gt;"Venta","",D2466*IFERROR(INDEX(Productos!$E$2:$E$501,MATCH(B2466,Productos!$A$2:$A$501,0)),0))</f>
        <v/>
      </c>
      <c r="H2466" s="33">
        <f>IF(A2466="","",MONTH(A2466))</f>
        <v/>
      </c>
      <c r="I2466" s="33">
        <f>IF(A2466="","",YEAR(A2466))</f>
        <v/>
      </c>
    </row>
    <row r="2467" ht="15" customHeight="1" s="21">
      <c r="A2467" s="34" t="n"/>
      <c r="B2467" s="30" t="n"/>
      <c r="C2467" s="30" t="n"/>
      <c r="D2467" s="30" t="n"/>
      <c r="E2467" s="33">
        <f>IF(B2467="","",IFERROR(INDEX(Productos!$B$2:$B$501,MATCH(B2467,Productos!$A$2:$A$501,0)),"¿Código?"))</f>
        <v/>
      </c>
      <c r="F2467" s="32">
        <f>IF(C2467&lt;&gt;"Venta","",D2467*IFERROR(INDEX(Productos!$D$2:$D$501,MATCH(B2467,Productos!$A$2:$A$501,0)),0))</f>
        <v/>
      </c>
      <c r="G2467" s="32">
        <f>IF(C2467&lt;&gt;"Venta","",D2467*IFERROR(INDEX(Productos!$E$2:$E$501,MATCH(B2467,Productos!$A$2:$A$501,0)),0))</f>
        <v/>
      </c>
      <c r="H2467" s="33">
        <f>IF(A2467="","",MONTH(A2467))</f>
        <v/>
      </c>
      <c r="I2467" s="33">
        <f>IF(A2467="","",YEAR(A2467))</f>
        <v/>
      </c>
    </row>
    <row r="2468" ht="15" customHeight="1" s="21">
      <c r="A2468" s="34" t="n"/>
      <c r="B2468" s="30" t="n"/>
      <c r="C2468" s="30" t="n"/>
      <c r="D2468" s="30" t="n"/>
      <c r="E2468" s="33">
        <f>IF(B2468="","",IFERROR(INDEX(Productos!$B$2:$B$501,MATCH(B2468,Productos!$A$2:$A$501,0)),"¿Código?"))</f>
        <v/>
      </c>
      <c r="F2468" s="32">
        <f>IF(C2468&lt;&gt;"Venta","",D2468*IFERROR(INDEX(Productos!$D$2:$D$501,MATCH(B2468,Productos!$A$2:$A$501,0)),0))</f>
        <v/>
      </c>
      <c r="G2468" s="32">
        <f>IF(C2468&lt;&gt;"Venta","",D2468*IFERROR(INDEX(Productos!$E$2:$E$501,MATCH(B2468,Productos!$A$2:$A$501,0)),0))</f>
        <v/>
      </c>
      <c r="H2468" s="33">
        <f>IF(A2468="","",MONTH(A2468))</f>
        <v/>
      </c>
      <c r="I2468" s="33">
        <f>IF(A2468="","",YEAR(A2468))</f>
        <v/>
      </c>
    </row>
    <row r="2469" ht="15" customHeight="1" s="21">
      <c r="A2469" s="34" t="n"/>
      <c r="B2469" s="30" t="n"/>
      <c r="C2469" s="30" t="n"/>
      <c r="D2469" s="30" t="n"/>
      <c r="E2469" s="33">
        <f>IF(B2469="","",IFERROR(INDEX(Productos!$B$2:$B$501,MATCH(B2469,Productos!$A$2:$A$501,0)),"¿Código?"))</f>
        <v/>
      </c>
      <c r="F2469" s="32">
        <f>IF(C2469&lt;&gt;"Venta","",D2469*IFERROR(INDEX(Productos!$D$2:$D$501,MATCH(B2469,Productos!$A$2:$A$501,0)),0))</f>
        <v/>
      </c>
      <c r="G2469" s="32">
        <f>IF(C2469&lt;&gt;"Venta","",D2469*IFERROR(INDEX(Productos!$E$2:$E$501,MATCH(B2469,Productos!$A$2:$A$501,0)),0))</f>
        <v/>
      </c>
      <c r="H2469" s="33">
        <f>IF(A2469="","",MONTH(A2469))</f>
        <v/>
      </c>
      <c r="I2469" s="33">
        <f>IF(A2469="","",YEAR(A2469))</f>
        <v/>
      </c>
    </row>
    <row r="2470" ht="15" customHeight="1" s="21">
      <c r="A2470" s="34" t="n"/>
      <c r="B2470" s="30" t="n"/>
      <c r="C2470" s="30" t="n"/>
      <c r="D2470" s="30" t="n"/>
      <c r="E2470" s="33">
        <f>IF(B2470="","",IFERROR(INDEX(Productos!$B$2:$B$501,MATCH(B2470,Productos!$A$2:$A$501,0)),"¿Código?"))</f>
        <v/>
      </c>
      <c r="F2470" s="32">
        <f>IF(C2470&lt;&gt;"Venta","",D2470*IFERROR(INDEX(Productos!$D$2:$D$501,MATCH(B2470,Productos!$A$2:$A$501,0)),0))</f>
        <v/>
      </c>
      <c r="G2470" s="32">
        <f>IF(C2470&lt;&gt;"Venta","",D2470*IFERROR(INDEX(Productos!$E$2:$E$501,MATCH(B2470,Productos!$A$2:$A$501,0)),0))</f>
        <v/>
      </c>
      <c r="H2470" s="33">
        <f>IF(A2470="","",MONTH(A2470))</f>
        <v/>
      </c>
      <c r="I2470" s="33">
        <f>IF(A2470="","",YEAR(A2470))</f>
        <v/>
      </c>
    </row>
    <row r="2471" ht="15" customHeight="1" s="21">
      <c r="A2471" s="34" t="n"/>
      <c r="B2471" s="30" t="n"/>
      <c r="C2471" s="30" t="n"/>
      <c r="D2471" s="30" t="n"/>
      <c r="E2471" s="33">
        <f>IF(B2471="","",IFERROR(INDEX(Productos!$B$2:$B$501,MATCH(B2471,Productos!$A$2:$A$501,0)),"¿Código?"))</f>
        <v/>
      </c>
      <c r="F2471" s="32">
        <f>IF(C2471&lt;&gt;"Venta","",D2471*IFERROR(INDEX(Productos!$D$2:$D$501,MATCH(B2471,Productos!$A$2:$A$501,0)),0))</f>
        <v/>
      </c>
      <c r="G2471" s="32">
        <f>IF(C2471&lt;&gt;"Venta","",D2471*IFERROR(INDEX(Productos!$E$2:$E$501,MATCH(B2471,Productos!$A$2:$A$501,0)),0))</f>
        <v/>
      </c>
      <c r="H2471" s="33">
        <f>IF(A2471="","",MONTH(A2471))</f>
        <v/>
      </c>
      <c r="I2471" s="33">
        <f>IF(A2471="","",YEAR(A2471))</f>
        <v/>
      </c>
    </row>
    <row r="2472" ht="15" customHeight="1" s="21">
      <c r="A2472" s="34" t="n"/>
      <c r="B2472" s="30" t="n"/>
      <c r="C2472" s="30" t="n"/>
      <c r="D2472" s="30" t="n"/>
      <c r="E2472" s="33">
        <f>IF(B2472="","",IFERROR(INDEX(Productos!$B$2:$B$501,MATCH(B2472,Productos!$A$2:$A$501,0)),"¿Código?"))</f>
        <v/>
      </c>
      <c r="F2472" s="32">
        <f>IF(C2472&lt;&gt;"Venta","",D2472*IFERROR(INDEX(Productos!$D$2:$D$501,MATCH(B2472,Productos!$A$2:$A$501,0)),0))</f>
        <v/>
      </c>
      <c r="G2472" s="32">
        <f>IF(C2472&lt;&gt;"Venta","",D2472*IFERROR(INDEX(Productos!$E$2:$E$501,MATCH(B2472,Productos!$A$2:$A$501,0)),0))</f>
        <v/>
      </c>
      <c r="H2472" s="33">
        <f>IF(A2472="","",MONTH(A2472))</f>
        <v/>
      </c>
      <c r="I2472" s="33">
        <f>IF(A2472="","",YEAR(A2472))</f>
        <v/>
      </c>
    </row>
    <row r="2473" ht="15" customHeight="1" s="21">
      <c r="A2473" s="34" t="n"/>
      <c r="B2473" s="30" t="n"/>
      <c r="C2473" s="30" t="n"/>
      <c r="D2473" s="30" t="n"/>
      <c r="E2473" s="33">
        <f>IF(B2473="","",IFERROR(INDEX(Productos!$B$2:$B$501,MATCH(B2473,Productos!$A$2:$A$501,0)),"¿Código?"))</f>
        <v/>
      </c>
      <c r="F2473" s="32">
        <f>IF(C2473&lt;&gt;"Venta","",D2473*IFERROR(INDEX(Productos!$D$2:$D$501,MATCH(B2473,Productos!$A$2:$A$501,0)),0))</f>
        <v/>
      </c>
      <c r="G2473" s="32">
        <f>IF(C2473&lt;&gt;"Venta","",D2473*IFERROR(INDEX(Productos!$E$2:$E$501,MATCH(B2473,Productos!$A$2:$A$501,0)),0))</f>
        <v/>
      </c>
      <c r="H2473" s="33">
        <f>IF(A2473="","",MONTH(A2473))</f>
        <v/>
      </c>
      <c r="I2473" s="33">
        <f>IF(A2473="","",YEAR(A2473))</f>
        <v/>
      </c>
    </row>
    <row r="2474" ht="15" customHeight="1" s="21">
      <c r="A2474" s="34" t="n"/>
      <c r="B2474" s="30" t="n"/>
      <c r="C2474" s="30" t="n"/>
      <c r="D2474" s="30" t="n"/>
      <c r="E2474" s="33">
        <f>IF(B2474="","",IFERROR(INDEX(Productos!$B$2:$B$501,MATCH(B2474,Productos!$A$2:$A$501,0)),"¿Código?"))</f>
        <v/>
      </c>
      <c r="F2474" s="32">
        <f>IF(C2474&lt;&gt;"Venta","",D2474*IFERROR(INDEX(Productos!$D$2:$D$501,MATCH(B2474,Productos!$A$2:$A$501,0)),0))</f>
        <v/>
      </c>
      <c r="G2474" s="32">
        <f>IF(C2474&lt;&gt;"Venta","",D2474*IFERROR(INDEX(Productos!$E$2:$E$501,MATCH(B2474,Productos!$A$2:$A$501,0)),0))</f>
        <v/>
      </c>
      <c r="H2474" s="33">
        <f>IF(A2474="","",MONTH(A2474))</f>
        <v/>
      </c>
      <c r="I2474" s="33">
        <f>IF(A2474="","",YEAR(A2474))</f>
        <v/>
      </c>
    </row>
    <row r="2475" ht="15" customHeight="1" s="21">
      <c r="A2475" s="34" t="n"/>
      <c r="B2475" s="30" t="n"/>
      <c r="C2475" s="30" t="n"/>
      <c r="D2475" s="30" t="n"/>
      <c r="E2475" s="33">
        <f>IF(B2475="","",IFERROR(INDEX(Productos!$B$2:$B$501,MATCH(B2475,Productos!$A$2:$A$501,0)),"¿Código?"))</f>
        <v/>
      </c>
      <c r="F2475" s="32">
        <f>IF(C2475&lt;&gt;"Venta","",D2475*IFERROR(INDEX(Productos!$D$2:$D$501,MATCH(B2475,Productos!$A$2:$A$501,0)),0))</f>
        <v/>
      </c>
      <c r="G2475" s="32">
        <f>IF(C2475&lt;&gt;"Venta","",D2475*IFERROR(INDEX(Productos!$E$2:$E$501,MATCH(B2475,Productos!$A$2:$A$501,0)),0))</f>
        <v/>
      </c>
      <c r="H2475" s="33">
        <f>IF(A2475="","",MONTH(A2475))</f>
        <v/>
      </c>
      <c r="I2475" s="33">
        <f>IF(A2475="","",YEAR(A2475))</f>
        <v/>
      </c>
    </row>
    <row r="2476" ht="15" customHeight="1" s="21">
      <c r="A2476" s="34" t="n"/>
      <c r="B2476" s="30" t="n"/>
      <c r="C2476" s="30" t="n"/>
      <c r="D2476" s="30" t="n"/>
      <c r="E2476" s="33">
        <f>IF(B2476="","",IFERROR(INDEX(Productos!$B$2:$B$501,MATCH(B2476,Productos!$A$2:$A$501,0)),"¿Código?"))</f>
        <v/>
      </c>
      <c r="F2476" s="32">
        <f>IF(C2476&lt;&gt;"Venta","",D2476*IFERROR(INDEX(Productos!$D$2:$D$501,MATCH(B2476,Productos!$A$2:$A$501,0)),0))</f>
        <v/>
      </c>
      <c r="G2476" s="32">
        <f>IF(C2476&lt;&gt;"Venta","",D2476*IFERROR(INDEX(Productos!$E$2:$E$501,MATCH(B2476,Productos!$A$2:$A$501,0)),0))</f>
        <v/>
      </c>
      <c r="H2476" s="33">
        <f>IF(A2476="","",MONTH(A2476))</f>
        <v/>
      </c>
      <c r="I2476" s="33">
        <f>IF(A2476="","",YEAR(A2476))</f>
        <v/>
      </c>
    </row>
    <row r="2477" ht="15" customHeight="1" s="21">
      <c r="A2477" s="34" t="n"/>
      <c r="B2477" s="30" t="n"/>
      <c r="C2477" s="30" t="n"/>
      <c r="D2477" s="30" t="n"/>
      <c r="E2477" s="33">
        <f>IF(B2477="","",IFERROR(INDEX(Productos!$B$2:$B$501,MATCH(B2477,Productos!$A$2:$A$501,0)),"¿Código?"))</f>
        <v/>
      </c>
      <c r="F2477" s="32">
        <f>IF(C2477&lt;&gt;"Venta","",D2477*IFERROR(INDEX(Productos!$D$2:$D$501,MATCH(B2477,Productos!$A$2:$A$501,0)),0))</f>
        <v/>
      </c>
      <c r="G2477" s="32">
        <f>IF(C2477&lt;&gt;"Venta","",D2477*IFERROR(INDEX(Productos!$E$2:$E$501,MATCH(B2477,Productos!$A$2:$A$501,0)),0))</f>
        <v/>
      </c>
      <c r="H2477" s="33">
        <f>IF(A2477="","",MONTH(A2477))</f>
        <v/>
      </c>
      <c r="I2477" s="33">
        <f>IF(A2477="","",YEAR(A2477))</f>
        <v/>
      </c>
    </row>
    <row r="2478" ht="15" customHeight="1" s="21">
      <c r="A2478" s="34" t="n"/>
      <c r="B2478" s="30" t="n"/>
      <c r="C2478" s="30" t="n"/>
      <c r="D2478" s="30" t="n"/>
      <c r="E2478" s="33">
        <f>IF(B2478="","",IFERROR(INDEX(Productos!$B$2:$B$501,MATCH(B2478,Productos!$A$2:$A$501,0)),"¿Código?"))</f>
        <v/>
      </c>
      <c r="F2478" s="32">
        <f>IF(C2478&lt;&gt;"Venta","",D2478*IFERROR(INDEX(Productos!$D$2:$D$501,MATCH(B2478,Productos!$A$2:$A$501,0)),0))</f>
        <v/>
      </c>
      <c r="G2478" s="32">
        <f>IF(C2478&lt;&gt;"Venta","",D2478*IFERROR(INDEX(Productos!$E$2:$E$501,MATCH(B2478,Productos!$A$2:$A$501,0)),0))</f>
        <v/>
      </c>
      <c r="H2478" s="33">
        <f>IF(A2478="","",MONTH(A2478))</f>
        <v/>
      </c>
      <c r="I2478" s="33">
        <f>IF(A2478="","",YEAR(A2478))</f>
        <v/>
      </c>
    </row>
    <row r="2479" ht="15" customHeight="1" s="21">
      <c r="A2479" s="34" t="n"/>
      <c r="B2479" s="30" t="n"/>
      <c r="C2479" s="30" t="n"/>
      <c r="D2479" s="30" t="n"/>
      <c r="E2479" s="33">
        <f>IF(B2479="","",IFERROR(INDEX(Productos!$B$2:$B$501,MATCH(B2479,Productos!$A$2:$A$501,0)),"¿Código?"))</f>
        <v/>
      </c>
      <c r="F2479" s="32">
        <f>IF(C2479&lt;&gt;"Venta","",D2479*IFERROR(INDEX(Productos!$D$2:$D$501,MATCH(B2479,Productos!$A$2:$A$501,0)),0))</f>
        <v/>
      </c>
      <c r="G2479" s="32">
        <f>IF(C2479&lt;&gt;"Venta","",D2479*IFERROR(INDEX(Productos!$E$2:$E$501,MATCH(B2479,Productos!$A$2:$A$501,0)),0))</f>
        <v/>
      </c>
      <c r="H2479" s="33">
        <f>IF(A2479="","",MONTH(A2479))</f>
        <v/>
      </c>
      <c r="I2479" s="33">
        <f>IF(A2479="","",YEAR(A2479))</f>
        <v/>
      </c>
    </row>
    <row r="2480" ht="15" customHeight="1" s="21">
      <c r="A2480" s="34" t="n"/>
      <c r="B2480" s="30" t="n"/>
      <c r="C2480" s="30" t="n"/>
      <c r="D2480" s="30" t="n"/>
      <c r="E2480" s="33">
        <f>IF(B2480="","",IFERROR(INDEX(Productos!$B$2:$B$501,MATCH(B2480,Productos!$A$2:$A$501,0)),"¿Código?"))</f>
        <v/>
      </c>
      <c r="F2480" s="32">
        <f>IF(C2480&lt;&gt;"Venta","",D2480*IFERROR(INDEX(Productos!$D$2:$D$501,MATCH(B2480,Productos!$A$2:$A$501,0)),0))</f>
        <v/>
      </c>
      <c r="G2480" s="32">
        <f>IF(C2480&lt;&gt;"Venta","",D2480*IFERROR(INDEX(Productos!$E$2:$E$501,MATCH(B2480,Productos!$A$2:$A$501,0)),0))</f>
        <v/>
      </c>
      <c r="H2480" s="33">
        <f>IF(A2480="","",MONTH(A2480))</f>
        <v/>
      </c>
      <c r="I2480" s="33">
        <f>IF(A2480="","",YEAR(A2480))</f>
        <v/>
      </c>
    </row>
    <row r="2481" ht="15" customHeight="1" s="21">
      <c r="A2481" s="34" t="n"/>
      <c r="B2481" s="30" t="n"/>
      <c r="C2481" s="30" t="n"/>
      <c r="D2481" s="30" t="n"/>
      <c r="E2481" s="33">
        <f>IF(B2481="","",IFERROR(INDEX(Productos!$B$2:$B$501,MATCH(B2481,Productos!$A$2:$A$501,0)),"¿Código?"))</f>
        <v/>
      </c>
      <c r="F2481" s="32">
        <f>IF(C2481&lt;&gt;"Venta","",D2481*IFERROR(INDEX(Productos!$D$2:$D$501,MATCH(B2481,Productos!$A$2:$A$501,0)),0))</f>
        <v/>
      </c>
      <c r="G2481" s="32">
        <f>IF(C2481&lt;&gt;"Venta","",D2481*IFERROR(INDEX(Productos!$E$2:$E$501,MATCH(B2481,Productos!$A$2:$A$501,0)),0))</f>
        <v/>
      </c>
      <c r="H2481" s="33">
        <f>IF(A2481="","",MONTH(A2481))</f>
        <v/>
      </c>
      <c r="I2481" s="33">
        <f>IF(A2481="","",YEAR(A2481))</f>
        <v/>
      </c>
    </row>
    <row r="2482" ht="15" customHeight="1" s="21">
      <c r="A2482" s="34" t="n"/>
      <c r="B2482" s="30" t="n"/>
      <c r="C2482" s="30" t="n"/>
      <c r="D2482" s="30" t="n"/>
      <c r="E2482" s="33">
        <f>IF(B2482="","",IFERROR(INDEX(Productos!$B$2:$B$501,MATCH(B2482,Productos!$A$2:$A$501,0)),"¿Código?"))</f>
        <v/>
      </c>
      <c r="F2482" s="32">
        <f>IF(C2482&lt;&gt;"Venta","",D2482*IFERROR(INDEX(Productos!$D$2:$D$501,MATCH(B2482,Productos!$A$2:$A$501,0)),0))</f>
        <v/>
      </c>
      <c r="G2482" s="32">
        <f>IF(C2482&lt;&gt;"Venta","",D2482*IFERROR(INDEX(Productos!$E$2:$E$501,MATCH(B2482,Productos!$A$2:$A$501,0)),0))</f>
        <v/>
      </c>
      <c r="H2482" s="33">
        <f>IF(A2482="","",MONTH(A2482))</f>
        <v/>
      </c>
      <c r="I2482" s="33">
        <f>IF(A2482="","",YEAR(A2482))</f>
        <v/>
      </c>
    </row>
    <row r="2483" ht="15" customHeight="1" s="21">
      <c r="A2483" s="34" t="n"/>
      <c r="B2483" s="30" t="n"/>
      <c r="C2483" s="30" t="n"/>
      <c r="D2483" s="30" t="n"/>
      <c r="E2483" s="33">
        <f>IF(B2483="","",IFERROR(INDEX(Productos!$B$2:$B$501,MATCH(B2483,Productos!$A$2:$A$501,0)),"¿Código?"))</f>
        <v/>
      </c>
      <c r="F2483" s="32">
        <f>IF(C2483&lt;&gt;"Venta","",D2483*IFERROR(INDEX(Productos!$D$2:$D$501,MATCH(B2483,Productos!$A$2:$A$501,0)),0))</f>
        <v/>
      </c>
      <c r="G2483" s="32">
        <f>IF(C2483&lt;&gt;"Venta","",D2483*IFERROR(INDEX(Productos!$E$2:$E$501,MATCH(B2483,Productos!$A$2:$A$501,0)),0))</f>
        <v/>
      </c>
      <c r="H2483" s="33">
        <f>IF(A2483="","",MONTH(A2483))</f>
        <v/>
      </c>
      <c r="I2483" s="33">
        <f>IF(A2483="","",YEAR(A2483))</f>
        <v/>
      </c>
    </row>
    <row r="2484" ht="15" customHeight="1" s="21">
      <c r="A2484" s="34" t="n"/>
      <c r="B2484" s="30" t="n"/>
      <c r="C2484" s="30" t="n"/>
      <c r="D2484" s="30" t="n"/>
      <c r="E2484" s="33">
        <f>IF(B2484="","",IFERROR(INDEX(Productos!$B$2:$B$501,MATCH(B2484,Productos!$A$2:$A$501,0)),"¿Código?"))</f>
        <v/>
      </c>
      <c r="F2484" s="32">
        <f>IF(C2484&lt;&gt;"Venta","",D2484*IFERROR(INDEX(Productos!$D$2:$D$501,MATCH(B2484,Productos!$A$2:$A$501,0)),0))</f>
        <v/>
      </c>
      <c r="G2484" s="32">
        <f>IF(C2484&lt;&gt;"Venta","",D2484*IFERROR(INDEX(Productos!$E$2:$E$501,MATCH(B2484,Productos!$A$2:$A$501,0)),0))</f>
        <v/>
      </c>
      <c r="H2484" s="33">
        <f>IF(A2484="","",MONTH(A2484))</f>
        <v/>
      </c>
      <c r="I2484" s="33">
        <f>IF(A2484="","",YEAR(A2484))</f>
        <v/>
      </c>
    </row>
    <row r="2485" ht="15" customHeight="1" s="21">
      <c r="A2485" s="34" t="n"/>
      <c r="B2485" s="30" t="n"/>
      <c r="C2485" s="30" t="n"/>
      <c r="D2485" s="30" t="n"/>
      <c r="E2485" s="33">
        <f>IF(B2485="","",IFERROR(INDEX(Productos!$B$2:$B$501,MATCH(B2485,Productos!$A$2:$A$501,0)),"¿Código?"))</f>
        <v/>
      </c>
      <c r="F2485" s="32">
        <f>IF(C2485&lt;&gt;"Venta","",D2485*IFERROR(INDEX(Productos!$D$2:$D$501,MATCH(B2485,Productos!$A$2:$A$501,0)),0))</f>
        <v/>
      </c>
      <c r="G2485" s="32">
        <f>IF(C2485&lt;&gt;"Venta","",D2485*IFERROR(INDEX(Productos!$E$2:$E$501,MATCH(B2485,Productos!$A$2:$A$501,0)),0))</f>
        <v/>
      </c>
      <c r="H2485" s="33">
        <f>IF(A2485="","",MONTH(A2485))</f>
        <v/>
      </c>
      <c r="I2485" s="33">
        <f>IF(A2485="","",YEAR(A2485))</f>
        <v/>
      </c>
    </row>
    <row r="2486" ht="15" customHeight="1" s="21">
      <c r="A2486" s="34" t="n"/>
      <c r="B2486" s="30" t="n"/>
      <c r="C2486" s="30" t="n"/>
      <c r="D2486" s="30" t="n"/>
      <c r="E2486" s="33">
        <f>IF(B2486="","",IFERROR(INDEX(Productos!$B$2:$B$501,MATCH(B2486,Productos!$A$2:$A$501,0)),"¿Código?"))</f>
        <v/>
      </c>
      <c r="F2486" s="32">
        <f>IF(C2486&lt;&gt;"Venta","",D2486*IFERROR(INDEX(Productos!$D$2:$D$501,MATCH(B2486,Productos!$A$2:$A$501,0)),0))</f>
        <v/>
      </c>
      <c r="G2486" s="32">
        <f>IF(C2486&lt;&gt;"Venta","",D2486*IFERROR(INDEX(Productos!$E$2:$E$501,MATCH(B2486,Productos!$A$2:$A$501,0)),0))</f>
        <v/>
      </c>
      <c r="H2486" s="33">
        <f>IF(A2486="","",MONTH(A2486))</f>
        <v/>
      </c>
      <c r="I2486" s="33">
        <f>IF(A2486="","",YEAR(A2486))</f>
        <v/>
      </c>
    </row>
    <row r="2487" ht="15" customHeight="1" s="21">
      <c r="A2487" s="34" t="n"/>
      <c r="B2487" s="30" t="n"/>
      <c r="C2487" s="30" t="n"/>
      <c r="D2487" s="30" t="n"/>
      <c r="E2487" s="33">
        <f>IF(B2487="","",IFERROR(INDEX(Productos!$B$2:$B$501,MATCH(B2487,Productos!$A$2:$A$501,0)),"¿Código?"))</f>
        <v/>
      </c>
      <c r="F2487" s="32">
        <f>IF(C2487&lt;&gt;"Venta","",D2487*IFERROR(INDEX(Productos!$D$2:$D$501,MATCH(B2487,Productos!$A$2:$A$501,0)),0))</f>
        <v/>
      </c>
      <c r="G2487" s="32">
        <f>IF(C2487&lt;&gt;"Venta","",D2487*IFERROR(INDEX(Productos!$E$2:$E$501,MATCH(B2487,Productos!$A$2:$A$501,0)),0))</f>
        <v/>
      </c>
      <c r="H2487" s="33">
        <f>IF(A2487="","",MONTH(A2487))</f>
        <v/>
      </c>
      <c r="I2487" s="33">
        <f>IF(A2487="","",YEAR(A2487))</f>
        <v/>
      </c>
    </row>
    <row r="2488" ht="15" customHeight="1" s="21">
      <c r="A2488" s="34" t="n"/>
      <c r="B2488" s="30" t="n"/>
      <c r="C2488" s="30" t="n"/>
      <c r="D2488" s="30" t="n"/>
      <c r="E2488" s="33">
        <f>IF(B2488="","",IFERROR(INDEX(Productos!$B$2:$B$501,MATCH(B2488,Productos!$A$2:$A$501,0)),"¿Código?"))</f>
        <v/>
      </c>
      <c r="F2488" s="32">
        <f>IF(C2488&lt;&gt;"Venta","",D2488*IFERROR(INDEX(Productos!$D$2:$D$501,MATCH(B2488,Productos!$A$2:$A$501,0)),0))</f>
        <v/>
      </c>
      <c r="G2488" s="32">
        <f>IF(C2488&lt;&gt;"Venta","",D2488*IFERROR(INDEX(Productos!$E$2:$E$501,MATCH(B2488,Productos!$A$2:$A$501,0)),0))</f>
        <v/>
      </c>
      <c r="H2488" s="33">
        <f>IF(A2488="","",MONTH(A2488))</f>
        <v/>
      </c>
      <c r="I2488" s="33">
        <f>IF(A2488="","",YEAR(A2488))</f>
        <v/>
      </c>
    </row>
    <row r="2489" ht="15" customHeight="1" s="21">
      <c r="A2489" s="34" t="n"/>
      <c r="B2489" s="30" t="n"/>
      <c r="C2489" s="30" t="n"/>
      <c r="D2489" s="30" t="n"/>
      <c r="E2489" s="33">
        <f>IF(B2489="","",IFERROR(INDEX(Productos!$B$2:$B$501,MATCH(B2489,Productos!$A$2:$A$501,0)),"¿Código?"))</f>
        <v/>
      </c>
      <c r="F2489" s="32">
        <f>IF(C2489&lt;&gt;"Venta","",D2489*IFERROR(INDEX(Productos!$D$2:$D$501,MATCH(B2489,Productos!$A$2:$A$501,0)),0))</f>
        <v/>
      </c>
      <c r="G2489" s="32">
        <f>IF(C2489&lt;&gt;"Venta","",D2489*IFERROR(INDEX(Productos!$E$2:$E$501,MATCH(B2489,Productos!$A$2:$A$501,0)),0))</f>
        <v/>
      </c>
      <c r="H2489" s="33">
        <f>IF(A2489="","",MONTH(A2489))</f>
        <v/>
      </c>
      <c r="I2489" s="33">
        <f>IF(A2489="","",YEAR(A2489))</f>
        <v/>
      </c>
    </row>
    <row r="2490" ht="15" customHeight="1" s="21">
      <c r="A2490" s="34" t="n"/>
      <c r="B2490" s="30" t="n"/>
      <c r="C2490" s="30" t="n"/>
      <c r="D2490" s="30" t="n"/>
      <c r="E2490" s="33">
        <f>IF(B2490="","",IFERROR(INDEX(Productos!$B$2:$B$501,MATCH(B2490,Productos!$A$2:$A$501,0)),"¿Código?"))</f>
        <v/>
      </c>
      <c r="F2490" s="32">
        <f>IF(C2490&lt;&gt;"Venta","",D2490*IFERROR(INDEX(Productos!$D$2:$D$501,MATCH(B2490,Productos!$A$2:$A$501,0)),0))</f>
        <v/>
      </c>
      <c r="G2490" s="32">
        <f>IF(C2490&lt;&gt;"Venta","",D2490*IFERROR(INDEX(Productos!$E$2:$E$501,MATCH(B2490,Productos!$A$2:$A$501,0)),0))</f>
        <v/>
      </c>
      <c r="H2490" s="33">
        <f>IF(A2490="","",MONTH(A2490))</f>
        <v/>
      </c>
      <c r="I2490" s="33">
        <f>IF(A2490="","",YEAR(A2490))</f>
        <v/>
      </c>
    </row>
    <row r="2491" ht="15" customHeight="1" s="21">
      <c r="A2491" s="34" t="n"/>
      <c r="B2491" s="30" t="n"/>
      <c r="C2491" s="30" t="n"/>
      <c r="D2491" s="30" t="n"/>
      <c r="E2491" s="33">
        <f>IF(B2491="","",IFERROR(INDEX(Productos!$B$2:$B$501,MATCH(B2491,Productos!$A$2:$A$501,0)),"¿Código?"))</f>
        <v/>
      </c>
      <c r="F2491" s="32">
        <f>IF(C2491&lt;&gt;"Venta","",D2491*IFERROR(INDEX(Productos!$D$2:$D$501,MATCH(B2491,Productos!$A$2:$A$501,0)),0))</f>
        <v/>
      </c>
      <c r="G2491" s="32">
        <f>IF(C2491&lt;&gt;"Venta","",D2491*IFERROR(INDEX(Productos!$E$2:$E$501,MATCH(B2491,Productos!$A$2:$A$501,0)),0))</f>
        <v/>
      </c>
      <c r="H2491" s="33">
        <f>IF(A2491="","",MONTH(A2491))</f>
        <v/>
      </c>
      <c r="I2491" s="33">
        <f>IF(A2491="","",YEAR(A2491))</f>
        <v/>
      </c>
    </row>
    <row r="2492" ht="15" customHeight="1" s="21">
      <c r="A2492" s="34" t="n"/>
      <c r="B2492" s="30" t="n"/>
      <c r="C2492" s="30" t="n"/>
      <c r="D2492" s="30" t="n"/>
      <c r="E2492" s="33">
        <f>IF(B2492="","",IFERROR(INDEX(Productos!$B$2:$B$501,MATCH(B2492,Productos!$A$2:$A$501,0)),"¿Código?"))</f>
        <v/>
      </c>
      <c r="F2492" s="32">
        <f>IF(C2492&lt;&gt;"Venta","",D2492*IFERROR(INDEX(Productos!$D$2:$D$501,MATCH(B2492,Productos!$A$2:$A$501,0)),0))</f>
        <v/>
      </c>
      <c r="G2492" s="32">
        <f>IF(C2492&lt;&gt;"Venta","",D2492*IFERROR(INDEX(Productos!$E$2:$E$501,MATCH(B2492,Productos!$A$2:$A$501,0)),0))</f>
        <v/>
      </c>
      <c r="H2492" s="33">
        <f>IF(A2492="","",MONTH(A2492))</f>
        <v/>
      </c>
      <c r="I2492" s="33">
        <f>IF(A2492="","",YEAR(A2492))</f>
        <v/>
      </c>
    </row>
    <row r="2493" ht="15" customHeight="1" s="21">
      <c r="A2493" s="34" t="n"/>
      <c r="B2493" s="30" t="n"/>
      <c r="C2493" s="30" t="n"/>
      <c r="D2493" s="30" t="n"/>
      <c r="E2493" s="33">
        <f>IF(B2493="","",IFERROR(INDEX(Productos!$B$2:$B$501,MATCH(B2493,Productos!$A$2:$A$501,0)),"¿Código?"))</f>
        <v/>
      </c>
      <c r="F2493" s="32">
        <f>IF(C2493&lt;&gt;"Venta","",D2493*IFERROR(INDEX(Productos!$D$2:$D$501,MATCH(B2493,Productos!$A$2:$A$501,0)),0))</f>
        <v/>
      </c>
      <c r="G2493" s="32">
        <f>IF(C2493&lt;&gt;"Venta","",D2493*IFERROR(INDEX(Productos!$E$2:$E$501,MATCH(B2493,Productos!$A$2:$A$501,0)),0))</f>
        <v/>
      </c>
      <c r="H2493" s="33">
        <f>IF(A2493="","",MONTH(A2493))</f>
        <v/>
      </c>
      <c r="I2493" s="33">
        <f>IF(A2493="","",YEAR(A2493))</f>
        <v/>
      </c>
    </row>
    <row r="2494" ht="15" customHeight="1" s="21">
      <c r="A2494" s="34" t="n"/>
      <c r="B2494" s="30" t="n"/>
      <c r="C2494" s="30" t="n"/>
      <c r="D2494" s="30" t="n"/>
      <c r="E2494" s="33">
        <f>IF(B2494="","",IFERROR(INDEX(Productos!$B$2:$B$501,MATCH(B2494,Productos!$A$2:$A$501,0)),"¿Código?"))</f>
        <v/>
      </c>
      <c r="F2494" s="32">
        <f>IF(C2494&lt;&gt;"Venta","",D2494*IFERROR(INDEX(Productos!$D$2:$D$501,MATCH(B2494,Productos!$A$2:$A$501,0)),0))</f>
        <v/>
      </c>
      <c r="G2494" s="32">
        <f>IF(C2494&lt;&gt;"Venta","",D2494*IFERROR(INDEX(Productos!$E$2:$E$501,MATCH(B2494,Productos!$A$2:$A$501,0)),0))</f>
        <v/>
      </c>
      <c r="H2494" s="33">
        <f>IF(A2494="","",MONTH(A2494))</f>
        <v/>
      </c>
      <c r="I2494" s="33">
        <f>IF(A2494="","",YEAR(A2494))</f>
        <v/>
      </c>
    </row>
    <row r="2495" ht="15" customHeight="1" s="21">
      <c r="A2495" s="34" t="n"/>
      <c r="B2495" s="30" t="n"/>
      <c r="C2495" s="30" t="n"/>
      <c r="D2495" s="30" t="n"/>
      <c r="E2495" s="33">
        <f>IF(B2495="","",IFERROR(INDEX(Productos!$B$2:$B$501,MATCH(B2495,Productos!$A$2:$A$501,0)),"¿Código?"))</f>
        <v/>
      </c>
      <c r="F2495" s="32">
        <f>IF(C2495&lt;&gt;"Venta","",D2495*IFERROR(INDEX(Productos!$D$2:$D$501,MATCH(B2495,Productos!$A$2:$A$501,0)),0))</f>
        <v/>
      </c>
      <c r="G2495" s="32">
        <f>IF(C2495&lt;&gt;"Venta","",D2495*IFERROR(INDEX(Productos!$E$2:$E$501,MATCH(B2495,Productos!$A$2:$A$501,0)),0))</f>
        <v/>
      </c>
      <c r="H2495" s="33">
        <f>IF(A2495="","",MONTH(A2495))</f>
        <v/>
      </c>
      <c r="I2495" s="33">
        <f>IF(A2495="","",YEAR(A2495))</f>
        <v/>
      </c>
    </row>
    <row r="2496" ht="15" customHeight="1" s="21">
      <c r="A2496" s="34" t="n"/>
      <c r="B2496" s="30" t="n"/>
      <c r="C2496" s="30" t="n"/>
      <c r="D2496" s="30" t="n"/>
      <c r="E2496" s="33">
        <f>IF(B2496="","",IFERROR(INDEX(Productos!$B$2:$B$501,MATCH(B2496,Productos!$A$2:$A$501,0)),"¿Código?"))</f>
        <v/>
      </c>
      <c r="F2496" s="32">
        <f>IF(C2496&lt;&gt;"Venta","",D2496*IFERROR(INDEX(Productos!$D$2:$D$501,MATCH(B2496,Productos!$A$2:$A$501,0)),0))</f>
        <v/>
      </c>
      <c r="G2496" s="32">
        <f>IF(C2496&lt;&gt;"Venta","",D2496*IFERROR(INDEX(Productos!$E$2:$E$501,MATCH(B2496,Productos!$A$2:$A$501,0)),0))</f>
        <v/>
      </c>
      <c r="H2496" s="33">
        <f>IF(A2496="","",MONTH(A2496))</f>
        <v/>
      </c>
      <c r="I2496" s="33">
        <f>IF(A2496="","",YEAR(A2496))</f>
        <v/>
      </c>
    </row>
    <row r="2497" ht="15" customHeight="1" s="21">
      <c r="A2497" s="34" t="n"/>
      <c r="B2497" s="30" t="n"/>
      <c r="C2497" s="30" t="n"/>
      <c r="D2497" s="30" t="n"/>
      <c r="E2497" s="33">
        <f>IF(B2497="","",IFERROR(INDEX(Productos!$B$2:$B$501,MATCH(B2497,Productos!$A$2:$A$501,0)),"¿Código?"))</f>
        <v/>
      </c>
      <c r="F2497" s="32">
        <f>IF(C2497&lt;&gt;"Venta","",D2497*IFERROR(INDEX(Productos!$D$2:$D$501,MATCH(B2497,Productos!$A$2:$A$501,0)),0))</f>
        <v/>
      </c>
      <c r="G2497" s="32">
        <f>IF(C2497&lt;&gt;"Venta","",D2497*IFERROR(INDEX(Productos!$E$2:$E$501,MATCH(B2497,Productos!$A$2:$A$501,0)),0))</f>
        <v/>
      </c>
      <c r="H2497" s="33">
        <f>IF(A2497="","",MONTH(A2497))</f>
        <v/>
      </c>
      <c r="I2497" s="33">
        <f>IF(A2497="","",YEAR(A2497))</f>
        <v/>
      </c>
    </row>
    <row r="2498" ht="15" customHeight="1" s="21">
      <c r="A2498" s="34" t="n"/>
      <c r="B2498" s="30" t="n"/>
      <c r="C2498" s="30" t="n"/>
      <c r="D2498" s="30" t="n"/>
      <c r="E2498" s="33">
        <f>IF(B2498="","",IFERROR(INDEX(Productos!$B$2:$B$501,MATCH(B2498,Productos!$A$2:$A$501,0)),"¿Código?"))</f>
        <v/>
      </c>
      <c r="F2498" s="32">
        <f>IF(C2498&lt;&gt;"Venta","",D2498*IFERROR(INDEX(Productos!$D$2:$D$501,MATCH(B2498,Productos!$A$2:$A$501,0)),0))</f>
        <v/>
      </c>
      <c r="G2498" s="32">
        <f>IF(C2498&lt;&gt;"Venta","",D2498*IFERROR(INDEX(Productos!$E$2:$E$501,MATCH(B2498,Productos!$A$2:$A$501,0)),0))</f>
        <v/>
      </c>
      <c r="H2498" s="33">
        <f>IF(A2498="","",MONTH(A2498))</f>
        <v/>
      </c>
      <c r="I2498" s="33">
        <f>IF(A2498="","",YEAR(A2498))</f>
        <v/>
      </c>
    </row>
    <row r="2499" ht="15" customHeight="1" s="21">
      <c r="A2499" s="34" t="n"/>
      <c r="B2499" s="30" t="n"/>
      <c r="C2499" s="30" t="n"/>
      <c r="D2499" s="30" t="n"/>
      <c r="E2499" s="33">
        <f>IF(B2499="","",IFERROR(INDEX(Productos!$B$2:$B$501,MATCH(B2499,Productos!$A$2:$A$501,0)),"¿Código?"))</f>
        <v/>
      </c>
      <c r="F2499" s="32">
        <f>IF(C2499&lt;&gt;"Venta","",D2499*IFERROR(INDEX(Productos!$D$2:$D$501,MATCH(B2499,Productos!$A$2:$A$501,0)),0))</f>
        <v/>
      </c>
      <c r="G2499" s="32">
        <f>IF(C2499&lt;&gt;"Venta","",D2499*IFERROR(INDEX(Productos!$E$2:$E$501,MATCH(B2499,Productos!$A$2:$A$501,0)),0))</f>
        <v/>
      </c>
      <c r="H2499" s="33">
        <f>IF(A2499="","",MONTH(A2499))</f>
        <v/>
      </c>
      <c r="I2499" s="33">
        <f>IF(A2499="","",YEAR(A2499))</f>
        <v/>
      </c>
    </row>
    <row r="2500" ht="15" customHeight="1" s="21">
      <c r="A2500" s="34" t="n"/>
      <c r="B2500" s="30" t="n"/>
      <c r="C2500" s="30" t="n"/>
      <c r="D2500" s="30" t="n"/>
      <c r="E2500" s="33">
        <f>IF(B2500="","",IFERROR(INDEX(Productos!$B$2:$B$501,MATCH(B2500,Productos!$A$2:$A$501,0)),"¿Código?"))</f>
        <v/>
      </c>
      <c r="F2500" s="32">
        <f>IF(C2500&lt;&gt;"Venta","",D2500*IFERROR(INDEX(Productos!$D$2:$D$501,MATCH(B2500,Productos!$A$2:$A$501,0)),0))</f>
        <v/>
      </c>
      <c r="G2500" s="32">
        <f>IF(C2500&lt;&gt;"Venta","",D2500*IFERROR(INDEX(Productos!$E$2:$E$501,MATCH(B2500,Productos!$A$2:$A$501,0)),0))</f>
        <v/>
      </c>
      <c r="H2500" s="33">
        <f>IF(A2500="","",MONTH(A2500))</f>
        <v/>
      </c>
      <c r="I2500" s="33">
        <f>IF(A2500="","",YEAR(A2500))</f>
        <v/>
      </c>
    </row>
    <row r="2501" ht="15" customHeight="1" s="21">
      <c r="A2501" s="34" t="n"/>
      <c r="B2501" s="30" t="n"/>
      <c r="C2501" s="30" t="n"/>
      <c r="D2501" s="30" t="n"/>
      <c r="E2501" s="33">
        <f>IF(B2501="","",IFERROR(INDEX(Productos!$B$2:$B$501,MATCH(B2501,Productos!$A$2:$A$501,0)),"¿Código?"))</f>
        <v/>
      </c>
      <c r="F2501" s="32">
        <f>IF(C2501&lt;&gt;"Venta","",D2501*IFERROR(INDEX(Productos!$D$2:$D$501,MATCH(B2501,Productos!$A$2:$A$501,0)),0))</f>
        <v/>
      </c>
      <c r="G2501" s="32">
        <f>IF(C2501&lt;&gt;"Venta","",D2501*IFERROR(INDEX(Productos!$E$2:$E$501,MATCH(B2501,Productos!$A$2:$A$501,0)),0))</f>
        <v/>
      </c>
      <c r="H2501" s="33">
        <f>IF(A2501="","",MONTH(A2501))</f>
        <v/>
      </c>
      <c r="I2501" s="33">
        <f>IF(A2501="","",YEAR(A2501))</f>
        <v/>
      </c>
    </row>
    <row r="2502" ht="15" customHeight="1" s="21">
      <c r="A2502" s="34" t="n"/>
      <c r="B2502" s="30" t="n"/>
      <c r="C2502" s="30" t="n"/>
      <c r="D2502" s="30" t="n"/>
      <c r="E2502" s="33">
        <f>IF(B2502="","",IFERROR(INDEX(Productos!$B$2:$B$501,MATCH(B2502,Productos!$A$2:$A$501,0)),"¿Código?"))</f>
        <v/>
      </c>
      <c r="F2502" s="32">
        <f>IF(C2502&lt;&gt;"Venta","",D2502*IFERROR(INDEX(Productos!$D$2:$D$501,MATCH(B2502,Productos!$A$2:$A$501,0)),0))</f>
        <v/>
      </c>
      <c r="G2502" s="32">
        <f>IF(C2502&lt;&gt;"Venta","",D2502*IFERROR(INDEX(Productos!$E$2:$E$501,MATCH(B2502,Productos!$A$2:$A$501,0)),0))</f>
        <v/>
      </c>
      <c r="H2502" s="33">
        <f>IF(A2502="","",MONTH(A2502))</f>
        <v/>
      </c>
      <c r="I2502" s="33">
        <f>IF(A2502="","",YEAR(A2502))</f>
        <v/>
      </c>
    </row>
    <row r="2503" ht="15" customHeight="1" s="21">
      <c r="A2503" s="34" t="n"/>
      <c r="B2503" s="30" t="n"/>
      <c r="C2503" s="30" t="n"/>
      <c r="D2503" s="30" t="n"/>
      <c r="E2503" s="33">
        <f>IF(B2503="","",IFERROR(INDEX(Productos!$B$2:$B$501,MATCH(B2503,Productos!$A$2:$A$501,0)),"¿Código?"))</f>
        <v/>
      </c>
      <c r="F2503" s="32">
        <f>IF(C2503&lt;&gt;"Venta","",D2503*IFERROR(INDEX(Productos!$D$2:$D$501,MATCH(B2503,Productos!$A$2:$A$501,0)),0))</f>
        <v/>
      </c>
      <c r="G2503" s="32">
        <f>IF(C2503&lt;&gt;"Venta","",D2503*IFERROR(INDEX(Productos!$E$2:$E$501,MATCH(B2503,Productos!$A$2:$A$501,0)),0))</f>
        <v/>
      </c>
      <c r="H2503" s="33">
        <f>IF(A2503="","",MONTH(A2503))</f>
        <v/>
      </c>
      <c r="I2503" s="33">
        <f>IF(A2503="","",YEAR(A2503))</f>
        <v/>
      </c>
    </row>
    <row r="2504" ht="15" customHeight="1" s="21">
      <c r="A2504" s="34" t="n"/>
      <c r="B2504" s="30" t="n"/>
      <c r="C2504" s="30" t="n"/>
      <c r="D2504" s="30" t="n"/>
      <c r="E2504" s="33">
        <f>IF(B2504="","",IFERROR(INDEX(Productos!$B$2:$B$501,MATCH(B2504,Productos!$A$2:$A$501,0)),"¿Código?"))</f>
        <v/>
      </c>
      <c r="F2504" s="32">
        <f>IF(C2504&lt;&gt;"Venta","",D2504*IFERROR(INDEX(Productos!$D$2:$D$501,MATCH(B2504,Productos!$A$2:$A$501,0)),0))</f>
        <v/>
      </c>
      <c r="G2504" s="32">
        <f>IF(C2504&lt;&gt;"Venta","",D2504*IFERROR(INDEX(Productos!$E$2:$E$501,MATCH(B2504,Productos!$A$2:$A$501,0)),0))</f>
        <v/>
      </c>
      <c r="H2504" s="33">
        <f>IF(A2504="","",MONTH(A2504))</f>
        <v/>
      </c>
      <c r="I2504" s="33">
        <f>IF(A2504="","",YEAR(A2504))</f>
        <v/>
      </c>
    </row>
    <row r="2505" ht="15" customHeight="1" s="21">
      <c r="A2505" s="34" t="n"/>
      <c r="B2505" s="30" t="n"/>
      <c r="C2505" s="30" t="n"/>
      <c r="D2505" s="30" t="n"/>
      <c r="E2505" s="33">
        <f>IF(B2505="","",IFERROR(INDEX(Productos!$B$2:$B$501,MATCH(B2505,Productos!$A$2:$A$501,0)),"¿Código?"))</f>
        <v/>
      </c>
      <c r="F2505" s="32">
        <f>IF(C2505&lt;&gt;"Venta","",D2505*IFERROR(INDEX(Productos!$D$2:$D$501,MATCH(B2505,Productos!$A$2:$A$501,0)),0))</f>
        <v/>
      </c>
      <c r="G2505" s="32">
        <f>IF(C2505&lt;&gt;"Venta","",D2505*IFERROR(INDEX(Productos!$E$2:$E$501,MATCH(B2505,Productos!$A$2:$A$501,0)),0))</f>
        <v/>
      </c>
      <c r="H2505" s="33">
        <f>IF(A2505="","",MONTH(A2505))</f>
        <v/>
      </c>
      <c r="I2505" s="33">
        <f>IF(A2505="","",YEAR(A2505))</f>
        <v/>
      </c>
    </row>
    <row r="2506" ht="15" customHeight="1" s="21">
      <c r="A2506" s="34" t="n"/>
      <c r="B2506" s="30" t="n"/>
      <c r="C2506" s="30" t="n"/>
      <c r="D2506" s="30" t="n"/>
      <c r="E2506" s="33">
        <f>IF(B2506="","",IFERROR(INDEX(Productos!$B$2:$B$501,MATCH(B2506,Productos!$A$2:$A$501,0)),"¿Código?"))</f>
        <v/>
      </c>
      <c r="F2506" s="32">
        <f>IF(C2506&lt;&gt;"Venta","",D2506*IFERROR(INDEX(Productos!$D$2:$D$501,MATCH(B2506,Productos!$A$2:$A$501,0)),0))</f>
        <v/>
      </c>
      <c r="G2506" s="32">
        <f>IF(C2506&lt;&gt;"Venta","",D2506*IFERROR(INDEX(Productos!$E$2:$E$501,MATCH(B2506,Productos!$A$2:$A$501,0)),0))</f>
        <v/>
      </c>
      <c r="H2506" s="33">
        <f>IF(A2506="","",MONTH(A2506))</f>
        <v/>
      </c>
      <c r="I2506" s="33">
        <f>IF(A2506="","",YEAR(A2506))</f>
        <v/>
      </c>
    </row>
    <row r="2507" ht="15" customHeight="1" s="21">
      <c r="A2507" s="34" t="n"/>
      <c r="B2507" s="30" t="n"/>
      <c r="C2507" s="30" t="n"/>
      <c r="D2507" s="30" t="n"/>
      <c r="E2507" s="33">
        <f>IF(B2507="","",IFERROR(INDEX(Productos!$B$2:$B$501,MATCH(B2507,Productos!$A$2:$A$501,0)),"¿Código?"))</f>
        <v/>
      </c>
      <c r="F2507" s="32">
        <f>IF(C2507&lt;&gt;"Venta","",D2507*IFERROR(INDEX(Productos!$D$2:$D$501,MATCH(B2507,Productos!$A$2:$A$501,0)),0))</f>
        <v/>
      </c>
      <c r="G2507" s="32">
        <f>IF(C2507&lt;&gt;"Venta","",D2507*IFERROR(INDEX(Productos!$E$2:$E$501,MATCH(B2507,Productos!$A$2:$A$501,0)),0))</f>
        <v/>
      </c>
      <c r="H2507" s="33">
        <f>IF(A2507="","",MONTH(A2507))</f>
        <v/>
      </c>
      <c r="I2507" s="33">
        <f>IF(A2507="","",YEAR(A2507))</f>
        <v/>
      </c>
    </row>
    <row r="2508" ht="15" customHeight="1" s="21">
      <c r="A2508" s="34" t="n"/>
      <c r="B2508" s="30" t="n"/>
      <c r="C2508" s="30" t="n"/>
      <c r="D2508" s="30" t="n"/>
      <c r="E2508" s="33">
        <f>IF(B2508="","",IFERROR(INDEX(Productos!$B$2:$B$501,MATCH(B2508,Productos!$A$2:$A$501,0)),"¿Código?"))</f>
        <v/>
      </c>
      <c r="F2508" s="32">
        <f>IF(C2508&lt;&gt;"Venta","",D2508*IFERROR(INDEX(Productos!$D$2:$D$501,MATCH(B2508,Productos!$A$2:$A$501,0)),0))</f>
        <v/>
      </c>
      <c r="G2508" s="32">
        <f>IF(C2508&lt;&gt;"Venta","",D2508*IFERROR(INDEX(Productos!$E$2:$E$501,MATCH(B2508,Productos!$A$2:$A$501,0)),0))</f>
        <v/>
      </c>
      <c r="H2508" s="33">
        <f>IF(A2508="","",MONTH(A2508))</f>
        <v/>
      </c>
      <c r="I2508" s="33">
        <f>IF(A2508="","",YEAR(A2508))</f>
        <v/>
      </c>
    </row>
    <row r="2509" ht="15" customHeight="1" s="21">
      <c r="A2509" s="34" t="n"/>
      <c r="B2509" s="30" t="n"/>
      <c r="C2509" s="30" t="n"/>
      <c r="D2509" s="30" t="n"/>
      <c r="E2509" s="33">
        <f>IF(B2509="","",IFERROR(INDEX(Productos!$B$2:$B$501,MATCH(B2509,Productos!$A$2:$A$501,0)),"¿Código?"))</f>
        <v/>
      </c>
      <c r="F2509" s="32">
        <f>IF(C2509&lt;&gt;"Venta","",D2509*IFERROR(INDEX(Productos!$D$2:$D$501,MATCH(B2509,Productos!$A$2:$A$501,0)),0))</f>
        <v/>
      </c>
      <c r="G2509" s="32">
        <f>IF(C2509&lt;&gt;"Venta","",D2509*IFERROR(INDEX(Productos!$E$2:$E$501,MATCH(B2509,Productos!$A$2:$A$501,0)),0))</f>
        <v/>
      </c>
      <c r="H2509" s="33">
        <f>IF(A2509="","",MONTH(A2509))</f>
        <v/>
      </c>
      <c r="I2509" s="33">
        <f>IF(A2509="","",YEAR(A2509))</f>
        <v/>
      </c>
    </row>
    <row r="2510" ht="15" customHeight="1" s="21">
      <c r="A2510" s="34" t="n"/>
      <c r="B2510" s="30" t="n"/>
      <c r="C2510" s="30" t="n"/>
      <c r="D2510" s="30" t="n"/>
      <c r="E2510" s="33">
        <f>IF(B2510="","",IFERROR(INDEX(Productos!$B$2:$B$501,MATCH(B2510,Productos!$A$2:$A$501,0)),"¿Código?"))</f>
        <v/>
      </c>
      <c r="F2510" s="32">
        <f>IF(C2510&lt;&gt;"Venta","",D2510*IFERROR(INDEX(Productos!$D$2:$D$501,MATCH(B2510,Productos!$A$2:$A$501,0)),0))</f>
        <v/>
      </c>
      <c r="G2510" s="32">
        <f>IF(C2510&lt;&gt;"Venta","",D2510*IFERROR(INDEX(Productos!$E$2:$E$501,MATCH(B2510,Productos!$A$2:$A$501,0)),0))</f>
        <v/>
      </c>
      <c r="H2510" s="33">
        <f>IF(A2510="","",MONTH(A2510))</f>
        <v/>
      </c>
      <c r="I2510" s="33">
        <f>IF(A2510="","",YEAR(A2510))</f>
        <v/>
      </c>
    </row>
    <row r="2511" ht="15" customHeight="1" s="21">
      <c r="A2511" s="34" t="n"/>
      <c r="B2511" s="30" t="n"/>
      <c r="C2511" s="30" t="n"/>
      <c r="D2511" s="30" t="n"/>
      <c r="E2511" s="33">
        <f>IF(B2511="","",IFERROR(INDEX(Productos!$B$2:$B$501,MATCH(B2511,Productos!$A$2:$A$501,0)),"¿Código?"))</f>
        <v/>
      </c>
      <c r="F2511" s="32">
        <f>IF(C2511&lt;&gt;"Venta","",D2511*IFERROR(INDEX(Productos!$D$2:$D$501,MATCH(B2511,Productos!$A$2:$A$501,0)),0))</f>
        <v/>
      </c>
      <c r="G2511" s="32">
        <f>IF(C2511&lt;&gt;"Venta","",D2511*IFERROR(INDEX(Productos!$E$2:$E$501,MATCH(B2511,Productos!$A$2:$A$501,0)),0))</f>
        <v/>
      </c>
      <c r="H2511" s="33">
        <f>IF(A2511="","",MONTH(A2511))</f>
        <v/>
      </c>
      <c r="I2511" s="33">
        <f>IF(A2511="","",YEAR(A2511))</f>
        <v/>
      </c>
    </row>
    <row r="2512" ht="15" customHeight="1" s="21">
      <c r="A2512" s="34" t="n"/>
      <c r="B2512" s="30" t="n"/>
      <c r="C2512" s="30" t="n"/>
      <c r="D2512" s="30" t="n"/>
      <c r="E2512" s="33">
        <f>IF(B2512="","",IFERROR(INDEX(Productos!$B$2:$B$501,MATCH(B2512,Productos!$A$2:$A$501,0)),"¿Código?"))</f>
        <v/>
      </c>
      <c r="F2512" s="32">
        <f>IF(C2512&lt;&gt;"Venta","",D2512*IFERROR(INDEX(Productos!$D$2:$D$501,MATCH(B2512,Productos!$A$2:$A$501,0)),0))</f>
        <v/>
      </c>
      <c r="G2512" s="32">
        <f>IF(C2512&lt;&gt;"Venta","",D2512*IFERROR(INDEX(Productos!$E$2:$E$501,MATCH(B2512,Productos!$A$2:$A$501,0)),0))</f>
        <v/>
      </c>
      <c r="H2512" s="33">
        <f>IF(A2512="","",MONTH(A2512))</f>
        <v/>
      </c>
      <c r="I2512" s="33">
        <f>IF(A2512="","",YEAR(A2512))</f>
        <v/>
      </c>
    </row>
    <row r="2513" ht="15" customHeight="1" s="21">
      <c r="A2513" s="34" t="n"/>
      <c r="B2513" s="30" t="n"/>
      <c r="C2513" s="30" t="n"/>
      <c r="D2513" s="30" t="n"/>
      <c r="E2513" s="33">
        <f>IF(B2513="","",IFERROR(INDEX(Productos!$B$2:$B$501,MATCH(B2513,Productos!$A$2:$A$501,0)),"¿Código?"))</f>
        <v/>
      </c>
      <c r="F2513" s="32">
        <f>IF(C2513&lt;&gt;"Venta","",D2513*IFERROR(INDEX(Productos!$D$2:$D$501,MATCH(B2513,Productos!$A$2:$A$501,0)),0))</f>
        <v/>
      </c>
      <c r="G2513" s="32">
        <f>IF(C2513&lt;&gt;"Venta","",D2513*IFERROR(INDEX(Productos!$E$2:$E$501,MATCH(B2513,Productos!$A$2:$A$501,0)),0))</f>
        <v/>
      </c>
      <c r="H2513" s="33">
        <f>IF(A2513="","",MONTH(A2513))</f>
        <v/>
      </c>
      <c r="I2513" s="33">
        <f>IF(A2513="","",YEAR(A2513))</f>
        <v/>
      </c>
    </row>
    <row r="2514" ht="15" customHeight="1" s="21">
      <c r="A2514" s="34" t="n"/>
      <c r="B2514" s="30" t="n"/>
      <c r="C2514" s="30" t="n"/>
      <c r="D2514" s="30" t="n"/>
      <c r="E2514" s="33">
        <f>IF(B2514="","",IFERROR(INDEX(Productos!$B$2:$B$501,MATCH(B2514,Productos!$A$2:$A$501,0)),"¿Código?"))</f>
        <v/>
      </c>
      <c r="F2514" s="32">
        <f>IF(C2514&lt;&gt;"Venta","",D2514*IFERROR(INDEX(Productos!$D$2:$D$501,MATCH(B2514,Productos!$A$2:$A$501,0)),0))</f>
        <v/>
      </c>
      <c r="G2514" s="32">
        <f>IF(C2514&lt;&gt;"Venta","",D2514*IFERROR(INDEX(Productos!$E$2:$E$501,MATCH(B2514,Productos!$A$2:$A$501,0)),0))</f>
        <v/>
      </c>
      <c r="H2514" s="33">
        <f>IF(A2514="","",MONTH(A2514))</f>
        <v/>
      </c>
      <c r="I2514" s="33">
        <f>IF(A2514="","",YEAR(A2514))</f>
        <v/>
      </c>
    </row>
    <row r="2515" ht="15" customHeight="1" s="21">
      <c r="A2515" s="34" t="n"/>
      <c r="B2515" s="30" t="n"/>
      <c r="C2515" s="30" t="n"/>
      <c r="D2515" s="30" t="n"/>
      <c r="E2515" s="33">
        <f>IF(B2515="","",IFERROR(INDEX(Productos!$B$2:$B$501,MATCH(B2515,Productos!$A$2:$A$501,0)),"¿Código?"))</f>
        <v/>
      </c>
      <c r="F2515" s="32">
        <f>IF(C2515&lt;&gt;"Venta","",D2515*IFERROR(INDEX(Productos!$D$2:$D$501,MATCH(B2515,Productos!$A$2:$A$501,0)),0))</f>
        <v/>
      </c>
      <c r="G2515" s="32">
        <f>IF(C2515&lt;&gt;"Venta","",D2515*IFERROR(INDEX(Productos!$E$2:$E$501,MATCH(B2515,Productos!$A$2:$A$501,0)),0))</f>
        <v/>
      </c>
      <c r="H2515" s="33">
        <f>IF(A2515="","",MONTH(A2515))</f>
        <v/>
      </c>
      <c r="I2515" s="33">
        <f>IF(A2515="","",YEAR(A2515))</f>
        <v/>
      </c>
    </row>
    <row r="2516" ht="15" customHeight="1" s="21">
      <c r="A2516" s="34" t="n"/>
      <c r="B2516" s="30" t="n"/>
      <c r="C2516" s="30" t="n"/>
      <c r="D2516" s="30" t="n"/>
      <c r="E2516" s="33">
        <f>IF(B2516="","",IFERROR(INDEX(Productos!$B$2:$B$501,MATCH(B2516,Productos!$A$2:$A$501,0)),"¿Código?"))</f>
        <v/>
      </c>
      <c r="F2516" s="32">
        <f>IF(C2516&lt;&gt;"Venta","",D2516*IFERROR(INDEX(Productos!$D$2:$D$501,MATCH(B2516,Productos!$A$2:$A$501,0)),0))</f>
        <v/>
      </c>
      <c r="G2516" s="32">
        <f>IF(C2516&lt;&gt;"Venta","",D2516*IFERROR(INDEX(Productos!$E$2:$E$501,MATCH(B2516,Productos!$A$2:$A$501,0)),0))</f>
        <v/>
      </c>
      <c r="H2516" s="33">
        <f>IF(A2516="","",MONTH(A2516))</f>
        <v/>
      </c>
      <c r="I2516" s="33">
        <f>IF(A2516="","",YEAR(A2516))</f>
        <v/>
      </c>
    </row>
    <row r="2517" ht="15" customHeight="1" s="21">
      <c r="A2517" s="34" t="n"/>
      <c r="B2517" s="30" t="n"/>
      <c r="C2517" s="30" t="n"/>
      <c r="D2517" s="30" t="n"/>
      <c r="E2517" s="33">
        <f>IF(B2517="","",IFERROR(INDEX(Productos!$B$2:$B$501,MATCH(B2517,Productos!$A$2:$A$501,0)),"¿Código?"))</f>
        <v/>
      </c>
      <c r="F2517" s="32">
        <f>IF(C2517&lt;&gt;"Venta","",D2517*IFERROR(INDEX(Productos!$D$2:$D$501,MATCH(B2517,Productos!$A$2:$A$501,0)),0))</f>
        <v/>
      </c>
      <c r="G2517" s="32">
        <f>IF(C2517&lt;&gt;"Venta","",D2517*IFERROR(INDEX(Productos!$E$2:$E$501,MATCH(B2517,Productos!$A$2:$A$501,0)),0))</f>
        <v/>
      </c>
      <c r="H2517" s="33">
        <f>IF(A2517="","",MONTH(A2517))</f>
        <v/>
      </c>
      <c r="I2517" s="33">
        <f>IF(A2517="","",YEAR(A2517))</f>
        <v/>
      </c>
    </row>
    <row r="2518" ht="15" customHeight="1" s="21">
      <c r="A2518" s="34" t="n"/>
      <c r="B2518" s="30" t="n"/>
      <c r="C2518" s="30" t="n"/>
      <c r="D2518" s="30" t="n"/>
      <c r="E2518" s="33">
        <f>IF(B2518="","",IFERROR(INDEX(Productos!$B$2:$B$501,MATCH(B2518,Productos!$A$2:$A$501,0)),"¿Código?"))</f>
        <v/>
      </c>
      <c r="F2518" s="32">
        <f>IF(C2518&lt;&gt;"Venta","",D2518*IFERROR(INDEX(Productos!$D$2:$D$501,MATCH(B2518,Productos!$A$2:$A$501,0)),0))</f>
        <v/>
      </c>
      <c r="G2518" s="32">
        <f>IF(C2518&lt;&gt;"Venta","",D2518*IFERROR(INDEX(Productos!$E$2:$E$501,MATCH(B2518,Productos!$A$2:$A$501,0)),0))</f>
        <v/>
      </c>
      <c r="H2518" s="33">
        <f>IF(A2518="","",MONTH(A2518))</f>
        <v/>
      </c>
      <c r="I2518" s="33">
        <f>IF(A2518="","",YEAR(A2518))</f>
        <v/>
      </c>
    </row>
    <row r="2519" ht="15" customHeight="1" s="21">
      <c r="A2519" s="34" t="n"/>
      <c r="B2519" s="30" t="n"/>
      <c r="C2519" s="30" t="n"/>
      <c r="D2519" s="30" t="n"/>
      <c r="E2519" s="33">
        <f>IF(B2519="","",IFERROR(INDEX(Productos!$B$2:$B$501,MATCH(B2519,Productos!$A$2:$A$501,0)),"¿Código?"))</f>
        <v/>
      </c>
      <c r="F2519" s="32">
        <f>IF(C2519&lt;&gt;"Venta","",D2519*IFERROR(INDEX(Productos!$D$2:$D$501,MATCH(B2519,Productos!$A$2:$A$501,0)),0))</f>
        <v/>
      </c>
      <c r="G2519" s="32">
        <f>IF(C2519&lt;&gt;"Venta","",D2519*IFERROR(INDEX(Productos!$E$2:$E$501,MATCH(B2519,Productos!$A$2:$A$501,0)),0))</f>
        <v/>
      </c>
      <c r="H2519" s="33">
        <f>IF(A2519="","",MONTH(A2519))</f>
        <v/>
      </c>
      <c r="I2519" s="33">
        <f>IF(A2519="","",YEAR(A2519))</f>
        <v/>
      </c>
    </row>
    <row r="2520" ht="15" customHeight="1" s="21">
      <c r="A2520" s="34" t="n"/>
      <c r="B2520" s="30" t="n"/>
      <c r="C2520" s="30" t="n"/>
      <c r="D2520" s="30" t="n"/>
      <c r="E2520" s="33">
        <f>IF(B2520="","",IFERROR(INDEX(Productos!$B$2:$B$501,MATCH(B2520,Productos!$A$2:$A$501,0)),"¿Código?"))</f>
        <v/>
      </c>
      <c r="F2520" s="32">
        <f>IF(C2520&lt;&gt;"Venta","",D2520*IFERROR(INDEX(Productos!$D$2:$D$501,MATCH(B2520,Productos!$A$2:$A$501,0)),0))</f>
        <v/>
      </c>
      <c r="G2520" s="32">
        <f>IF(C2520&lt;&gt;"Venta","",D2520*IFERROR(INDEX(Productos!$E$2:$E$501,MATCH(B2520,Productos!$A$2:$A$501,0)),0))</f>
        <v/>
      </c>
      <c r="H2520" s="33">
        <f>IF(A2520="","",MONTH(A2520))</f>
        <v/>
      </c>
      <c r="I2520" s="33">
        <f>IF(A2520="","",YEAR(A2520))</f>
        <v/>
      </c>
    </row>
    <row r="2521" ht="15" customHeight="1" s="21">
      <c r="A2521" s="34" t="n"/>
      <c r="B2521" s="30" t="n"/>
      <c r="C2521" s="30" t="n"/>
      <c r="D2521" s="30" t="n"/>
      <c r="E2521" s="33">
        <f>IF(B2521="","",IFERROR(INDEX(Productos!$B$2:$B$501,MATCH(B2521,Productos!$A$2:$A$501,0)),"¿Código?"))</f>
        <v/>
      </c>
      <c r="F2521" s="32">
        <f>IF(C2521&lt;&gt;"Venta","",D2521*IFERROR(INDEX(Productos!$D$2:$D$501,MATCH(B2521,Productos!$A$2:$A$501,0)),0))</f>
        <v/>
      </c>
      <c r="G2521" s="32">
        <f>IF(C2521&lt;&gt;"Venta","",D2521*IFERROR(INDEX(Productos!$E$2:$E$501,MATCH(B2521,Productos!$A$2:$A$501,0)),0))</f>
        <v/>
      </c>
      <c r="H2521" s="33">
        <f>IF(A2521="","",MONTH(A2521))</f>
        <v/>
      </c>
      <c r="I2521" s="33">
        <f>IF(A2521="","",YEAR(A2521))</f>
        <v/>
      </c>
    </row>
    <row r="2522" ht="15" customHeight="1" s="21">
      <c r="A2522" s="34" t="n"/>
      <c r="B2522" s="30" t="n"/>
      <c r="C2522" s="30" t="n"/>
      <c r="D2522" s="30" t="n"/>
      <c r="E2522" s="33">
        <f>IF(B2522="","",IFERROR(INDEX(Productos!$B$2:$B$501,MATCH(B2522,Productos!$A$2:$A$501,0)),"¿Código?"))</f>
        <v/>
      </c>
      <c r="F2522" s="32">
        <f>IF(C2522&lt;&gt;"Venta","",D2522*IFERROR(INDEX(Productos!$D$2:$D$501,MATCH(B2522,Productos!$A$2:$A$501,0)),0))</f>
        <v/>
      </c>
      <c r="G2522" s="32">
        <f>IF(C2522&lt;&gt;"Venta","",D2522*IFERROR(INDEX(Productos!$E$2:$E$501,MATCH(B2522,Productos!$A$2:$A$501,0)),0))</f>
        <v/>
      </c>
      <c r="H2522" s="33">
        <f>IF(A2522="","",MONTH(A2522))</f>
        <v/>
      </c>
      <c r="I2522" s="33">
        <f>IF(A2522="","",YEAR(A2522))</f>
        <v/>
      </c>
    </row>
    <row r="2523" ht="15" customHeight="1" s="21">
      <c r="A2523" s="34" t="n"/>
      <c r="B2523" s="30" t="n"/>
      <c r="C2523" s="30" t="n"/>
      <c r="D2523" s="30" t="n"/>
      <c r="E2523" s="33">
        <f>IF(B2523="","",IFERROR(INDEX(Productos!$B$2:$B$501,MATCH(B2523,Productos!$A$2:$A$501,0)),"¿Código?"))</f>
        <v/>
      </c>
      <c r="F2523" s="32">
        <f>IF(C2523&lt;&gt;"Venta","",D2523*IFERROR(INDEX(Productos!$D$2:$D$501,MATCH(B2523,Productos!$A$2:$A$501,0)),0))</f>
        <v/>
      </c>
      <c r="G2523" s="32">
        <f>IF(C2523&lt;&gt;"Venta","",D2523*IFERROR(INDEX(Productos!$E$2:$E$501,MATCH(B2523,Productos!$A$2:$A$501,0)),0))</f>
        <v/>
      </c>
      <c r="H2523" s="33">
        <f>IF(A2523="","",MONTH(A2523))</f>
        <v/>
      </c>
      <c r="I2523" s="33">
        <f>IF(A2523="","",YEAR(A2523))</f>
        <v/>
      </c>
    </row>
    <row r="2524" ht="15" customHeight="1" s="21">
      <c r="A2524" s="34" t="n"/>
      <c r="B2524" s="30" t="n"/>
      <c r="C2524" s="30" t="n"/>
      <c r="D2524" s="30" t="n"/>
      <c r="E2524" s="33">
        <f>IF(B2524="","",IFERROR(INDEX(Productos!$B$2:$B$501,MATCH(B2524,Productos!$A$2:$A$501,0)),"¿Código?"))</f>
        <v/>
      </c>
      <c r="F2524" s="32">
        <f>IF(C2524&lt;&gt;"Venta","",D2524*IFERROR(INDEX(Productos!$D$2:$D$501,MATCH(B2524,Productos!$A$2:$A$501,0)),0))</f>
        <v/>
      </c>
      <c r="G2524" s="32">
        <f>IF(C2524&lt;&gt;"Venta","",D2524*IFERROR(INDEX(Productos!$E$2:$E$501,MATCH(B2524,Productos!$A$2:$A$501,0)),0))</f>
        <v/>
      </c>
      <c r="H2524" s="33">
        <f>IF(A2524="","",MONTH(A2524))</f>
        <v/>
      </c>
      <c r="I2524" s="33">
        <f>IF(A2524="","",YEAR(A2524))</f>
        <v/>
      </c>
    </row>
    <row r="2525" ht="15" customHeight="1" s="21">
      <c r="A2525" s="34" t="n"/>
      <c r="B2525" s="30" t="n"/>
      <c r="C2525" s="30" t="n"/>
      <c r="D2525" s="30" t="n"/>
      <c r="E2525" s="33">
        <f>IF(B2525="","",IFERROR(INDEX(Productos!$B$2:$B$501,MATCH(B2525,Productos!$A$2:$A$501,0)),"¿Código?"))</f>
        <v/>
      </c>
      <c r="F2525" s="32">
        <f>IF(C2525&lt;&gt;"Venta","",D2525*IFERROR(INDEX(Productos!$D$2:$D$501,MATCH(B2525,Productos!$A$2:$A$501,0)),0))</f>
        <v/>
      </c>
      <c r="G2525" s="32">
        <f>IF(C2525&lt;&gt;"Venta","",D2525*IFERROR(INDEX(Productos!$E$2:$E$501,MATCH(B2525,Productos!$A$2:$A$501,0)),0))</f>
        <v/>
      </c>
      <c r="H2525" s="33">
        <f>IF(A2525="","",MONTH(A2525))</f>
        <v/>
      </c>
      <c r="I2525" s="33">
        <f>IF(A2525="","",YEAR(A2525))</f>
        <v/>
      </c>
    </row>
    <row r="2526" ht="15" customHeight="1" s="21">
      <c r="A2526" s="34" t="n"/>
      <c r="B2526" s="30" t="n"/>
      <c r="C2526" s="30" t="n"/>
      <c r="D2526" s="30" t="n"/>
      <c r="E2526" s="33">
        <f>IF(B2526="","",IFERROR(INDEX(Productos!$B$2:$B$501,MATCH(B2526,Productos!$A$2:$A$501,0)),"¿Código?"))</f>
        <v/>
      </c>
      <c r="F2526" s="32">
        <f>IF(C2526&lt;&gt;"Venta","",D2526*IFERROR(INDEX(Productos!$D$2:$D$501,MATCH(B2526,Productos!$A$2:$A$501,0)),0))</f>
        <v/>
      </c>
      <c r="G2526" s="32">
        <f>IF(C2526&lt;&gt;"Venta","",D2526*IFERROR(INDEX(Productos!$E$2:$E$501,MATCH(B2526,Productos!$A$2:$A$501,0)),0))</f>
        <v/>
      </c>
      <c r="H2526" s="33">
        <f>IF(A2526="","",MONTH(A2526))</f>
        <v/>
      </c>
      <c r="I2526" s="33">
        <f>IF(A2526="","",YEAR(A2526))</f>
        <v/>
      </c>
    </row>
    <row r="2527" ht="15" customHeight="1" s="21">
      <c r="A2527" s="34" t="n"/>
      <c r="B2527" s="30" t="n"/>
      <c r="C2527" s="30" t="n"/>
      <c r="D2527" s="30" t="n"/>
      <c r="E2527" s="33">
        <f>IF(B2527="","",IFERROR(INDEX(Productos!$B$2:$B$501,MATCH(B2527,Productos!$A$2:$A$501,0)),"¿Código?"))</f>
        <v/>
      </c>
      <c r="F2527" s="32">
        <f>IF(C2527&lt;&gt;"Venta","",D2527*IFERROR(INDEX(Productos!$D$2:$D$501,MATCH(B2527,Productos!$A$2:$A$501,0)),0))</f>
        <v/>
      </c>
      <c r="G2527" s="32">
        <f>IF(C2527&lt;&gt;"Venta","",D2527*IFERROR(INDEX(Productos!$E$2:$E$501,MATCH(B2527,Productos!$A$2:$A$501,0)),0))</f>
        <v/>
      </c>
      <c r="H2527" s="33">
        <f>IF(A2527="","",MONTH(A2527))</f>
        <v/>
      </c>
      <c r="I2527" s="33">
        <f>IF(A2527="","",YEAR(A2527))</f>
        <v/>
      </c>
    </row>
    <row r="2528" ht="15" customHeight="1" s="21">
      <c r="A2528" s="34" t="n"/>
      <c r="B2528" s="30" t="n"/>
      <c r="C2528" s="30" t="n"/>
      <c r="D2528" s="30" t="n"/>
      <c r="E2528" s="33">
        <f>IF(B2528="","",IFERROR(INDEX(Productos!$B$2:$B$501,MATCH(B2528,Productos!$A$2:$A$501,0)),"¿Código?"))</f>
        <v/>
      </c>
      <c r="F2528" s="32">
        <f>IF(C2528&lt;&gt;"Venta","",D2528*IFERROR(INDEX(Productos!$D$2:$D$501,MATCH(B2528,Productos!$A$2:$A$501,0)),0))</f>
        <v/>
      </c>
      <c r="G2528" s="32">
        <f>IF(C2528&lt;&gt;"Venta","",D2528*IFERROR(INDEX(Productos!$E$2:$E$501,MATCH(B2528,Productos!$A$2:$A$501,0)),0))</f>
        <v/>
      </c>
      <c r="H2528" s="33">
        <f>IF(A2528="","",MONTH(A2528))</f>
        <v/>
      </c>
      <c r="I2528" s="33">
        <f>IF(A2528="","",YEAR(A2528))</f>
        <v/>
      </c>
    </row>
    <row r="2529" ht="15" customHeight="1" s="21">
      <c r="A2529" s="34" t="n"/>
      <c r="B2529" s="30" t="n"/>
      <c r="C2529" s="30" t="n"/>
      <c r="D2529" s="30" t="n"/>
      <c r="E2529" s="33">
        <f>IF(B2529="","",IFERROR(INDEX(Productos!$B$2:$B$501,MATCH(B2529,Productos!$A$2:$A$501,0)),"¿Código?"))</f>
        <v/>
      </c>
      <c r="F2529" s="32">
        <f>IF(C2529&lt;&gt;"Venta","",D2529*IFERROR(INDEX(Productos!$D$2:$D$501,MATCH(B2529,Productos!$A$2:$A$501,0)),0))</f>
        <v/>
      </c>
      <c r="G2529" s="32">
        <f>IF(C2529&lt;&gt;"Venta","",D2529*IFERROR(INDEX(Productos!$E$2:$E$501,MATCH(B2529,Productos!$A$2:$A$501,0)),0))</f>
        <v/>
      </c>
      <c r="H2529" s="33">
        <f>IF(A2529="","",MONTH(A2529))</f>
        <v/>
      </c>
      <c r="I2529" s="33">
        <f>IF(A2529="","",YEAR(A2529))</f>
        <v/>
      </c>
    </row>
    <row r="2530" ht="15" customHeight="1" s="21">
      <c r="A2530" s="34" t="n"/>
      <c r="B2530" s="30" t="n"/>
      <c r="C2530" s="30" t="n"/>
      <c r="D2530" s="30" t="n"/>
      <c r="E2530" s="33">
        <f>IF(B2530="","",IFERROR(INDEX(Productos!$B$2:$B$501,MATCH(B2530,Productos!$A$2:$A$501,0)),"¿Código?"))</f>
        <v/>
      </c>
      <c r="F2530" s="32">
        <f>IF(C2530&lt;&gt;"Venta","",D2530*IFERROR(INDEX(Productos!$D$2:$D$501,MATCH(B2530,Productos!$A$2:$A$501,0)),0))</f>
        <v/>
      </c>
      <c r="G2530" s="32">
        <f>IF(C2530&lt;&gt;"Venta","",D2530*IFERROR(INDEX(Productos!$E$2:$E$501,MATCH(B2530,Productos!$A$2:$A$501,0)),0))</f>
        <v/>
      </c>
      <c r="H2530" s="33">
        <f>IF(A2530="","",MONTH(A2530))</f>
        <v/>
      </c>
      <c r="I2530" s="33">
        <f>IF(A2530="","",YEAR(A2530))</f>
        <v/>
      </c>
    </row>
    <row r="2531" ht="15" customHeight="1" s="21">
      <c r="A2531" s="34" t="n"/>
      <c r="B2531" s="30" t="n"/>
      <c r="C2531" s="30" t="n"/>
      <c r="D2531" s="30" t="n"/>
      <c r="E2531" s="33">
        <f>IF(B2531="","",IFERROR(INDEX(Productos!$B$2:$B$501,MATCH(B2531,Productos!$A$2:$A$501,0)),"¿Código?"))</f>
        <v/>
      </c>
      <c r="F2531" s="32">
        <f>IF(C2531&lt;&gt;"Venta","",D2531*IFERROR(INDEX(Productos!$D$2:$D$501,MATCH(B2531,Productos!$A$2:$A$501,0)),0))</f>
        <v/>
      </c>
      <c r="G2531" s="32">
        <f>IF(C2531&lt;&gt;"Venta","",D2531*IFERROR(INDEX(Productos!$E$2:$E$501,MATCH(B2531,Productos!$A$2:$A$501,0)),0))</f>
        <v/>
      </c>
      <c r="H2531" s="33">
        <f>IF(A2531="","",MONTH(A2531))</f>
        <v/>
      </c>
      <c r="I2531" s="33">
        <f>IF(A2531="","",YEAR(A2531))</f>
        <v/>
      </c>
    </row>
    <row r="2532" ht="15" customHeight="1" s="21">
      <c r="A2532" s="34" t="n"/>
      <c r="B2532" s="30" t="n"/>
      <c r="C2532" s="30" t="n"/>
      <c r="D2532" s="30" t="n"/>
      <c r="E2532" s="33">
        <f>IF(B2532="","",IFERROR(INDEX(Productos!$B$2:$B$501,MATCH(B2532,Productos!$A$2:$A$501,0)),"¿Código?"))</f>
        <v/>
      </c>
      <c r="F2532" s="32">
        <f>IF(C2532&lt;&gt;"Venta","",D2532*IFERROR(INDEX(Productos!$D$2:$D$501,MATCH(B2532,Productos!$A$2:$A$501,0)),0))</f>
        <v/>
      </c>
      <c r="G2532" s="32">
        <f>IF(C2532&lt;&gt;"Venta","",D2532*IFERROR(INDEX(Productos!$E$2:$E$501,MATCH(B2532,Productos!$A$2:$A$501,0)),0))</f>
        <v/>
      </c>
      <c r="H2532" s="33">
        <f>IF(A2532="","",MONTH(A2532))</f>
        <v/>
      </c>
      <c r="I2532" s="33">
        <f>IF(A2532="","",YEAR(A2532))</f>
        <v/>
      </c>
    </row>
    <row r="2533" ht="15" customHeight="1" s="21">
      <c r="A2533" s="34" t="n"/>
      <c r="B2533" s="30" t="n"/>
      <c r="C2533" s="30" t="n"/>
      <c r="D2533" s="30" t="n"/>
      <c r="E2533" s="33">
        <f>IF(B2533="","",IFERROR(INDEX(Productos!$B$2:$B$501,MATCH(B2533,Productos!$A$2:$A$501,0)),"¿Código?"))</f>
        <v/>
      </c>
      <c r="F2533" s="32">
        <f>IF(C2533&lt;&gt;"Venta","",D2533*IFERROR(INDEX(Productos!$D$2:$D$501,MATCH(B2533,Productos!$A$2:$A$501,0)),0))</f>
        <v/>
      </c>
      <c r="G2533" s="32">
        <f>IF(C2533&lt;&gt;"Venta","",D2533*IFERROR(INDEX(Productos!$E$2:$E$501,MATCH(B2533,Productos!$A$2:$A$501,0)),0))</f>
        <v/>
      </c>
      <c r="H2533" s="33">
        <f>IF(A2533="","",MONTH(A2533))</f>
        <v/>
      </c>
      <c r="I2533" s="33">
        <f>IF(A2533="","",YEAR(A2533))</f>
        <v/>
      </c>
    </row>
    <row r="2534" ht="15" customHeight="1" s="21">
      <c r="A2534" s="34" t="n"/>
      <c r="B2534" s="30" t="n"/>
      <c r="C2534" s="30" t="n"/>
      <c r="D2534" s="30" t="n"/>
      <c r="E2534" s="33">
        <f>IF(B2534="","",IFERROR(INDEX(Productos!$B$2:$B$501,MATCH(B2534,Productos!$A$2:$A$501,0)),"¿Código?"))</f>
        <v/>
      </c>
      <c r="F2534" s="32">
        <f>IF(C2534&lt;&gt;"Venta","",D2534*IFERROR(INDEX(Productos!$D$2:$D$501,MATCH(B2534,Productos!$A$2:$A$501,0)),0))</f>
        <v/>
      </c>
      <c r="G2534" s="32">
        <f>IF(C2534&lt;&gt;"Venta","",D2534*IFERROR(INDEX(Productos!$E$2:$E$501,MATCH(B2534,Productos!$A$2:$A$501,0)),0))</f>
        <v/>
      </c>
      <c r="H2534" s="33">
        <f>IF(A2534="","",MONTH(A2534))</f>
        <v/>
      </c>
      <c r="I2534" s="33">
        <f>IF(A2534="","",YEAR(A2534))</f>
        <v/>
      </c>
    </row>
    <row r="2535" ht="15" customHeight="1" s="21">
      <c r="A2535" s="34" t="n"/>
      <c r="B2535" s="30" t="n"/>
      <c r="C2535" s="30" t="n"/>
      <c r="D2535" s="30" t="n"/>
      <c r="E2535" s="33">
        <f>IF(B2535="","",IFERROR(INDEX(Productos!$B$2:$B$501,MATCH(B2535,Productos!$A$2:$A$501,0)),"¿Código?"))</f>
        <v/>
      </c>
      <c r="F2535" s="32">
        <f>IF(C2535&lt;&gt;"Venta","",D2535*IFERROR(INDEX(Productos!$D$2:$D$501,MATCH(B2535,Productos!$A$2:$A$501,0)),0))</f>
        <v/>
      </c>
      <c r="G2535" s="32">
        <f>IF(C2535&lt;&gt;"Venta","",D2535*IFERROR(INDEX(Productos!$E$2:$E$501,MATCH(B2535,Productos!$A$2:$A$501,0)),0))</f>
        <v/>
      </c>
      <c r="H2535" s="33">
        <f>IF(A2535="","",MONTH(A2535))</f>
        <v/>
      </c>
      <c r="I2535" s="33">
        <f>IF(A2535="","",YEAR(A2535))</f>
        <v/>
      </c>
    </row>
    <row r="2536" ht="15" customHeight="1" s="21">
      <c r="A2536" s="34" t="n"/>
      <c r="B2536" s="30" t="n"/>
      <c r="C2536" s="30" t="n"/>
      <c r="D2536" s="30" t="n"/>
      <c r="E2536" s="33">
        <f>IF(B2536="","",IFERROR(INDEX(Productos!$B$2:$B$501,MATCH(B2536,Productos!$A$2:$A$501,0)),"¿Código?"))</f>
        <v/>
      </c>
      <c r="F2536" s="32">
        <f>IF(C2536&lt;&gt;"Venta","",D2536*IFERROR(INDEX(Productos!$D$2:$D$501,MATCH(B2536,Productos!$A$2:$A$501,0)),0))</f>
        <v/>
      </c>
      <c r="G2536" s="32">
        <f>IF(C2536&lt;&gt;"Venta","",D2536*IFERROR(INDEX(Productos!$E$2:$E$501,MATCH(B2536,Productos!$A$2:$A$501,0)),0))</f>
        <v/>
      </c>
      <c r="H2536" s="33">
        <f>IF(A2536="","",MONTH(A2536))</f>
        <v/>
      </c>
      <c r="I2536" s="33">
        <f>IF(A2536="","",YEAR(A2536))</f>
        <v/>
      </c>
    </row>
    <row r="2537" ht="15" customHeight="1" s="21">
      <c r="A2537" s="34" t="n"/>
      <c r="B2537" s="30" t="n"/>
      <c r="C2537" s="30" t="n"/>
      <c r="D2537" s="30" t="n"/>
      <c r="E2537" s="33">
        <f>IF(B2537="","",IFERROR(INDEX(Productos!$B$2:$B$501,MATCH(B2537,Productos!$A$2:$A$501,0)),"¿Código?"))</f>
        <v/>
      </c>
      <c r="F2537" s="32">
        <f>IF(C2537&lt;&gt;"Venta","",D2537*IFERROR(INDEX(Productos!$D$2:$D$501,MATCH(B2537,Productos!$A$2:$A$501,0)),0))</f>
        <v/>
      </c>
      <c r="G2537" s="32">
        <f>IF(C2537&lt;&gt;"Venta","",D2537*IFERROR(INDEX(Productos!$E$2:$E$501,MATCH(B2537,Productos!$A$2:$A$501,0)),0))</f>
        <v/>
      </c>
      <c r="H2537" s="33">
        <f>IF(A2537="","",MONTH(A2537))</f>
        <v/>
      </c>
      <c r="I2537" s="33">
        <f>IF(A2537="","",YEAR(A2537))</f>
        <v/>
      </c>
    </row>
    <row r="2538" ht="15" customHeight="1" s="21">
      <c r="A2538" s="34" t="n"/>
      <c r="B2538" s="30" t="n"/>
      <c r="C2538" s="30" t="n"/>
      <c r="D2538" s="30" t="n"/>
      <c r="E2538" s="33">
        <f>IF(B2538="","",IFERROR(INDEX(Productos!$B$2:$B$501,MATCH(B2538,Productos!$A$2:$A$501,0)),"¿Código?"))</f>
        <v/>
      </c>
      <c r="F2538" s="32">
        <f>IF(C2538&lt;&gt;"Venta","",D2538*IFERROR(INDEX(Productos!$D$2:$D$501,MATCH(B2538,Productos!$A$2:$A$501,0)),0))</f>
        <v/>
      </c>
      <c r="G2538" s="32">
        <f>IF(C2538&lt;&gt;"Venta","",D2538*IFERROR(INDEX(Productos!$E$2:$E$501,MATCH(B2538,Productos!$A$2:$A$501,0)),0))</f>
        <v/>
      </c>
      <c r="H2538" s="33">
        <f>IF(A2538="","",MONTH(A2538))</f>
        <v/>
      </c>
      <c r="I2538" s="33">
        <f>IF(A2538="","",YEAR(A2538))</f>
        <v/>
      </c>
    </row>
    <row r="2539" ht="15" customHeight="1" s="21">
      <c r="A2539" s="34" t="n"/>
      <c r="B2539" s="30" t="n"/>
      <c r="C2539" s="30" t="n"/>
      <c r="D2539" s="30" t="n"/>
      <c r="E2539" s="33">
        <f>IF(B2539="","",IFERROR(INDEX(Productos!$B$2:$B$501,MATCH(B2539,Productos!$A$2:$A$501,0)),"¿Código?"))</f>
        <v/>
      </c>
      <c r="F2539" s="32">
        <f>IF(C2539&lt;&gt;"Venta","",D2539*IFERROR(INDEX(Productos!$D$2:$D$501,MATCH(B2539,Productos!$A$2:$A$501,0)),0))</f>
        <v/>
      </c>
      <c r="G2539" s="32">
        <f>IF(C2539&lt;&gt;"Venta","",D2539*IFERROR(INDEX(Productos!$E$2:$E$501,MATCH(B2539,Productos!$A$2:$A$501,0)),0))</f>
        <v/>
      </c>
      <c r="H2539" s="33">
        <f>IF(A2539="","",MONTH(A2539))</f>
        <v/>
      </c>
      <c r="I2539" s="33">
        <f>IF(A2539="","",YEAR(A2539))</f>
        <v/>
      </c>
    </row>
    <row r="2540" ht="15" customHeight="1" s="21">
      <c r="A2540" s="34" t="n"/>
      <c r="B2540" s="30" t="n"/>
      <c r="C2540" s="30" t="n"/>
      <c r="D2540" s="30" t="n"/>
      <c r="E2540" s="33">
        <f>IF(B2540="","",IFERROR(INDEX(Productos!$B$2:$B$501,MATCH(B2540,Productos!$A$2:$A$501,0)),"¿Código?"))</f>
        <v/>
      </c>
      <c r="F2540" s="32">
        <f>IF(C2540&lt;&gt;"Venta","",D2540*IFERROR(INDEX(Productos!$D$2:$D$501,MATCH(B2540,Productos!$A$2:$A$501,0)),0))</f>
        <v/>
      </c>
      <c r="G2540" s="32">
        <f>IF(C2540&lt;&gt;"Venta","",D2540*IFERROR(INDEX(Productos!$E$2:$E$501,MATCH(B2540,Productos!$A$2:$A$501,0)),0))</f>
        <v/>
      </c>
      <c r="H2540" s="33">
        <f>IF(A2540="","",MONTH(A2540))</f>
        <v/>
      </c>
      <c r="I2540" s="33">
        <f>IF(A2540="","",YEAR(A2540))</f>
        <v/>
      </c>
    </row>
    <row r="2541" ht="15" customHeight="1" s="21">
      <c r="A2541" s="34" t="n"/>
      <c r="B2541" s="30" t="n"/>
      <c r="C2541" s="30" t="n"/>
      <c r="D2541" s="30" t="n"/>
      <c r="E2541" s="33">
        <f>IF(B2541="","",IFERROR(INDEX(Productos!$B$2:$B$501,MATCH(B2541,Productos!$A$2:$A$501,0)),"¿Código?"))</f>
        <v/>
      </c>
      <c r="F2541" s="32">
        <f>IF(C2541&lt;&gt;"Venta","",D2541*IFERROR(INDEX(Productos!$D$2:$D$501,MATCH(B2541,Productos!$A$2:$A$501,0)),0))</f>
        <v/>
      </c>
      <c r="G2541" s="32">
        <f>IF(C2541&lt;&gt;"Venta","",D2541*IFERROR(INDEX(Productos!$E$2:$E$501,MATCH(B2541,Productos!$A$2:$A$501,0)),0))</f>
        <v/>
      </c>
      <c r="H2541" s="33">
        <f>IF(A2541="","",MONTH(A2541))</f>
        <v/>
      </c>
      <c r="I2541" s="33">
        <f>IF(A2541="","",YEAR(A2541))</f>
        <v/>
      </c>
    </row>
    <row r="2542" ht="15" customHeight="1" s="21">
      <c r="A2542" s="34" t="n"/>
      <c r="B2542" s="30" t="n"/>
      <c r="C2542" s="30" t="n"/>
      <c r="D2542" s="30" t="n"/>
      <c r="E2542" s="33">
        <f>IF(B2542="","",IFERROR(INDEX(Productos!$B$2:$B$501,MATCH(B2542,Productos!$A$2:$A$501,0)),"¿Código?"))</f>
        <v/>
      </c>
      <c r="F2542" s="32">
        <f>IF(C2542&lt;&gt;"Venta","",D2542*IFERROR(INDEX(Productos!$D$2:$D$501,MATCH(B2542,Productos!$A$2:$A$501,0)),0))</f>
        <v/>
      </c>
      <c r="G2542" s="32">
        <f>IF(C2542&lt;&gt;"Venta","",D2542*IFERROR(INDEX(Productos!$E$2:$E$501,MATCH(B2542,Productos!$A$2:$A$501,0)),0))</f>
        <v/>
      </c>
      <c r="H2542" s="33">
        <f>IF(A2542="","",MONTH(A2542))</f>
        <v/>
      </c>
      <c r="I2542" s="33">
        <f>IF(A2542="","",YEAR(A2542))</f>
        <v/>
      </c>
    </row>
    <row r="2543" ht="15" customHeight="1" s="21">
      <c r="A2543" s="34" t="n"/>
      <c r="B2543" s="30" t="n"/>
      <c r="C2543" s="30" t="n"/>
      <c r="D2543" s="30" t="n"/>
      <c r="E2543" s="33">
        <f>IF(B2543="","",IFERROR(INDEX(Productos!$B$2:$B$501,MATCH(B2543,Productos!$A$2:$A$501,0)),"¿Código?"))</f>
        <v/>
      </c>
      <c r="F2543" s="32">
        <f>IF(C2543&lt;&gt;"Venta","",D2543*IFERROR(INDEX(Productos!$D$2:$D$501,MATCH(B2543,Productos!$A$2:$A$501,0)),0))</f>
        <v/>
      </c>
      <c r="G2543" s="32">
        <f>IF(C2543&lt;&gt;"Venta","",D2543*IFERROR(INDEX(Productos!$E$2:$E$501,MATCH(B2543,Productos!$A$2:$A$501,0)),0))</f>
        <v/>
      </c>
      <c r="H2543" s="33">
        <f>IF(A2543="","",MONTH(A2543))</f>
        <v/>
      </c>
      <c r="I2543" s="33">
        <f>IF(A2543="","",YEAR(A2543))</f>
        <v/>
      </c>
    </row>
    <row r="2544" ht="15" customHeight="1" s="21">
      <c r="A2544" s="34" t="n"/>
      <c r="B2544" s="30" t="n"/>
      <c r="C2544" s="30" t="n"/>
      <c r="D2544" s="30" t="n"/>
      <c r="E2544" s="33">
        <f>IF(B2544="","",IFERROR(INDEX(Productos!$B$2:$B$501,MATCH(B2544,Productos!$A$2:$A$501,0)),"¿Código?"))</f>
        <v/>
      </c>
      <c r="F2544" s="32">
        <f>IF(C2544&lt;&gt;"Venta","",D2544*IFERROR(INDEX(Productos!$D$2:$D$501,MATCH(B2544,Productos!$A$2:$A$501,0)),0))</f>
        <v/>
      </c>
      <c r="G2544" s="32">
        <f>IF(C2544&lt;&gt;"Venta","",D2544*IFERROR(INDEX(Productos!$E$2:$E$501,MATCH(B2544,Productos!$A$2:$A$501,0)),0))</f>
        <v/>
      </c>
      <c r="H2544" s="33">
        <f>IF(A2544="","",MONTH(A2544))</f>
        <v/>
      </c>
      <c r="I2544" s="33">
        <f>IF(A2544="","",YEAR(A2544))</f>
        <v/>
      </c>
    </row>
    <row r="2545" ht="15" customHeight="1" s="21">
      <c r="A2545" s="34" t="n"/>
      <c r="B2545" s="30" t="n"/>
      <c r="C2545" s="30" t="n"/>
      <c r="D2545" s="30" t="n"/>
      <c r="E2545" s="33">
        <f>IF(B2545="","",IFERROR(INDEX(Productos!$B$2:$B$501,MATCH(B2545,Productos!$A$2:$A$501,0)),"¿Código?"))</f>
        <v/>
      </c>
      <c r="F2545" s="32">
        <f>IF(C2545&lt;&gt;"Venta","",D2545*IFERROR(INDEX(Productos!$D$2:$D$501,MATCH(B2545,Productos!$A$2:$A$501,0)),0))</f>
        <v/>
      </c>
      <c r="G2545" s="32">
        <f>IF(C2545&lt;&gt;"Venta","",D2545*IFERROR(INDEX(Productos!$E$2:$E$501,MATCH(B2545,Productos!$A$2:$A$501,0)),0))</f>
        <v/>
      </c>
      <c r="H2545" s="33">
        <f>IF(A2545="","",MONTH(A2545))</f>
        <v/>
      </c>
      <c r="I2545" s="33">
        <f>IF(A2545="","",YEAR(A2545))</f>
        <v/>
      </c>
    </row>
    <row r="2546" ht="15" customHeight="1" s="21">
      <c r="A2546" s="34" t="n"/>
      <c r="B2546" s="30" t="n"/>
      <c r="C2546" s="30" t="n"/>
      <c r="D2546" s="30" t="n"/>
      <c r="E2546" s="33">
        <f>IF(B2546="","",IFERROR(INDEX(Productos!$B$2:$B$501,MATCH(B2546,Productos!$A$2:$A$501,0)),"¿Código?"))</f>
        <v/>
      </c>
      <c r="F2546" s="32">
        <f>IF(C2546&lt;&gt;"Venta","",D2546*IFERROR(INDEX(Productos!$D$2:$D$501,MATCH(B2546,Productos!$A$2:$A$501,0)),0))</f>
        <v/>
      </c>
      <c r="G2546" s="32">
        <f>IF(C2546&lt;&gt;"Venta","",D2546*IFERROR(INDEX(Productos!$E$2:$E$501,MATCH(B2546,Productos!$A$2:$A$501,0)),0))</f>
        <v/>
      </c>
      <c r="H2546" s="33">
        <f>IF(A2546="","",MONTH(A2546))</f>
        <v/>
      </c>
      <c r="I2546" s="33">
        <f>IF(A2546="","",YEAR(A2546))</f>
        <v/>
      </c>
    </row>
    <row r="2547" ht="15" customHeight="1" s="21">
      <c r="A2547" s="34" t="n"/>
      <c r="B2547" s="30" t="n"/>
      <c r="C2547" s="30" t="n"/>
      <c r="D2547" s="30" t="n"/>
      <c r="E2547" s="33">
        <f>IF(B2547="","",IFERROR(INDEX(Productos!$B$2:$B$501,MATCH(B2547,Productos!$A$2:$A$501,0)),"¿Código?"))</f>
        <v/>
      </c>
      <c r="F2547" s="32">
        <f>IF(C2547&lt;&gt;"Venta","",D2547*IFERROR(INDEX(Productos!$D$2:$D$501,MATCH(B2547,Productos!$A$2:$A$501,0)),0))</f>
        <v/>
      </c>
      <c r="G2547" s="32">
        <f>IF(C2547&lt;&gt;"Venta","",D2547*IFERROR(INDEX(Productos!$E$2:$E$501,MATCH(B2547,Productos!$A$2:$A$501,0)),0))</f>
        <v/>
      </c>
      <c r="H2547" s="33">
        <f>IF(A2547="","",MONTH(A2547))</f>
        <v/>
      </c>
      <c r="I2547" s="33">
        <f>IF(A2547="","",YEAR(A2547))</f>
        <v/>
      </c>
    </row>
    <row r="2548" ht="15" customHeight="1" s="21">
      <c r="A2548" s="34" t="n"/>
      <c r="B2548" s="30" t="n"/>
      <c r="C2548" s="30" t="n"/>
      <c r="D2548" s="30" t="n"/>
      <c r="E2548" s="33">
        <f>IF(B2548="","",IFERROR(INDEX(Productos!$B$2:$B$501,MATCH(B2548,Productos!$A$2:$A$501,0)),"¿Código?"))</f>
        <v/>
      </c>
      <c r="F2548" s="32">
        <f>IF(C2548&lt;&gt;"Venta","",D2548*IFERROR(INDEX(Productos!$D$2:$D$501,MATCH(B2548,Productos!$A$2:$A$501,0)),0))</f>
        <v/>
      </c>
      <c r="G2548" s="32">
        <f>IF(C2548&lt;&gt;"Venta","",D2548*IFERROR(INDEX(Productos!$E$2:$E$501,MATCH(B2548,Productos!$A$2:$A$501,0)),0))</f>
        <v/>
      </c>
      <c r="H2548" s="33">
        <f>IF(A2548="","",MONTH(A2548))</f>
        <v/>
      </c>
      <c r="I2548" s="33">
        <f>IF(A2548="","",YEAR(A2548))</f>
        <v/>
      </c>
    </row>
    <row r="2549" ht="15" customHeight="1" s="21">
      <c r="A2549" s="34" t="n"/>
      <c r="B2549" s="30" t="n"/>
      <c r="C2549" s="30" t="n"/>
      <c r="D2549" s="30" t="n"/>
      <c r="E2549" s="33">
        <f>IF(B2549="","",IFERROR(INDEX(Productos!$B$2:$B$501,MATCH(B2549,Productos!$A$2:$A$501,0)),"¿Código?"))</f>
        <v/>
      </c>
      <c r="F2549" s="32">
        <f>IF(C2549&lt;&gt;"Venta","",D2549*IFERROR(INDEX(Productos!$D$2:$D$501,MATCH(B2549,Productos!$A$2:$A$501,0)),0))</f>
        <v/>
      </c>
      <c r="G2549" s="32">
        <f>IF(C2549&lt;&gt;"Venta","",D2549*IFERROR(INDEX(Productos!$E$2:$E$501,MATCH(B2549,Productos!$A$2:$A$501,0)),0))</f>
        <v/>
      </c>
      <c r="H2549" s="33">
        <f>IF(A2549="","",MONTH(A2549))</f>
        <v/>
      </c>
      <c r="I2549" s="33">
        <f>IF(A2549="","",YEAR(A2549))</f>
        <v/>
      </c>
    </row>
    <row r="2550" ht="15" customHeight="1" s="21">
      <c r="A2550" s="34" t="n"/>
      <c r="B2550" s="30" t="n"/>
      <c r="C2550" s="30" t="n"/>
      <c r="D2550" s="30" t="n"/>
      <c r="E2550" s="33">
        <f>IF(B2550="","",IFERROR(INDEX(Productos!$B$2:$B$501,MATCH(B2550,Productos!$A$2:$A$501,0)),"¿Código?"))</f>
        <v/>
      </c>
      <c r="F2550" s="32">
        <f>IF(C2550&lt;&gt;"Venta","",D2550*IFERROR(INDEX(Productos!$D$2:$D$501,MATCH(B2550,Productos!$A$2:$A$501,0)),0))</f>
        <v/>
      </c>
      <c r="G2550" s="32">
        <f>IF(C2550&lt;&gt;"Venta","",D2550*IFERROR(INDEX(Productos!$E$2:$E$501,MATCH(B2550,Productos!$A$2:$A$501,0)),0))</f>
        <v/>
      </c>
      <c r="H2550" s="33">
        <f>IF(A2550="","",MONTH(A2550))</f>
        <v/>
      </c>
      <c r="I2550" s="33">
        <f>IF(A2550="","",YEAR(A2550))</f>
        <v/>
      </c>
    </row>
    <row r="2551" ht="15" customHeight="1" s="21">
      <c r="A2551" s="34" t="n"/>
      <c r="B2551" s="30" t="n"/>
      <c r="C2551" s="30" t="n"/>
      <c r="D2551" s="30" t="n"/>
      <c r="E2551" s="33">
        <f>IF(B2551="","",IFERROR(INDEX(Productos!$B$2:$B$501,MATCH(B2551,Productos!$A$2:$A$501,0)),"¿Código?"))</f>
        <v/>
      </c>
      <c r="F2551" s="32">
        <f>IF(C2551&lt;&gt;"Venta","",D2551*IFERROR(INDEX(Productos!$D$2:$D$501,MATCH(B2551,Productos!$A$2:$A$501,0)),0))</f>
        <v/>
      </c>
      <c r="G2551" s="32">
        <f>IF(C2551&lt;&gt;"Venta","",D2551*IFERROR(INDEX(Productos!$E$2:$E$501,MATCH(B2551,Productos!$A$2:$A$501,0)),0))</f>
        <v/>
      </c>
      <c r="H2551" s="33">
        <f>IF(A2551="","",MONTH(A2551))</f>
        <v/>
      </c>
      <c r="I2551" s="33">
        <f>IF(A2551="","",YEAR(A2551))</f>
        <v/>
      </c>
    </row>
    <row r="2552" ht="15" customHeight="1" s="21">
      <c r="A2552" s="34" t="n"/>
      <c r="B2552" s="30" t="n"/>
      <c r="C2552" s="30" t="n"/>
      <c r="D2552" s="30" t="n"/>
      <c r="E2552" s="33">
        <f>IF(B2552="","",IFERROR(INDEX(Productos!$B$2:$B$501,MATCH(B2552,Productos!$A$2:$A$501,0)),"¿Código?"))</f>
        <v/>
      </c>
      <c r="F2552" s="32">
        <f>IF(C2552&lt;&gt;"Venta","",D2552*IFERROR(INDEX(Productos!$D$2:$D$501,MATCH(B2552,Productos!$A$2:$A$501,0)),0))</f>
        <v/>
      </c>
      <c r="G2552" s="32">
        <f>IF(C2552&lt;&gt;"Venta","",D2552*IFERROR(INDEX(Productos!$E$2:$E$501,MATCH(B2552,Productos!$A$2:$A$501,0)),0))</f>
        <v/>
      </c>
      <c r="H2552" s="33">
        <f>IF(A2552="","",MONTH(A2552))</f>
        <v/>
      </c>
      <c r="I2552" s="33">
        <f>IF(A2552="","",YEAR(A2552))</f>
        <v/>
      </c>
    </row>
    <row r="2553" ht="15" customHeight="1" s="21">
      <c r="A2553" s="34" t="n"/>
      <c r="B2553" s="30" t="n"/>
      <c r="C2553" s="30" t="n"/>
      <c r="D2553" s="30" t="n"/>
      <c r="E2553" s="33">
        <f>IF(B2553="","",IFERROR(INDEX(Productos!$B$2:$B$501,MATCH(B2553,Productos!$A$2:$A$501,0)),"¿Código?"))</f>
        <v/>
      </c>
      <c r="F2553" s="32">
        <f>IF(C2553&lt;&gt;"Venta","",D2553*IFERROR(INDEX(Productos!$D$2:$D$501,MATCH(B2553,Productos!$A$2:$A$501,0)),0))</f>
        <v/>
      </c>
      <c r="G2553" s="32">
        <f>IF(C2553&lt;&gt;"Venta","",D2553*IFERROR(INDEX(Productos!$E$2:$E$501,MATCH(B2553,Productos!$A$2:$A$501,0)),0))</f>
        <v/>
      </c>
      <c r="H2553" s="33">
        <f>IF(A2553="","",MONTH(A2553))</f>
        <v/>
      </c>
      <c r="I2553" s="33">
        <f>IF(A2553="","",YEAR(A2553))</f>
        <v/>
      </c>
    </row>
    <row r="2554" ht="15" customHeight="1" s="21">
      <c r="A2554" s="34" t="n"/>
      <c r="B2554" s="30" t="n"/>
      <c r="C2554" s="30" t="n"/>
      <c r="D2554" s="30" t="n"/>
      <c r="E2554" s="33">
        <f>IF(B2554="","",IFERROR(INDEX(Productos!$B$2:$B$501,MATCH(B2554,Productos!$A$2:$A$501,0)),"¿Código?"))</f>
        <v/>
      </c>
      <c r="F2554" s="32">
        <f>IF(C2554&lt;&gt;"Venta","",D2554*IFERROR(INDEX(Productos!$D$2:$D$501,MATCH(B2554,Productos!$A$2:$A$501,0)),0))</f>
        <v/>
      </c>
      <c r="G2554" s="32">
        <f>IF(C2554&lt;&gt;"Venta","",D2554*IFERROR(INDEX(Productos!$E$2:$E$501,MATCH(B2554,Productos!$A$2:$A$501,0)),0))</f>
        <v/>
      </c>
      <c r="H2554" s="33">
        <f>IF(A2554="","",MONTH(A2554))</f>
        <v/>
      </c>
      <c r="I2554" s="33">
        <f>IF(A2554="","",YEAR(A2554))</f>
        <v/>
      </c>
    </row>
    <row r="2555" ht="15" customHeight="1" s="21">
      <c r="A2555" s="34" t="n"/>
      <c r="B2555" s="30" t="n"/>
      <c r="C2555" s="30" t="n"/>
      <c r="D2555" s="30" t="n"/>
      <c r="E2555" s="33">
        <f>IF(B2555="","",IFERROR(INDEX(Productos!$B$2:$B$501,MATCH(B2555,Productos!$A$2:$A$501,0)),"¿Código?"))</f>
        <v/>
      </c>
      <c r="F2555" s="32">
        <f>IF(C2555&lt;&gt;"Venta","",D2555*IFERROR(INDEX(Productos!$D$2:$D$501,MATCH(B2555,Productos!$A$2:$A$501,0)),0))</f>
        <v/>
      </c>
      <c r="G2555" s="32">
        <f>IF(C2555&lt;&gt;"Venta","",D2555*IFERROR(INDEX(Productos!$E$2:$E$501,MATCH(B2555,Productos!$A$2:$A$501,0)),0))</f>
        <v/>
      </c>
      <c r="H2555" s="33">
        <f>IF(A2555="","",MONTH(A2555))</f>
        <v/>
      </c>
      <c r="I2555" s="33">
        <f>IF(A2555="","",YEAR(A2555))</f>
        <v/>
      </c>
    </row>
    <row r="2556" ht="15" customHeight="1" s="21">
      <c r="A2556" s="34" t="n"/>
      <c r="B2556" s="30" t="n"/>
      <c r="C2556" s="30" t="n"/>
      <c r="D2556" s="30" t="n"/>
      <c r="E2556" s="33">
        <f>IF(B2556="","",IFERROR(INDEX(Productos!$B$2:$B$501,MATCH(B2556,Productos!$A$2:$A$501,0)),"¿Código?"))</f>
        <v/>
      </c>
      <c r="F2556" s="32">
        <f>IF(C2556&lt;&gt;"Venta","",D2556*IFERROR(INDEX(Productos!$D$2:$D$501,MATCH(B2556,Productos!$A$2:$A$501,0)),0))</f>
        <v/>
      </c>
      <c r="G2556" s="32">
        <f>IF(C2556&lt;&gt;"Venta","",D2556*IFERROR(INDEX(Productos!$E$2:$E$501,MATCH(B2556,Productos!$A$2:$A$501,0)),0))</f>
        <v/>
      </c>
      <c r="H2556" s="33">
        <f>IF(A2556="","",MONTH(A2556))</f>
        <v/>
      </c>
      <c r="I2556" s="33">
        <f>IF(A2556="","",YEAR(A2556))</f>
        <v/>
      </c>
    </row>
    <row r="2557" ht="15" customHeight="1" s="21">
      <c r="A2557" s="34" t="n"/>
      <c r="B2557" s="30" t="n"/>
      <c r="C2557" s="30" t="n"/>
      <c r="D2557" s="30" t="n"/>
      <c r="E2557" s="33">
        <f>IF(B2557="","",IFERROR(INDEX(Productos!$B$2:$B$501,MATCH(B2557,Productos!$A$2:$A$501,0)),"¿Código?"))</f>
        <v/>
      </c>
      <c r="F2557" s="32">
        <f>IF(C2557&lt;&gt;"Venta","",D2557*IFERROR(INDEX(Productos!$D$2:$D$501,MATCH(B2557,Productos!$A$2:$A$501,0)),0))</f>
        <v/>
      </c>
      <c r="G2557" s="32">
        <f>IF(C2557&lt;&gt;"Venta","",D2557*IFERROR(INDEX(Productos!$E$2:$E$501,MATCH(B2557,Productos!$A$2:$A$501,0)),0))</f>
        <v/>
      </c>
      <c r="H2557" s="33">
        <f>IF(A2557="","",MONTH(A2557))</f>
        <v/>
      </c>
      <c r="I2557" s="33">
        <f>IF(A2557="","",YEAR(A2557))</f>
        <v/>
      </c>
    </row>
    <row r="2558" ht="15" customHeight="1" s="21">
      <c r="A2558" s="34" t="n"/>
      <c r="B2558" s="30" t="n"/>
      <c r="C2558" s="30" t="n"/>
      <c r="D2558" s="30" t="n"/>
      <c r="E2558" s="33">
        <f>IF(B2558="","",IFERROR(INDEX(Productos!$B$2:$B$501,MATCH(B2558,Productos!$A$2:$A$501,0)),"¿Código?"))</f>
        <v/>
      </c>
      <c r="F2558" s="32">
        <f>IF(C2558&lt;&gt;"Venta","",D2558*IFERROR(INDEX(Productos!$D$2:$D$501,MATCH(B2558,Productos!$A$2:$A$501,0)),0))</f>
        <v/>
      </c>
      <c r="G2558" s="32">
        <f>IF(C2558&lt;&gt;"Venta","",D2558*IFERROR(INDEX(Productos!$E$2:$E$501,MATCH(B2558,Productos!$A$2:$A$501,0)),0))</f>
        <v/>
      </c>
      <c r="H2558" s="33">
        <f>IF(A2558="","",MONTH(A2558))</f>
        <v/>
      </c>
      <c r="I2558" s="33">
        <f>IF(A2558="","",YEAR(A2558))</f>
        <v/>
      </c>
    </row>
    <row r="2559" ht="15" customHeight="1" s="21">
      <c r="A2559" s="34" t="n"/>
      <c r="B2559" s="30" t="n"/>
      <c r="C2559" s="30" t="n"/>
      <c r="D2559" s="30" t="n"/>
      <c r="E2559" s="33">
        <f>IF(B2559="","",IFERROR(INDEX(Productos!$B$2:$B$501,MATCH(B2559,Productos!$A$2:$A$501,0)),"¿Código?"))</f>
        <v/>
      </c>
      <c r="F2559" s="32">
        <f>IF(C2559&lt;&gt;"Venta","",D2559*IFERROR(INDEX(Productos!$D$2:$D$501,MATCH(B2559,Productos!$A$2:$A$501,0)),0))</f>
        <v/>
      </c>
      <c r="G2559" s="32">
        <f>IF(C2559&lt;&gt;"Venta","",D2559*IFERROR(INDEX(Productos!$E$2:$E$501,MATCH(B2559,Productos!$A$2:$A$501,0)),0))</f>
        <v/>
      </c>
      <c r="H2559" s="33">
        <f>IF(A2559="","",MONTH(A2559))</f>
        <v/>
      </c>
      <c r="I2559" s="33">
        <f>IF(A2559="","",YEAR(A2559))</f>
        <v/>
      </c>
    </row>
    <row r="2560" ht="15" customHeight="1" s="21">
      <c r="A2560" s="34" t="n"/>
      <c r="B2560" s="30" t="n"/>
      <c r="C2560" s="30" t="n"/>
      <c r="D2560" s="30" t="n"/>
      <c r="E2560" s="33">
        <f>IF(B2560="","",IFERROR(INDEX(Productos!$B$2:$B$501,MATCH(B2560,Productos!$A$2:$A$501,0)),"¿Código?"))</f>
        <v/>
      </c>
      <c r="F2560" s="32">
        <f>IF(C2560&lt;&gt;"Venta","",D2560*IFERROR(INDEX(Productos!$D$2:$D$501,MATCH(B2560,Productos!$A$2:$A$501,0)),0))</f>
        <v/>
      </c>
      <c r="G2560" s="32">
        <f>IF(C2560&lt;&gt;"Venta","",D2560*IFERROR(INDEX(Productos!$E$2:$E$501,MATCH(B2560,Productos!$A$2:$A$501,0)),0))</f>
        <v/>
      </c>
      <c r="H2560" s="33">
        <f>IF(A2560="","",MONTH(A2560))</f>
        <v/>
      </c>
      <c r="I2560" s="33">
        <f>IF(A2560="","",YEAR(A2560))</f>
        <v/>
      </c>
    </row>
    <row r="2561" ht="15" customHeight="1" s="21">
      <c r="A2561" s="34" t="n"/>
      <c r="B2561" s="30" t="n"/>
      <c r="C2561" s="30" t="n"/>
      <c r="D2561" s="30" t="n"/>
      <c r="E2561" s="33">
        <f>IF(B2561="","",IFERROR(INDEX(Productos!$B$2:$B$501,MATCH(B2561,Productos!$A$2:$A$501,0)),"¿Código?"))</f>
        <v/>
      </c>
      <c r="F2561" s="32">
        <f>IF(C2561&lt;&gt;"Venta","",D2561*IFERROR(INDEX(Productos!$D$2:$D$501,MATCH(B2561,Productos!$A$2:$A$501,0)),0))</f>
        <v/>
      </c>
      <c r="G2561" s="32">
        <f>IF(C2561&lt;&gt;"Venta","",D2561*IFERROR(INDEX(Productos!$E$2:$E$501,MATCH(B2561,Productos!$A$2:$A$501,0)),0))</f>
        <v/>
      </c>
      <c r="H2561" s="33">
        <f>IF(A2561="","",MONTH(A2561))</f>
        <v/>
      </c>
      <c r="I2561" s="33">
        <f>IF(A2561="","",YEAR(A2561))</f>
        <v/>
      </c>
    </row>
    <row r="2562" ht="15" customHeight="1" s="21">
      <c r="A2562" s="34" t="n"/>
      <c r="B2562" s="30" t="n"/>
      <c r="C2562" s="30" t="n"/>
      <c r="D2562" s="30" t="n"/>
      <c r="E2562" s="33">
        <f>IF(B2562="","",IFERROR(INDEX(Productos!$B$2:$B$501,MATCH(B2562,Productos!$A$2:$A$501,0)),"¿Código?"))</f>
        <v/>
      </c>
      <c r="F2562" s="32">
        <f>IF(C2562&lt;&gt;"Venta","",D2562*IFERROR(INDEX(Productos!$D$2:$D$501,MATCH(B2562,Productos!$A$2:$A$501,0)),0))</f>
        <v/>
      </c>
      <c r="G2562" s="32">
        <f>IF(C2562&lt;&gt;"Venta","",D2562*IFERROR(INDEX(Productos!$E$2:$E$501,MATCH(B2562,Productos!$A$2:$A$501,0)),0))</f>
        <v/>
      </c>
      <c r="H2562" s="33">
        <f>IF(A2562="","",MONTH(A2562))</f>
        <v/>
      </c>
      <c r="I2562" s="33">
        <f>IF(A2562="","",YEAR(A2562))</f>
        <v/>
      </c>
    </row>
    <row r="2563" ht="15" customHeight="1" s="21">
      <c r="A2563" s="34" t="n"/>
      <c r="B2563" s="30" t="n"/>
      <c r="C2563" s="30" t="n"/>
      <c r="D2563" s="30" t="n"/>
      <c r="E2563" s="33">
        <f>IF(B2563="","",IFERROR(INDEX(Productos!$B$2:$B$501,MATCH(B2563,Productos!$A$2:$A$501,0)),"¿Código?"))</f>
        <v/>
      </c>
      <c r="F2563" s="32">
        <f>IF(C2563&lt;&gt;"Venta","",D2563*IFERROR(INDEX(Productos!$D$2:$D$501,MATCH(B2563,Productos!$A$2:$A$501,0)),0))</f>
        <v/>
      </c>
      <c r="G2563" s="32">
        <f>IF(C2563&lt;&gt;"Venta","",D2563*IFERROR(INDEX(Productos!$E$2:$E$501,MATCH(B2563,Productos!$A$2:$A$501,0)),0))</f>
        <v/>
      </c>
      <c r="H2563" s="33">
        <f>IF(A2563="","",MONTH(A2563))</f>
        <v/>
      </c>
      <c r="I2563" s="33">
        <f>IF(A2563="","",YEAR(A2563))</f>
        <v/>
      </c>
    </row>
    <row r="2564" ht="15" customHeight="1" s="21">
      <c r="A2564" s="34" t="n"/>
      <c r="B2564" s="30" t="n"/>
      <c r="C2564" s="30" t="n"/>
      <c r="D2564" s="30" t="n"/>
      <c r="E2564" s="33">
        <f>IF(B2564="","",IFERROR(INDEX(Productos!$B$2:$B$501,MATCH(B2564,Productos!$A$2:$A$501,0)),"¿Código?"))</f>
        <v/>
      </c>
      <c r="F2564" s="32">
        <f>IF(C2564&lt;&gt;"Venta","",D2564*IFERROR(INDEX(Productos!$D$2:$D$501,MATCH(B2564,Productos!$A$2:$A$501,0)),0))</f>
        <v/>
      </c>
      <c r="G2564" s="32">
        <f>IF(C2564&lt;&gt;"Venta","",D2564*IFERROR(INDEX(Productos!$E$2:$E$501,MATCH(B2564,Productos!$A$2:$A$501,0)),0))</f>
        <v/>
      </c>
      <c r="H2564" s="33">
        <f>IF(A2564="","",MONTH(A2564))</f>
        <v/>
      </c>
      <c r="I2564" s="33">
        <f>IF(A2564="","",YEAR(A2564))</f>
        <v/>
      </c>
    </row>
    <row r="2565" ht="15" customHeight="1" s="21">
      <c r="A2565" s="34" t="n"/>
      <c r="B2565" s="30" t="n"/>
      <c r="C2565" s="30" t="n"/>
      <c r="D2565" s="30" t="n"/>
      <c r="E2565" s="33">
        <f>IF(B2565="","",IFERROR(INDEX(Productos!$B$2:$B$501,MATCH(B2565,Productos!$A$2:$A$501,0)),"¿Código?"))</f>
        <v/>
      </c>
      <c r="F2565" s="32">
        <f>IF(C2565&lt;&gt;"Venta","",D2565*IFERROR(INDEX(Productos!$D$2:$D$501,MATCH(B2565,Productos!$A$2:$A$501,0)),0))</f>
        <v/>
      </c>
      <c r="G2565" s="32">
        <f>IF(C2565&lt;&gt;"Venta","",D2565*IFERROR(INDEX(Productos!$E$2:$E$501,MATCH(B2565,Productos!$A$2:$A$501,0)),0))</f>
        <v/>
      </c>
      <c r="H2565" s="33">
        <f>IF(A2565="","",MONTH(A2565))</f>
        <v/>
      </c>
      <c r="I2565" s="33">
        <f>IF(A2565="","",YEAR(A2565))</f>
        <v/>
      </c>
    </row>
    <row r="2566" ht="15" customHeight="1" s="21">
      <c r="A2566" s="34" t="n"/>
      <c r="B2566" s="30" t="n"/>
      <c r="C2566" s="30" t="n"/>
      <c r="D2566" s="30" t="n"/>
      <c r="E2566" s="33">
        <f>IF(B2566="","",IFERROR(INDEX(Productos!$B$2:$B$501,MATCH(B2566,Productos!$A$2:$A$501,0)),"¿Código?"))</f>
        <v/>
      </c>
      <c r="F2566" s="32">
        <f>IF(C2566&lt;&gt;"Venta","",D2566*IFERROR(INDEX(Productos!$D$2:$D$501,MATCH(B2566,Productos!$A$2:$A$501,0)),0))</f>
        <v/>
      </c>
      <c r="G2566" s="32">
        <f>IF(C2566&lt;&gt;"Venta","",D2566*IFERROR(INDEX(Productos!$E$2:$E$501,MATCH(B2566,Productos!$A$2:$A$501,0)),0))</f>
        <v/>
      </c>
      <c r="H2566" s="33">
        <f>IF(A2566="","",MONTH(A2566))</f>
        <v/>
      </c>
      <c r="I2566" s="33">
        <f>IF(A2566="","",YEAR(A2566))</f>
        <v/>
      </c>
    </row>
    <row r="2567" ht="15" customHeight="1" s="21">
      <c r="A2567" s="34" t="n"/>
      <c r="B2567" s="30" t="n"/>
      <c r="C2567" s="30" t="n"/>
      <c r="D2567" s="30" t="n"/>
      <c r="E2567" s="33">
        <f>IF(B2567="","",IFERROR(INDEX(Productos!$B$2:$B$501,MATCH(B2567,Productos!$A$2:$A$501,0)),"¿Código?"))</f>
        <v/>
      </c>
      <c r="F2567" s="32">
        <f>IF(C2567&lt;&gt;"Venta","",D2567*IFERROR(INDEX(Productos!$D$2:$D$501,MATCH(B2567,Productos!$A$2:$A$501,0)),0))</f>
        <v/>
      </c>
      <c r="G2567" s="32">
        <f>IF(C2567&lt;&gt;"Venta","",D2567*IFERROR(INDEX(Productos!$E$2:$E$501,MATCH(B2567,Productos!$A$2:$A$501,0)),0))</f>
        <v/>
      </c>
      <c r="H2567" s="33">
        <f>IF(A2567="","",MONTH(A2567))</f>
        <v/>
      </c>
      <c r="I2567" s="33">
        <f>IF(A2567="","",YEAR(A2567))</f>
        <v/>
      </c>
    </row>
    <row r="2568" ht="15" customHeight="1" s="21">
      <c r="A2568" s="34" t="n"/>
      <c r="B2568" s="30" t="n"/>
      <c r="C2568" s="30" t="n"/>
      <c r="D2568" s="30" t="n"/>
      <c r="E2568" s="33">
        <f>IF(B2568="","",IFERROR(INDEX(Productos!$B$2:$B$501,MATCH(B2568,Productos!$A$2:$A$501,0)),"¿Código?"))</f>
        <v/>
      </c>
      <c r="F2568" s="32">
        <f>IF(C2568&lt;&gt;"Venta","",D2568*IFERROR(INDEX(Productos!$D$2:$D$501,MATCH(B2568,Productos!$A$2:$A$501,0)),0))</f>
        <v/>
      </c>
      <c r="G2568" s="32">
        <f>IF(C2568&lt;&gt;"Venta","",D2568*IFERROR(INDEX(Productos!$E$2:$E$501,MATCH(B2568,Productos!$A$2:$A$501,0)),0))</f>
        <v/>
      </c>
      <c r="H2568" s="33">
        <f>IF(A2568="","",MONTH(A2568))</f>
        <v/>
      </c>
      <c r="I2568" s="33">
        <f>IF(A2568="","",YEAR(A2568))</f>
        <v/>
      </c>
    </row>
    <row r="2569" ht="15" customHeight="1" s="21">
      <c r="A2569" s="34" t="n"/>
      <c r="B2569" s="30" t="n"/>
      <c r="C2569" s="30" t="n"/>
      <c r="D2569" s="30" t="n"/>
      <c r="E2569" s="33">
        <f>IF(B2569="","",IFERROR(INDEX(Productos!$B$2:$B$501,MATCH(B2569,Productos!$A$2:$A$501,0)),"¿Código?"))</f>
        <v/>
      </c>
      <c r="F2569" s="32">
        <f>IF(C2569&lt;&gt;"Venta","",D2569*IFERROR(INDEX(Productos!$D$2:$D$501,MATCH(B2569,Productos!$A$2:$A$501,0)),0))</f>
        <v/>
      </c>
      <c r="G2569" s="32">
        <f>IF(C2569&lt;&gt;"Venta","",D2569*IFERROR(INDEX(Productos!$E$2:$E$501,MATCH(B2569,Productos!$A$2:$A$501,0)),0))</f>
        <v/>
      </c>
      <c r="H2569" s="33">
        <f>IF(A2569="","",MONTH(A2569))</f>
        <v/>
      </c>
      <c r="I2569" s="33">
        <f>IF(A2569="","",YEAR(A2569))</f>
        <v/>
      </c>
    </row>
    <row r="2570" ht="15" customHeight="1" s="21">
      <c r="A2570" s="34" t="n"/>
      <c r="B2570" s="30" t="n"/>
      <c r="C2570" s="30" t="n"/>
      <c r="D2570" s="30" t="n"/>
      <c r="E2570" s="33">
        <f>IF(B2570="","",IFERROR(INDEX(Productos!$B$2:$B$501,MATCH(B2570,Productos!$A$2:$A$501,0)),"¿Código?"))</f>
        <v/>
      </c>
      <c r="F2570" s="32">
        <f>IF(C2570&lt;&gt;"Venta","",D2570*IFERROR(INDEX(Productos!$D$2:$D$501,MATCH(B2570,Productos!$A$2:$A$501,0)),0))</f>
        <v/>
      </c>
      <c r="G2570" s="32">
        <f>IF(C2570&lt;&gt;"Venta","",D2570*IFERROR(INDEX(Productos!$E$2:$E$501,MATCH(B2570,Productos!$A$2:$A$501,0)),0))</f>
        <v/>
      </c>
      <c r="H2570" s="33">
        <f>IF(A2570="","",MONTH(A2570))</f>
        <v/>
      </c>
      <c r="I2570" s="33">
        <f>IF(A2570="","",YEAR(A2570))</f>
        <v/>
      </c>
    </row>
    <row r="2571" ht="15" customHeight="1" s="21">
      <c r="A2571" s="34" t="n"/>
      <c r="B2571" s="30" t="n"/>
      <c r="C2571" s="30" t="n"/>
      <c r="D2571" s="30" t="n"/>
      <c r="E2571" s="33">
        <f>IF(B2571="","",IFERROR(INDEX(Productos!$B$2:$B$501,MATCH(B2571,Productos!$A$2:$A$501,0)),"¿Código?"))</f>
        <v/>
      </c>
      <c r="F2571" s="32">
        <f>IF(C2571&lt;&gt;"Venta","",D2571*IFERROR(INDEX(Productos!$D$2:$D$501,MATCH(B2571,Productos!$A$2:$A$501,0)),0))</f>
        <v/>
      </c>
      <c r="G2571" s="32">
        <f>IF(C2571&lt;&gt;"Venta","",D2571*IFERROR(INDEX(Productos!$E$2:$E$501,MATCH(B2571,Productos!$A$2:$A$501,0)),0))</f>
        <v/>
      </c>
      <c r="H2571" s="33">
        <f>IF(A2571="","",MONTH(A2571))</f>
        <v/>
      </c>
      <c r="I2571" s="33">
        <f>IF(A2571="","",YEAR(A2571))</f>
        <v/>
      </c>
    </row>
    <row r="2572" ht="15" customHeight="1" s="21">
      <c r="A2572" s="34" t="n"/>
      <c r="B2572" s="30" t="n"/>
      <c r="C2572" s="30" t="n"/>
      <c r="D2572" s="30" t="n"/>
      <c r="E2572" s="33">
        <f>IF(B2572="","",IFERROR(INDEX(Productos!$B$2:$B$501,MATCH(B2572,Productos!$A$2:$A$501,0)),"¿Código?"))</f>
        <v/>
      </c>
      <c r="F2572" s="32">
        <f>IF(C2572&lt;&gt;"Venta","",D2572*IFERROR(INDEX(Productos!$D$2:$D$501,MATCH(B2572,Productos!$A$2:$A$501,0)),0))</f>
        <v/>
      </c>
      <c r="G2572" s="32">
        <f>IF(C2572&lt;&gt;"Venta","",D2572*IFERROR(INDEX(Productos!$E$2:$E$501,MATCH(B2572,Productos!$A$2:$A$501,0)),0))</f>
        <v/>
      </c>
      <c r="H2572" s="33">
        <f>IF(A2572="","",MONTH(A2572))</f>
        <v/>
      </c>
      <c r="I2572" s="33">
        <f>IF(A2572="","",YEAR(A2572))</f>
        <v/>
      </c>
    </row>
    <row r="2573" ht="15" customHeight="1" s="21">
      <c r="A2573" s="34" t="n"/>
      <c r="B2573" s="30" t="n"/>
      <c r="C2573" s="30" t="n"/>
      <c r="D2573" s="30" t="n"/>
      <c r="E2573" s="33">
        <f>IF(B2573="","",IFERROR(INDEX(Productos!$B$2:$B$501,MATCH(B2573,Productos!$A$2:$A$501,0)),"¿Código?"))</f>
        <v/>
      </c>
      <c r="F2573" s="32">
        <f>IF(C2573&lt;&gt;"Venta","",D2573*IFERROR(INDEX(Productos!$D$2:$D$501,MATCH(B2573,Productos!$A$2:$A$501,0)),0))</f>
        <v/>
      </c>
      <c r="G2573" s="32">
        <f>IF(C2573&lt;&gt;"Venta","",D2573*IFERROR(INDEX(Productos!$E$2:$E$501,MATCH(B2573,Productos!$A$2:$A$501,0)),0))</f>
        <v/>
      </c>
      <c r="H2573" s="33">
        <f>IF(A2573="","",MONTH(A2573))</f>
        <v/>
      </c>
      <c r="I2573" s="33">
        <f>IF(A2573="","",YEAR(A2573))</f>
        <v/>
      </c>
    </row>
    <row r="2574" ht="15" customHeight="1" s="21">
      <c r="A2574" s="34" t="n"/>
      <c r="B2574" s="30" t="n"/>
      <c r="C2574" s="30" t="n"/>
      <c r="D2574" s="30" t="n"/>
      <c r="E2574" s="33">
        <f>IF(B2574="","",IFERROR(INDEX(Productos!$B$2:$B$501,MATCH(B2574,Productos!$A$2:$A$501,0)),"¿Código?"))</f>
        <v/>
      </c>
      <c r="F2574" s="32">
        <f>IF(C2574&lt;&gt;"Venta","",D2574*IFERROR(INDEX(Productos!$D$2:$D$501,MATCH(B2574,Productos!$A$2:$A$501,0)),0))</f>
        <v/>
      </c>
      <c r="G2574" s="32">
        <f>IF(C2574&lt;&gt;"Venta","",D2574*IFERROR(INDEX(Productos!$E$2:$E$501,MATCH(B2574,Productos!$A$2:$A$501,0)),0))</f>
        <v/>
      </c>
      <c r="H2574" s="33">
        <f>IF(A2574="","",MONTH(A2574))</f>
        <v/>
      </c>
      <c r="I2574" s="33">
        <f>IF(A2574="","",YEAR(A2574))</f>
        <v/>
      </c>
    </row>
    <row r="2575" ht="15" customHeight="1" s="21">
      <c r="A2575" s="34" t="n"/>
      <c r="B2575" s="30" t="n"/>
      <c r="C2575" s="30" t="n"/>
      <c r="D2575" s="30" t="n"/>
      <c r="E2575" s="33">
        <f>IF(B2575="","",IFERROR(INDEX(Productos!$B$2:$B$501,MATCH(B2575,Productos!$A$2:$A$501,0)),"¿Código?"))</f>
        <v/>
      </c>
      <c r="F2575" s="32">
        <f>IF(C2575&lt;&gt;"Venta","",D2575*IFERROR(INDEX(Productos!$D$2:$D$501,MATCH(B2575,Productos!$A$2:$A$501,0)),0))</f>
        <v/>
      </c>
      <c r="G2575" s="32">
        <f>IF(C2575&lt;&gt;"Venta","",D2575*IFERROR(INDEX(Productos!$E$2:$E$501,MATCH(B2575,Productos!$A$2:$A$501,0)),0))</f>
        <v/>
      </c>
      <c r="H2575" s="33">
        <f>IF(A2575="","",MONTH(A2575))</f>
        <v/>
      </c>
      <c r="I2575" s="33">
        <f>IF(A2575="","",YEAR(A2575))</f>
        <v/>
      </c>
    </row>
    <row r="2576" ht="15" customHeight="1" s="21">
      <c r="A2576" s="34" t="n"/>
      <c r="B2576" s="30" t="n"/>
      <c r="C2576" s="30" t="n"/>
      <c r="D2576" s="30" t="n"/>
      <c r="E2576" s="33">
        <f>IF(B2576="","",IFERROR(INDEX(Productos!$B$2:$B$501,MATCH(B2576,Productos!$A$2:$A$501,0)),"¿Código?"))</f>
        <v/>
      </c>
      <c r="F2576" s="32">
        <f>IF(C2576&lt;&gt;"Venta","",D2576*IFERROR(INDEX(Productos!$D$2:$D$501,MATCH(B2576,Productos!$A$2:$A$501,0)),0))</f>
        <v/>
      </c>
      <c r="G2576" s="32">
        <f>IF(C2576&lt;&gt;"Venta","",D2576*IFERROR(INDEX(Productos!$E$2:$E$501,MATCH(B2576,Productos!$A$2:$A$501,0)),0))</f>
        <v/>
      </c>
      <c r="H2576" s="33">
        <f>IF(A2576="","",MONTH(A2576))</f>
        <v/>
      </c>
      <c r="I2576" s="33">
        <f>IF(A2576="","",YEAR(A2576))</f>
        <v/>
      </c>
    </row>
    <row r="2577" ht="15" customHeight="1" s="21">
      <c r="A2577" s="34" t="n"/>
      <c r="B2577" s="30" t="n"/>
      <c r="C2577" s="30" t="n"/>
      <c r="D2577" s="30" t="n"/>
      <c r="E2577" s="33">
        <f>IF(B2577="","",IFERROR(INDEX(Productos!$B$2:$B$501,MATCH(B2577,Productos!$A$2:$A$501,0)),"¿Código?"))</f>
        <v/>
      </c>
      <c r="F2577" s="32">
        <f>IF(C2577&lt;&gt;"Venta","",D2577*IFERROR(INDEX(Productos!$D$2:$D$501,MATCH(B2577,Productos!$A$2:$A$501,0)),0))</f>
        <v/>
      </c>
      <c r="G2577" s="32">
        <f>IF(C2577&lt;&gt;"Venta","",D2577*IFERROR(INDEX(Productos!$E$2:$E$501,MATCH(B2577,Productos!$A$2:$A$501,0)),0))</f>
        <v/>
      </c>
      <c r="H2577" s="33">
        <f>IF(A2577="","",MONTH(A2577))</f>
        <v/>
      </c>
      <c r="I2577" s="33">
        <f>IF(A2577="","",YEAR(A2577))</f>
        <v/>
      </c>
    </row>
    <row r="2578" ht="15" customHeight="1" s="21">
      <c r="A2578" s="34" t="n"/>
      <c r="B2578" s="30" t="n"/>
      <c r="C2578" s="30" t="n"/>
      <c r="D2578" s="30" t="n"/>
      <c r="E2578" s="33">
        <f>IF(B2578="","",IFERROR(INDEX(Productos!$B$2:$B$501,MATCH(B2578,Productos!$A$2:$A$501,0)),"¿Código?"))</f>
        <v/>
      </c>
      <c r="F2578" s="32">
        <f>IF(C2578&lt;&gt;"Venta","",D2578*IFERROR(INDEX(Productos!$D$2:$D$501,MATCH(B2578,Productos!$A$2:$A$501,0)),0))</f>
        <v/>
      </c>
      <c r="G2578" s="32">
        <f>IF(C2578&lt;&gt;"Venta","",D2578*IFERROR(INDEX(Productos!$E$2:$E$501,MATCH(B2578,Productos!$A$2:$A$501,0)),0))</f>
        <v/>
      </c>
      <c r="H2578" s="33">
        <f>IF(A2578="","",MONTH(A2578))</f>
        <v/>
      </c>
      <c r="I2578" s="33">
        <f>IF(A2578="","",YEAR(A2578))</f>
        <v/>
      </c>
    </row>
    <row r="2579" ht="15" customHeight="1" s="21">
      <c r="A2579" s="34" t="n"/>
      <c r="B2579" s="30" t="n"/>
      <c r="C2579" s="30" t="n"/>
      <c r="D2579" s="30" t="n"/>
      <c r="E2579" s="33">
        <f>IF(B2579="","",IFERROR(INDEX(Productos!$B$2:$B$501,MATCH(B2579,Productos!$A$2:$A$501,0)),"¿Código?"))</f>
        <v/>
      </c>
      <c r="F2579" s="32">
        <f>IF(C2579&lt;&gt;"Venta","",D2579*IFERROR(INDEX(Productos!$D$2:$D$501,MATCH(B2579,Productos!$A$2:$A$501,0)),0))</f>
        <v/>
      </c>
      <c r="G2579" s="32">
        <f>IF(C2579&lt;&gt;"Venta","",D2579*IFERROR(INDEX(Productos!$E$2:$E$501,MATCH(B2579,Productos!$A$2:$A$501,0)),0))</f>
        <v/>
      </c>
      <c r="H2579" s="33">
        <f>IF(A2579="","",MONTH(A2579))</f>
        <v/>
      </c>
      <c r="I2579" s="33">
        <f>IF(A2579="","",YEAR(A2579))</f>
        <v/>
      </c>
    </row>
    <row r="2580" ht="15" customHeight="1" s="21">
      <c r="A2580" s="34" t="n"/>
      <c r="B2580" s="30" t="n"/>
      <c r="C2580" s="30" t="n"/>
      <c r="D2580" s="30" t="n"/>
      <c r="E2580" s="33">
        <f>IF(B2580="","",IFERROR(INDEX(Productos!$B$2:$B$501,MATCH(B2580,Productos!$A$2:$A$501,0)),"¿Código?"))</f>
        <v/>
      </c>
      <c r="F2580" s="32">
        <f>IF(C2580&lt;&gt;"Venta","",D2580*IFERROR(INDEX(Productos!$D$2:$D$501,MATCH(B2580,Productos!$A$2:$A$501,0)),0))</f>
        <v/>
      </c>
      <c r="G2580" s="32">
        <f>IF(C2580&lt;&gt;"Venta","",D2580*IFERROR(INDEX(Productos!$E$2:$E$501,MATCH(B2580,Productos!$A$2:$A$501,0)),0))</f>
        <v/>
      </c>
      <c r="H2580" s="33">
        <f>IF(A2580="","",MONTH(A2580))</f>
        <v/>
      </c>
      <c r="I2580" s="33">
        <f>IF(A2580="","",YEAR(A2580))</f>
        <v/>
      </c>
    </row>
    <row r="2581" ht="15" customHeight="1" s="21">
      <c r="A2581" s="34" t="n"/>
      <c r="B2581" s="30" t="n"/>
      <c r="C2581" s="30" t="n"/>
      <c r="D2581" s="30" t="n"/>
      <c r="E2581" s="33">
        <f>IF(B2581="","",IFERROR(INDEX(Productos!$B$2:$B$501,MATCH(B2581,Productos!$A$2:$A$501,0)),"¿Código?"))</f>
        <v/>
      </c>
      <c r="F2581" s="32">
        <f>IF(C2581&lt;&gt;"Venta","",D2581*IFERROR(INDEX(Productos!$D$2:$D$501,MATCH(B2581,Productos!$A$2:$A$501,0)),0))</f>
        <v/>
      </c>
      <c r="G2581" s="32">
        <f>IF(C2581&lt;&gt;"Venta","",D2581*IFERROR(INDEX(Productos!$E$2:$E$501,MATCH(B2581,Productos!$A$2:$A$501,0)),0))</f>
        <v/>
      </c>
      <c r="H2581" s="33">
        <f>IF(A2581="","",MONTH(A2581))</f>
        <v/>
      </c>
      <c r="I2581" s="33">
        <f>IF(A2581="","",YEAR(A2581))</f>
        <v/>
      </c>
    </row>
    <row r="2582" ht="15" customHeight="1" s="21">
      <c r="A2582" s="34" t="n"/>
      <c r="B2582" s="30" t="n"/>
      <c r="C2582" s="30" t="n"/>
      <c r="D2582" s="30" t="n"/>
      <c r="E2582" s="33">
        <f>IF(B2582="","",IFERROR(INDEX(Productos!$B$2:$B$501,MATCH(B2582,Productos!$A$2:$A$501,0)),"¿Código?"))</f>
        <v/>
      </c>
      <c r="F2582" s="32">
        <f>IF(C2582&lt;&gt;"Venta","",D2582*IFERROR(INDEX(Productos!$D$2:$D$501,MATCH(B2582,Productos!$A$2:$A$501,0)),0))</f>
        <v/>
      </c>
      <c r="G2582" s="32">
        <f>IF(C2582&lt;&gt;"Venta","",D2582*IFERROR(INDEX(Productos!$E$2:$E$501,MATCH(B2582,Productos!$A$2:$A$501,0)),0))</f>
        <v/>
      </c>
      <c r="H2582" s="33">
        <f>IF(A2582="","",MONTH(A2582))</f>
        <v/>
      </c>
      <c r="I2582" s="33">
        <f>IF(A2582="","",YEAR(A2582))</f>
        <v/>
      </c>
    </row>
    <row r="2583" ht="15" customHeight="1" s="21">
      <c r="A2583" s="34" t="n"/>
      <c r="B2583" s="30" t="n"/>
      <c r="C2583" s="30" t="n"/>
      <c r="D2583" s="30" t="n"/>
      <c r="E2583" s="33">
        <f>IF(B2583="","",IFERROR(INDEX(Productos!$B$2:$B$501,MATCH(B2583,Productos!$A$2:$A$501,0)),"¿Código?"))</f>
        <v/>
      </c>
      <c r="F2583" s="32">
        <f>IF(C2583&lt;&gt;"Venta","",D2583*IFERROR(INDEX(Productos!$D$2:$D$501,MATCH(B2583,Productos!$A$2:$A$501,0)),0))</f>
        <v/>
      </c>
      <c r="G2583" s="32">
        <f>IF(C2583&lt;&gt;"Venta","",D2583*IFERROR(INDEX(Productos!$E$2:$E$501,MATCH(B2583,Productos!$A$2:$A$501,0)),0))</f>
        <v/>
      </c>
      <c r="H2583" s="33">
        <f>IF(A2583="","",MONTH(A2583))</f>
        <v/>
      </c>
      <c r="I2583" s="33">
        <f>IF(A2583="","",YEAR(A2583))</f>
        <v/>
      </c>
    </row>
    <row r="2584" ht="15" customHeight="1" s="21">
      <c r="A2584" s="34" t="n"/>
      <c r="B2584" s="30" t="n"/>
      <c r="C2584" s="30" t="n"/>
      <c r="D2584" s="30" t="n"/>
      <c r="E2584" s="33">
        <f>IF(B2584="","",IFERROR(INDEX(Productos!$B$2:$B$501,MATCH(B2584,Productos!$A$2:$A$501,0)),"¿Código?"))</f>
        <v/>
      </c>
      <c r="F2584" s="32">
        <f>IF(C2584&lt;&gt;"Venta","",D2584*IFERROR(INDEX(Productos!$D$2:$D$501,MATCH(B2584,Productos!$A$2:$A$501,0)),0))</f>
        <v/>
      </c>
      <c r="G2584" s="32">
        <f>IF(C2584&lt;&gt;"Venta","",D2584*IFERROR(INDEX(Productos!$E$2:$E$501,MATCH(B2584,Productos!$A$2:$A$501,0)),0))</f>
        <v/>
      </c>
      <c r="H2584" s="33">
        <f>IF(A2584="","",MONTH(A2584))</f>
        <v/>
      </c>
      <c r="I2584" s="33">
        <f>IF(A2584="","",YEAR(A2584))</f>
        <v/>
      </c>
    </row>
    <row r="2585" ht="15" customHeight="1" s="21">
      <c r="A2585" s="34" t="n"/>
      <c r="B2585" s="30" t="n"/>
      <c r="C2585" s="30" t="n"/>
      <c r="D2585" s="30" t="n"/>
      <c r="E2585" s="33">
        <f>IF(B2585="","",IFERROR(INDEX(Productos!$B$2:$B$501,MATCH(B2585,Productos!$A$2:$A$501,0)),"¿Código?"))</f>
        <v/>
      </c>
      <c r="F2585" s="32">
        <f>IF(C2585&lt;&gt;"Venta","",D2585*IFERROR(INDEX(Productos!$D$2:$D$501,MATCH(B2585,Productos!$A$2:$A$501,0)),0))</f>
        <v/>
      </c>
      <c r="G2585" s="32">
        <f>IF(C2585&lt;&gt;"Venta","",D2585*IFERROR(INDEX(Productos!$E$2:$E$501,MATCH(B2585,Productos!$A$2:$A$501,0)),0))</f>
        <v/>
      </c>
      <c r="H2585" s="33">
        <f>IF(A2585="","",MONTH(A2585))</f>
        <v/>
      </c>
      <c r="I2585" s="33">
        <f>IF(A2585="","",YEAR(A2585))</f>
        <v/>
      </c>
    </row>
    <row r="2586" ht="15" customHeight="1" s="21">
      <c r="A2586" s="34" t="n"/>
      <c r="B2586" s="30" t="n"/>
      <c r="C2586" s="30" t="n"/>
      <c r="D2586" s="30" t="n"/>
      <c r="E2586" s="33">
        <f>IF(B2586="","",IFERROR(INDEX(Productos!$B$2:$B$501,MATCH(B2586,Productos!$A$2:$A$501,0)),"¿Código?"))</f>
        <v/>
      </c>
      <c r="F2586" s="32">
        <f>IF(C2586&lt;&gt;"Venta","",D2586*IFERROR(INDEX(Productos!$D$2:$D$501,MATCH(B2586,Productos!$A$2:$A$501,0)),0))</f>
        <v/>
      </c>
      <c r="G2586" s="32">
        <f>IF(C2586&lt;&gt;"Venta","",D2586*IFERROR(INDEX(Productos!$E$2:$E$501,MATCH(B2586,Productos!$A$2:$A$501,0)),0))</f>
        <v/>
      </c>
      <c r="H2586" s="33">
        <f>IF(A2586="","",MONTH(A2586))</f>
        <v/>
      </c>
      <c r="I2586" s="33">
        <f>IF(A2586="","",YEAR(A2586))</f>
        <v/>
      </c>
    </row>
    <row r="2587" ht="15" customHeight="1" s="21">
      <c r="A2587" s="34" t="n"/>
      <c r="B2587" s="30" t="n"/>
      <c r="C2587" s="30" t="n"/>
      <c r="D2587" s="30" t="n"/>
      <c r="E2587" s="33">
        <f>IF(B2587="","",IFERROR(INDEX(Productos!$B$2:$B$501,MATCH(B2587,Productos!$A$2:$A$501,0)),"¿Código?"))</f>
        <v/>
      </c>
      <c r="F2587" s="32">
        <f>IF(C2587&lt;&gt;"Venta","",D2587*IFERROR(INDEX(Productos!$D$2:$D$501,MATCH(B2587,Productos!$A$2:$A$501,0)),0))</f>
        <v/>
      </c>
      <c r="G2587" s="32">
        <f>IF(C2587&lt;&gt;"Venta","",D2587*IFERROR(INDEX(Productos!$E$2:$E$501,MATCH(B2587,Productos!$A$2:$A$501,0)),0))</f>
        <v/>
      </c>
      <c r="H2587" s="33">
        <f>IF(A2587="","",MONTH(A2587))</f>
        <v/>
      </c>
      <c r="I2587" s="33">
        <f>IF(A2587="","",YEAR(A2587))</f>
        <v/>
      </c>
    </row>
    <row r="2588" ht="15" customHeight="1" s="21">
      <c r="A2588" s="34" t="n"/>
      <c r="B2588" s="30" t="n"/>
      <c r="C2588" s="30" t="n"/>
      <c r="D2588" s="30" t="n"/>
      <c r="E2588" s="33">
        <f>IF(B2588="","",IFERROR(INDEX(Productos!$B$2:$B$501,MATCH(B2588,Productos!$A$2:$A$501,0)),"¿Código?"))</f>
        <v/>
      </c>
      <c r="F2588" s="32">
        <f>IF(C2588&lt;&gt;"Venta","",D2588*IFERROR(INDEX(Productos!$D$2:$D$501,MATCH(B2588,Productos!$A$2:$A$501,0)),0))</f>
        <v/>
      </c>
      <c r="G2588" s="32">
        <f>IF(C2588&lt;&gt;"Venta","",D2588*IFERROR(INDEX(Productos!$E$2:$E$501,MATCH(B2588,Productos!$A$2:$A$501,0)),0))</f>
        <v/>
      </c>
      <c r="H2588" s="33">
        <f>IF(A2588="","",MONTH(A2588))</f>
        <v/>
      </c>
      <c r="I2588" s="33">
        <f>IF(A2588="","",YEAR(A2588))</f>
        <v/>
      </c>
    </row>
    <row r="2589" ht="15" customHeight="1" s="21">
      <c r="A2589" s="34" t="n"/>
      <c r="B2589" s="30" t="n"/>
      <c r="C2589" s="30" t="n"/>
      <c r="D2589" s="30" t="n"/>
      <c r="E2589" s="33">
        <f>IF(B2589="","",IFERROR(INDEX(Productos!$B$2:$B$501,MATCH(B2589,Productos!$A$2:$A$501,0)),"¿Código?"))</f>
        <v/>
      </c>
      <c r="F2589" s="32">
        <f>IF(C2589&lt;&gt;"Venta","",D2589*IFERROR(INDEX(Productos!$D$2:$D$501,MATCH(B2589,Productos!$A$2:$A$501,0)),0))</f>
        <v/>
      </c>
      <c r="G2589" s="32">
        <f>IF(C2589&lt;&gt;"Venta","",D2589*IFERROR(INDEX(Productos!$E$2:$E$501,MATCH(B2589,Productos!$A$2:$A$501,0)),0))</f>
        <v/>
      </c>
      <c r="H2589" s="33">
        <f>IF(A2589="","",MONTH(A2589))</f>
        <v/>
      </c>
      <c r="I2589" s="33">
        <f>IF(A2589="","",YEAR(A2589))</f>
        <v/>
      </c>
    </row>
    <row r="2590" ht="15" customHeight="1" s="21">
      <c r="A2590" s="34" t="n"/>
      <c r="B2590" s="30" t="n"/>
      <c r="C2590" s="30" t="n"/>
      <c r="D2590" s="30" t="n"/>
      <c r="E2590" s="33">
        <f>IF(B2590="","",IFERROR(INDEX(Productos!$B$2:$B$501,MATCH(B2590,Productos!$A$2:$A$501,0)),"¿Código?"))</f>
        <v/>
      </c>
      <c r="F2590" s="32">
        <f>IF(C2590&lt;&gt;"Venta","",D2590*IFERROR(INDEX(Productos!$D$2:$D$501,MATCH(B2590,Productos!$A$2:$A$501,0)),0))</f>
        <v/>
      </c>
      <c r="G2590" s="32">
        <f>IF(C2590&lt;&gt;"Venta","",D2590*IFERROR(INDEX(Productos!$E$2:$E$501,MATCH(B2590,Productos!$A$2:$A$501,0)),0))</f>
        <v/>
      </c>
      <c r="H2590" s="33">
        <f>IF(A2590="","",MONTH(A2590))</f>
        <v/>
      </c>
      <c r="I2590" s="33">
        <f>IF(A2590="","",YEAR(A2590))</f>
        <v/>
      </c>
    </row>
    <row r="2591" ht="15" customHeight="1" s="21">
      <c r="A2591" s="34" t="n"/>
      <c r="B2591" s="30" t="n"/>
      <c r="C2591" s="30" t="n"/>
      <c r="D2591" s="30" t="n"/>
      <c r="E2591" s="33">
        <f>IF(B2591="","",IFERROR(INDEX(Productos!$B$2:$B$501,MATCH(B2591,Productos!$A$2:$A$501,0)),"¿Código?"))</f>
        <v/>
      </c>
      <c r="F2591" s="32">
        <f>IF(C2591&lt;&gt;"Venta","",D2591*IFERROR(INDEX(Productos!$D$2:$D$501,MATCH(B2591,Productos!$A$2:$A$501,0)),0))</f>
        <v/>
      </c>
      <c r="G2591" s="32">
        <f>IF(C2591&lt;&gt;"Venta","",D2591*IFERROR(INDEX(Productos!$E$2:$E$501,MATCH(B2591,Productos!$A$2:$A$501,0)),0))</f>
        <v/>
      </c>
      <c r="H2591" s="33">
        <f>IF(A2591="","",MONTH(A2591))</f>
        <v/>
      </c>
      <c r="I2591" s="33">
        <f>IF(A2591="","",YEAR(A2591))</f>
        <v/>
      </c>
    </row>
    <row r="2592" ht="15" customHeight="1" s="21">
      <c r="A2592" s="34" t="n"/>
      <c r="B2592" s="30" t="n"/>
      <c r="C2592" s="30" t="n"/>
      <c r="D2592" s="30" t="n"/>
      <c r="E2592" s="33">
        <f>IF(B2592="","",IFERROR(INDEX(Productos!$B$2:$B$501,MATCH(B2592,Productos!$A$2:$A$501,0)),"¿Código?"))</f>
        <v/>
      </c>
      <c r="F2592" s="32">
        <f>IF(C2592&lt;&gt;"Venta","",D2592*IFERROR(INDEX(Productos!$D$2:$D$501,MATCH(B2592,Productos!$A$2:$A$501,0)),0))</f>
        <v/>
      </c>
      <c r="G2592" s="32">
        <f>IF(C2592&lt;&gt;"Venta","",D2592*IFERROR(INDEX(Productos!$E$2:$E$501,MATCH(B2592,Productos!$A$2:$A$501,0)),0))</f>
        <v/>
      </c>
      <c r="H2592" s="33">
        <f>IF(A2592="","",MONTH(A2592))</f>
        <v/>
      </c>
      <c r="I2592" s="33">
        <f>IF(A2592="","",YEAR(A2592))</f>
        <v/>
      </c>
    </row>
    <row r="2593" ht="15" customHeight="1" s="21">
      <c r="A2593" s="34" t="n"/>
      <c r="B2593" s="30" t="n"/>
      <c r="C2593" s="30" t="n"/>
      <c r="D2593" s="30" t="n"/>
      <c r="E2593" s="33">
        <f>IF(B2593="","",IFERROR(INDEX(Productos!$B$2:$B$501,MATCH(B2593,Productos!$A$2:$A$501,0)),"¿Código?"))</f>
        <v/>
      </c>
      <c r="F2593" s="32">
        <f>IF(C2593&lt;&gt;"Venta","",D2593*IFERROR(INDEX(Productos!$D$2:$D$501,MATCH(B2593,Productos!$A$2:$A$501,0)),0))</f>
        <v/>
      </c>
      <c r="G2593" s="32">
        <f>IF(C2593&lt;&gt;"Venta","",D2593*IFERROR(INDEX(Productos!$E$2:$E$501,MATCH(B2593,Productos!$A$2:$A$501,0)),0))</f>
        <v/>
      </c>
      <c r="H2593" s="33">
        <f>IF(A2593="","",MONTH(A2593))</f>
        <v/>
      </c>
      <c r="I2593" s="33">
        <f>IF(A2593="","",YEAR(A2593))</f>
        <v/>
      </c>
    </row>
    <row r="2594" ht="15" customHeight="1" s="21">
      <c r="A2594" s="34" t="n"/>
      <c r="B2594" s="30" t="n"/>
      <c r="C2594" s="30" t="n"/>
      <c r="D2594" s="30" t="n"/>
      <c r="E2594" s="33">
        <f>IF(B2594="","",IFERROR(INDEX(Productos!$B$2:$B$501,MATCH(B2594,Productos!$A$2:$A$501,0)),"¿Código?"))</f>
        <v/>
      </c>
      <c r="F2594" s="32">
        <f>IF(C2594&lt;&gt;"Venta","",D2594*IFERROR(INDEX(Productos!$D$2:$D$501,MATCH(B2594,Productos!$A$2:$A$501,0)),0))</f>
        <v/>
      </c>
      <c r="G2594" s="32">
        <f>IF(C2594&lt;&gt;"Venta","",D2594*IFERROR(INDEX(Productos!$E$2:$E$501,MATCH(B2594,Productos!$A$2:$A$501,0)),0))</f>
        <v/>
      </c>
      <c r="H2594" s="33">
        <f>IF(A2594="","",MONTH(A2594))</f>
        <v/>
      </c>
      <c r="I2594" s="33">
        <f>IF(A2594="","",YEAR(A2594))</f>
        <v/>
      </c>
    </row>
    <row r="2595" ht="15" customHeight="1" s="21">
      <c r="A2595" s="34" t="n"/>
      <c r="B2595" s="30" t="n"/>
      <c r="C2595" s="30" t="n"/>
      <c r="D2595" s="30" t="n"/>
      <c r="E2595" s="33">
        <f>IF(B2595="","",IFERROR(INDEX(Productos!$B$2:$B$501,MATCH(B2595,Productos!$A$2:$A$501,0)),"¿Código?"))</f>
        <v/>
      </c>
      <c r="F2595" s="32">
        <f>IF(C2595&lt;&gt;"Venta","",D2595*IFERROR(INDEX(Productos!$D$2:$D$501,MATCH(B2595,Productos!$A$2:$A$501,0)),0))</f>
        <v/>
      </c>
      <c r="G2595" s="32">
        <f>IF(C2595&lt;&gt;"Venta","",D2595*IFERROR(INDEX(Productos!$E$2:$E$501,MATCH(B2595,Productos!$A$2:$A$501,0)),0))</f>
        <v/>
      </c>
      <c r="H2595" s="33">
        <f>IF(A2595="","",MONTH(A2595))</f>
        <v/>
      </c>
      <c r="I2595" s="33">
        <f>IF(A2595="","",YEAR(A2595))</f>
        <v/>
      </c>
    </row>
    <row r="2596" ht="15" customHeight="1" s="21">
      <c r="A2596" s="34" t="n"/>
      <c r="B2596" s="30" t="n"/>
      <c r="C2596" s="30" t="n"/>
      <c r="D2596" s="30" t="n"/>
      <c r="E2596" s="33">
        <f>IF(B2596="","",IFERROR(INDEX(Productos!$B$2:$B$501,MATCH(B2596,Productos!$A$2:$A$501,0)),"¿Código?"))</f>
        <v/>
      </c>
      <c r="F2596" s="32">
        <f>IF(C2596&lt;&gt;"Venta","",D2596*IFERROR(INDEX(Productos!$D$2:$D$501,MATCH(B2596,Productos!$A$2:$A$501,0)),0))</f>
        <v/>
      </c>
      <c r="G2596" s="32">
        <f>IF(C2596&lt;&gt;"Venta","",D2596*IFERROR(INDEX(Productos!$E$2:$E$501,MATCH(B2596,Productos!$A$2:$A$501,0)),0))</f>
        <v/>
      </c>
      <c r="H2596" s="33">
        <f>IF(A2596="","",MONTH(A2596))</f>
        <v/>
      </c>
      <c r="I2596" s="33">
        <f>IF(A2596="","",YEAR(A2596))</f>
        <v/>
      </c>
    </row>
    <row r="2597" ht="15" customHeight="1" s="21">
      <c r="A2597" s="34" t="n"/>
      <c r="B2597" s="30" t="n"/>
      <c r="C2597" s="30" t="n"/>
      <c r="D2597" s="30" t="n"/>
      <c r="E2597" s="33">
        <f>IF(B2597="","",IFERROR(INDEX(Productos!$B$2:$B$501,MATCH(B2597,Productos!$A$2:$A$501,0)),"¿Código?"))</f>
        <v/>
      </c>
      <c r="F2597" s="32">
        <f>IF(C2597&lt;&gt;"Venta","",D2597*IFERROR(INDEX(Productos!$D$2:$D$501,MATCH(B2597,Productos!$A$2:$A$501,0)),0))</f>
        <v/>
      </c>
      <c r="G2597" s="32">
        <f>IF(C2597&lt;&gt;"Venta","",D2597*IFERROR(INDEX(Productos!$E$2:$E$501,MATCH(B2597,Productos!$A$2:$A$501,0)),0))</f>
        <v/>
      </c>
      <c r="H2597" s="33">
        <f>IF(A2597="","",MONTH(A2597))</f>
        <v/>
      </c>
      <c r="I2597" s="33">
        <f>IF(A2597="","",YEAR(A2597))</f>
        <v/>
      </c>
    </row>
    <row r="2598" ht="15" customHeight="1" s="21">
      <c r="A2598" s="34" t="n"/>
      <c r="B2598" s="30" t="n"/>
      <c r="C2598" s="30" t="n"/>
      <c r="D2598" s="30" t="n"/>
      <c r="E2598" s="33">
        <f>IF(B2598="","",IFERROR(INDEX(Productos!$B$2:$B$501,MATCH(B2598,Productos!$A$2:$A$501,0)),"¿Código?"))</f>
        <v/>
      </c>
      <c r="F2598" s="32">
        <f>IF(C2598&lt;&gt;"Venta","",D2598*IFERROR(INDEX(Productos!$D$2:$D$501,MATCH(B2598,Productos!$A$2:$A$501,0)),0))</f>
        <v/>
      </c>
      <c r="G2598" s="32">
        <f>IF(C2598&lt;&gt;"Venta","",D2598*IFERROR(INDEX(Productos!$E$2:$E$501,MATCH(B2598,Productos!$A$2:$A$501,0)),0))</f>
        <v/>
      </c>
      <c r="H2598" s="33">
        <f>IF(A2598="","",MONTH(A2598))</f>
        <v/>
      </c>
      <c r="I2598" s="33">
        <f>IF(A2598="","",YEAR(A2598))</f>
        <v/>
      </c>
    </row>
    <row r="2599" ht="15" customHeight="1" s="21">
      <c r="A2599" s="34" t="n"/>
      <c r="B2599" s="30" t="n"/>
      <c r="C2599" s="30" t="n"/>
      <c r="D2599" s="30" t="n"/>
      <c r="E2599" s="33">
        <f>IF(B2599="","",IFERROR(INDEX(Productos!$B$2:$B$501,MATCH(B2599,Productos!$A$2:$A$501,0)),"¿Código?"))</f>
        <v/>
      </c>
      <c r="F2599" s="32">
        <f>IF(C2599&lt;&gt;"Venta","",D2599*IFERROR(INDEX(Productos!$D$2:$D$501,MATCH(B2599,Productos!$A$2:$A$501,0)),0))</f>
        <v/>
      </c>
      <c r="G2599" s="32">
        <f>IF(C2599&lt;&gt;"Venta","",D2599*IFERROR(INDEX(Productos!$E$2:$E$501,MATCH(B2599,Productos!$A$2:$A$501,0)),0))</f>
        <v/>
      </c>
      <c r="H2599" s="33">
        <f>IF(A2599="","",MONTH(A2599))</f>
        <v/>
      </c>
      <c r="I2599" s="33">
        <f>IF(A2599="","",YEAR(A2599))</f>
        <v/>
      </c>
    </row>
    <row r="2600" ht="15" customHeight="1" s="21">
      <c r="A2600" s="34" t="n"/>
      <c r="B2600" s="30" t="n"/>
      <c r="C2600" s="30" t="n"/>
      <c r="D2600" s="30" t="n"/>
      <c r="E2600" s="33">
        <f>IF(B2600="","",IFERROR(INDEX(Productos!$B$2:$B$501,MATCH(B2600,Productos!$A$2:$A$501,0)),"¿Código?"))</f>
        <v/>
      </c>
      <c r="F2600" s="32">
        <f>IF(C2600&lt;&gt;"Venta","",D2600*IFERROR(INDEX(Productos!$D$2:$D$501,MATCH(B2600,Productos!$A$2:$A$501,0)),0))</f>
        <v/>
      </c>
      <c r="G2600" s="32">
        <f>IF(C2600&lt;&gt;"Venta","",D2600*IFERROR(INDEX(Productos!$E$2:$E$501,MATCH(B2600,Productos!$A$2:$A$501,0)),0))</f>
        <v/>
      </c>
      <c r="H2600" s="33">
        <f>IF(A2600="","",MONTH(A2600))</f>
        <v/>
      </c>
      <c r="I2600" s="33">
        <f>IF(A2600="","",YEAR(A2600))</f>
        <v/>
      </c>
    </row>
    <row r="2601" ht="15" customHeight="1" s="21">
      <c r="A2601" s="34" t="n"/>
      <c r="B2601" s="30" t="n"/>
      <c r="C2601" s="30" t="n"/>
      <c r="D2601" s="30" t="n"/>
      <c r="E2601" s="33">
        <f>IF(B2601="","",IFERROR(INDEX(Productos!$B$2:$B$501,MATCH(B2601,Productos!$A$2:$A$501,0)),"¿Código?"))</f>
        <v/>
      </c>
      <c r="F2601" s="32">
        <f>IF(C2601&lt;&gt;"Venta","",D2601*IFERROR(INDEX(Productos!$D$2:$D$501,MATCH(B2601,Productos!$A$2:$A$501,0)),0))</f>
        <v/>
      </c>
      <c r="G2601" s="32">
        <f>IF(C2601&lt;&gt;"Venta","",D2601*IFERROR(INDEX(Productos!$E$2:$E$501,MATCH(B2601,Productos!$A$2:$A$501,0)),0))</f>
        <v/>
      </c>
      <c r="H2601" s="33">
        <f>IF(A2601="","",MONTH(A2601))</f>
        <v/>
      </c>
      <c r="I2601" s="33">
        <f>IF(A2601="","",YEAR(A2601))</f>
        <v/>
      </c>
    </row>
    <row r="2602" ht="15" customHeight="1" s="21">
      <c r="A2602" s="34" t="n"/>
      <c r="B2602" s="30" t="n"/>
      <c r="C2602" s="30" t="n"/>
      <c r="D2602" s="30" t="n"/>
      <c r="E2602" s="33">
        <f>IF(B2602="","",IFERROR(INDEX(Productos!$B$2:$B$501,MATCH(B2602,Productos!$A$2:$A$501,0)),"¿Código?"))</f>
        <v/>
      </c>
      <c r="F2602" s="32">
        <f>IF(C2602&lt;&gt;"Venta","",D2602*IFERROR(INDEX(Productos!$D$2:$D$501,MATCH(B2602,Productos!$A$2:$A$501,0)),0))</f>
        <v/>
      </c>
      <c r="G2602" s="32">
        <f>IF(C2602&lt;&gt;"Venta","",D2602*IFERROR(INDEX(Productos!$E$2:$E$501,MATCH(B2602,Productos!$A$2:$A$501,0)),0))</f>
        <v/>
      </c>
      <c r="H2602" s="33">
        <f>IF(A2602="","",MONTH(A2602))</f>
        <v/>
      </c>
      <c r="I2602" s="33">
        <f>IF(A2602="","",YEAR(A2602))</f>
        <v/>
      </c>
    </row>
    <row r="2603" ht="15" customHeight="1" s="21">
      <c r="A2603" s="34" t="n"/>
      <c r="B2603" s="30" t="n"/>
      <c r="C2603" s="30" t="n"/>
      <c r="D2603" s="30" t="n"/>
      <c r="E2603" s="33">
        <f>IF(B2603="","",IFERROR(INDEX(Productos!$B$2:$B$501,MATCH(B2603,Productos!$A$2:$A$501,0)),"¿Código?"))</f>
        <v/>
      </c>
      <c r="F2603" s="32">
        <f>IF(C2603&lt;&gt;"Venta","",D2603*IFERROR(INDEX(Productos!$D$2:$D$501,MATCH(B2603,Productos!$A$2:$A$501,0)),0))</f>
        <v/>
      </c>
      <c r="G2603" s="32">
        <f>IF(C2603&lt;&gt;"Venta","",D2603*IFERROR(INDEX(Productos!$E$2:$E$501,MATCH(B2603,Productos!$A$2:$A$501,0)),0))</f>
        <v/>
      </c>
      <c r="H2603" s="33">
        <f>IF(A2603="","",MONTH(A2603))</f>
        <v/>
      </c>
      <c r="I2603" s="33">
        <f>IF(A2603="","",YEAR(A2603))</f>
        <v/>
      </c>
    </row>
    <row r="2604" ht="15" customHeight="1" s="21">
      <c r="A2604" s="34" t="n"/>
      <c r="B2604" s="30" t="n"/>
      <c r="C2604" s="30" t="n"/>
      <c r="D2604" s="30" t="n"/>
      <c r="E2604" s="33">
        <f>IF(B2604="","",IFERROR(INDEX(Productos!$B$2:$B$501,MATCH(B2604,Productos!$A$2:$A$501,0)),"¿Código?"))</f>
        <v/>
      </c>
      <c r="F2604" s="32">
        <f>IF(C2604&lt;&gt;"Venta","",D2604*IFERROR(INDEX(Productos!$D$2:$D$501,MATCH(B2604,Productos!$A$2:$A$501,0)),0))</f>
        <v/>
      </c>
      <c r="G2604" s="32">
        <f>IF(C2604&lt;&gt;"Venta","",D2604*IFERROR(INDEX(Productos!$E$2:$E$501,MATCH(B2604,Productos!$A$2:$A$501,0)),0))</f>
        <v/>
      </c>
      <c r="H2604" s="33">
        <f>IF(A2604="","",MONTH(A2604))</f>
        <v/>
      </c>
      <c r="I2604" s="33">
        <f>IF(A2604="","",YEAR(A2604))</f>
        <v/>
      </c>
    </row>
    <row r="2605" ht="15" customHeight="1" s="21">
      <c r="A2605" s="34" t="n"/>
      <c r="B2605" s="30" t="n"/>
      <c r="C2605" s="30" t="n"/>
      <c r="D2605" s="30" t="n"/>
      <c r="E2605" s="33">
        <f>IF(B2605="","",IFERROR(INDEX(Productos!$B$2:$B$501,MATCH(B2605,Productos!$A$2:$A$501,0)),"¿Código?"))</f>
        <v/>
      </c>
      <c r="F2605" s="32">
        <f>IF(C2605&lt;&gt;"Venta","",D2605*IFERROR(INDEX(Productos!$D$2:$D$501,MATCH(B2605,Productos!$A$2:$A$501,0)),0))</f>
        <v/>
      </c>
      <c r="G2605" s="32">
        <f>IF(C2605&lt;&gt;"Venta","",D2605*IFERROR(INDEX(Productos!$E$2:$E$501,MATCH(B2605,Productos!$A$2:$A$501,0)),0))</f>
        <v/>
      </c>
      <c r="H2605" s="33">
        <f>IF(A2605="","",MONTH(A2605))</f>
        <v/>
      </c>
      <c r="I2605" s="33">
        <f>IF(A2605="","",YEAR(A2605))</f>
        <v/>
      </c>
    </row>
    <row r="2606" ht="15" customHeight="1" s="21">
      <c r="A2606" s="34" t="n"/>
      <c r="B2606" s="30" t="n"/>
      <c r="C2606" s="30" t="n"/>
      <c r="D2606" s="30" t="n"/>
      <c r="E2606" s="33">
        <f>IF(B2606="","",IFERROR(INDEX(Productos!$B$2:$B$501,MATCH(B2606,Productos!$A$2:$A$501,0)),"¿Código?"))</f>
        <v/>
      </c>
      <c r="F2606" s="32">
        <f>IF(C2606&lt;&gt;"Venta","",D2606*IFERROR(INDEX(Productos!$D$2:$D$501,MATCH(B2606,Productos!$A$2:$A$501,0)),0))</f>
        <v/>
      </c>
      <c r="G2606" s="32">
        <f>IF(C2606&lt;&gt;"Venta","",D2606*IFERROR(INDEX(Productos!$E$2:$E$501,MATCH(B2606,Productos!$A$2:$A$501,0)),0))</f>
        <v/>
      </c>
      <c r="H2606" s="33">
        <f>IF(A2606="","",MONTH(A2606))</f>
        <v/>
      </c>
      <c r="I2606" s="33">
        <f>IF(A2606="","",YEAR(A2606))</f>
        <v/>
      </c>
    </row>
    <row r="2607" ht="15" customHeight="1" s="21">
      <c r="A2607" s="34" t="n"/>
      <c r="B2607" s="30" t="n"/>
      <c r="C2607" s="30" t="n"/>
      <c r="D2607" s="30" t="n"/>
      <c r="E2607" s="33">
        <f>IF(B2607="","",IFERROR(INDEX(Productos!$B$2:$B$501,MATCH(B2607,Productos!$A$2:$A$501,0)),"¿Código?"))</f>
        <v/>
      </c>
      <c r="F2607" s="32">
        <f>IF(C2607&lt;&gt;"Venta","",D2607*IFERROR(INDEX(Productos!$D$2:$D$501,MATCH(B2607,Productos!$A$2:$A$501,0)),0))</f>
        <v/>
      </c>
      <c r="G2607" s="32">
        <f>IF(C2607&lt;&gt;"Venta","",D2607*IFERROR(INDEX(Productos!$E$2:$E$501,MATCH(B2607,Productos!$A$2:$A$501,0)),0))</f>
        <v/>
      </c>
      <c r="H2607" s="33">
        <f>IF(A2607="","",MONTH(A2607))</f>
        <v/>
      </c>
      <c r="I2607" s="33">
        <f>IF(A2607="","",YEAR(A2607))</f>
        <v/>
      </c>
    </row>
    <row r="2608" ht="15" customHeight="1" s="21">
      <c r="A2608" s="34" t="n"/>
      <c r="B2608" s="30" t="n"/>
      <c r="C2608" s="30" t="n"/>
      <c r="D2608" s="30" t="n"/>
      <c r="E2608" s="33">
        <f>IF(B2608="","",IFERROR(INDEX(Productos!$B$2:$B$501,MATCH(B2608,Productos!$A$2:$A$501,0)),"¿Código?"))</f>
        <v/>
      </c>
      <c r="F2608" s="32">
        <f>IF(C2608&lt;&gt;"Venta","",D2608*IFERROR(INDEX(Productos!$D$2:$D$501,MATCH(B2608,Productos!$A$2:$A$501,0)),0))</f>
        <v/>
      </c>
      <c r="G2608" s="32">
        <f>IF(C2608&lt;&gt;"Venta","",D2608*IFERROR(INDEX(Productos!$E$2:$E$501,MATCH(B2608,Productos!$A$2:$A$501,0)),0))</f>
        <v/>
      </c>
      <c r="H2608" s="33">
        <f>IF(A2608="","",MONTH(A2608))</f>
        <v/>
      </c>
      <c r="I2608" s="33">
        <f>IF(A2608="","",YEAR(A2608))</f>
        <v/>
      </c>
    </row>
    <row r="2609" ht="15" customHeight="1" s="21">
      <c r="A2609" s="34" t="n"/>
      <c r="B2609" s="30" t="n"/>
      <c r="C2609" s="30" t="n"/>
      <c r="D2609" s="30" t="n"/>
      <c r="E2609" s="33">
        <f>IF(B2609="","",IFERROR(INDEX(Productos!$B$2:$B$501,MATCH(B2609,Productos!$A$2:$A$501,0)),"¿Código?"))</f>
        <v/>
      </c>
      <c r="F2609" s="32">
        <f>IF(C2609&lt;&gt;"Venta","",D2609*IFERROR(INDEX(Productos!$D$2:$D$501,MATCH(B2609,Productos!$A$2:$A$501,0)),0))</f>
        <v/>
      </c>
      <c r="G2609" s="32">
        <f>IF(C2609&lt;&gt;"Venta","",D2609*IFERROR(INDEX(Productos!$E$2:$E$501,MATCH(B2609,Productos!$A$2:$A$501,0)),0))</f>
        <v/>
      </c>
      <c r="H2609" s="33">
        <f>IF(A2609="","",MONTH(A2609))</f>
        <v/>
      </c>
      <c r="I2609" s="33">
        <f>IF(A2609="","",YEAR(A2609))</f>
        <v/>
      </c>
    </row>
    <row r="2610" ht="15" customHeight="1" s="21">
      <c r="A2610" s="34" t="n"/>
      <c r="B2610" s="30" t="n"/>
      <c r="C2610" s="30" t="n"/>
      <c r="D2610" s="30" t="n"/>
      <c r="E2610" s="33">
        <f>IF(B2610="","",IFERROR(INDEX(Productos!$B$2:$B$501,MATCH(B2610,Productos!$A$2:$A$501,0)),"¿Código?"))</f>
        <v/>
      </c>
      <c r="F2610" s="32">
        <f>IF(C2610&lt;&gt;"Venta","",D2610*IFERROR(INDEX(Productos!$D$2:$D$501,MATCH(B2610,Productos!$A$2:$A$501,0)),0))</f>
        <v/>
      </c>
      <c r="G2610" s="32">
        <f>IF(C2610&lt;&gt;"Venta","",D2610*IFERROR(INDEX(Productos!$E$2:$E$501,MATCH(B2610,Productos!$A$2:$A$501,0)),0))</f>
        <v/>
      </c>
      <c r="H2610" s="33">
        <f>IF(A2610="","",MONTH(A2610))</f>
        <v/>
      </c>
      <c r="I2610" s="33">
        <f>IF(A2610="","",YEAR(A2610))</f>
        <v/>
      </c>
    </row>
    <row r="2611" ht="15" customHeight="1" s="21">
      <c r="A2611" s="34" t="n"/>
      <c r="B2611" s="30" t="n"/>
      <c r="C2611" s="30" t="n"/>
      <c r="D2611" s="30" t="n"/>
      <c r="E2611" s="33">
        <f>IF(B2611="","",IFERROR(INDEX(Productos!$B$2:$B$501,MATCH(B2611,Productos!$A$2:$A$501,0)),"¿Código?"))</f>
        <v/>
      </c>
      <c r="F2611" s="32">
        <f>IF(C2611&lt;&gt;"Venta","",D2611*IFERROR(INDEX(Productos!$D$2:$D$501,MATCH(B2611,Productos!$A$2:$A$501,0)),0))</f>
        <v/>
      </c>
      <c r="G2611" s="32">
        <f>IF(C2611&lt;&gt;"Venta","",D2611*IFERROR(INDEX(Productos!$E$2:$E$501,MATCH(B2611,Productos!$A$2:$A$501,0)),0))</f>
        <v/>
      </c>
      <c r="H2611" s="33">
        <f>IF(A2611="","",MONTH(A2611))</f>
        <v/>
      </c>
      <c r="I2611" s="33">
        <f>IF(A2611="","",YEAR(A2611))</f>
        <v/>
      </c>
    </row>
    <row r="2612" ht="15" customHeight="1" s="21">
      <c r="A2612" s="34" t="n"/>
      <c r="B2612" s="30" t="n"/>
      <c r="C2612" s="30" t="n"/>
      <c r="D2612" s="30" t="n"/>
      <c r="E2612" s="33">
        <f>IF(B2612="","",IFERROR(INDEX(Productos!$B$2:$B$501,MATCH(B2612,Productos!$A$2:$A$501,0)),"¿Código?"))</f>
        <v/>
      </c>
      <c r="F2612" s="32">
        <f>IF(C2612&lt;&gt;"Venta","",D2612*IFERROR(INDEX(Productos!$D$2:$D$501,MATCH(B2612,Productos!$A$2:$A$501,0)),0))</f>
        <v/>
      </c>
      <c r="G2612" s="32">
        <f>IF(C2612&lt;&gt;"Venta","",D2612*IFERROR(INDEX(Productos!$E$2:$E$501,MATCH(B2612,Productos!$A$2:$A$501,0)),0))</f>
        <v/>
      </c>
      <c r="H2612" s="33">
        <f>IF(A2612="","",MONTH(A2612))</f>
        <v/>
      </c>
      <c r="I2612" s="33">
        <f>IF(A2612="","",YEAR(A2612))</f>
        <v/>
      </c>
    </row>
    <row r="2613" ht="15" customHeight="1" s="21">
      <c r="A2613" s="34" t="n"/>
      <c r="B2613" s="30" t="n"/>
      <c r="C2613" s="30" t="n"/>
      <c r="D2613" s="30" t="n"/>
      <c r="E2613" s="33">
        <f>IF(B2613="","",IFERROR(INDEX(Productos!$B$2:$B$501,MATCH(B2613,Productos!$A$2:$A$501,0)),"¿Código?"))</f>
        <v/>
      </c>
      <c r="F2613" s="32">
        <f>IF(C2613&lt;&gt;"Venta","",D2613*IFERROR(INDEX(Productos!$D$2:$D$501,MATCH(B2613,Productos!$A$2:$A$501,0)),0))</f>
        <v/>
      </c>
      <c r="G2613" s="32">
        <f>IF(C2613&lt;&gt;"Venta","",D2613*IFERROR(INDEX(Productos!$E$2:$E$501,MATCH(B2613,Productos!$A$2:$A$501,0)),0))</f>
        <v/>
      </c>
      <c r="H2613" s="33">
        <f>IF(A2613="","",MONTH(A2613))</f>
        <v/>
      </c>
      <c r="I2613" s="33">
        <f>IF(A2613="","",YEAR(A2613))</f>
        <v/>
      </c>
    </row>
    <row r="2614" ht="15" customHeight="1" s="21">
      <c r="A2614" s="34" t="n"/>
      <c r="B2614" s="30" t="n"/>
      <c r="C2614" s="30" t="n"/>
      <c r="D2614" s="30" t="n"/>
      <c r="E2614" s="33">
        <f>IF(B2614="","",IFERROR(INDEX(Productos!$B$2:$B$501,MATCH(B2614,Productos!$A$2:$A$501,0)),"¿Código?"))</f>
        <v/>
      </c>
      <c r="F2614" s="32">
        <f>IF(C2614&lt;&gt;"Venta","",D2614*IFERROR(INDEX(Productos!$D$2:$D$501,MATCH(B2614,Productos!$A$2:$A$501,0)),0))</f>
        <v/>
      </c>
      <c r="G2614" s="32">
        <f>IF(C2614&lt;&gt;"Venta","",D2614*IFERROR(INDEX(Productos!$E$2:$E$501,MATCH(B2614,Productos!$A$2:$A$501,0)),0))</f>
        <v/>
      </c>
      <c r="H2614" s="33">
        <f>IF(A2614="","",MONTH(A2614))</f>
        <v/>
      </c>
      <c r="I2614" s="33">
        <f>IF(A2614="","",YEAR(A2614))</f>
        <v/>
      </c>
    </row>
    <row r="2615" ht="15" customHeight="1" s="21">
      <c r="A2615" s="34" t="n"/>
      <c r="B2615" s="30" t="n"/>
      <c r="C2615" s="30" t="n"/>
      <c r="D2615" s="30" t="n"/>
      <c r="E2615" s="33">
        <f>IF(B2615="","",IFERROR(INDEX(Productos!$B$2:$B$501,MATCH(B2615,Productos!$A$2:$A$501,0)),"¿Código?"))</f>
        <v/>
      </c>
      <c r="F2615" s="32">
        <f>IF(C2615&lt;&gt;"Venta","",D2615*IFERROR(INDEX(Productos!$D$2:$D$501,MATCH(B2615,Productos!$A$2:$A$501,0)),0))</f>
        <v/>
      </c>
      <c r="G2615" s="32">
        <f>IF(C2615&lt;&gt;"Venta","",D2615*IFERROR(INDEX(Productos!$E$2:$E$501,MATCH(B2615,Productos!$A$2:$A$501,0)),0))</f>
        <v/>
      </c>
      <c r="H2615" s="33">
        <f>IF(A2615="","",MONTH(A2615))</f>
        <v/>
      </c>
      <c r="I2615" s="33">
        <f>IF(A2615="","",YEAR(A2615))</f>
        <v/>
      </c>
    </row>
    <row r="2616" ht="15" customHeight="1" s="21">
      <c r="A2616" s="34" t="n"/>
      <c r="B2616" s="30" t="n"/>
      <c r="C2616" s="30" t="n"/>
      <c r="D2616" s="30" t="n"/>
      <c r="E2616" s="33">
        <f>IF(B2616="","",IFERROR(INDEX(Productos!$B$2:$B$501,MATCH(B2616,Productos!$A$2:$A$501,0)),"¿Código?"))</f>
        <v/>
      </c>
      <c r="F2616" s="32">
        <f>IF(C2616&lt;&gt;"Venta","",D2616*IFERROR(INDEX(Productos!$D$2:$D$501,MATCH(B2616,Productos!$A$2:$A$501,0)),0))</f>
        <v/>
      </c>
      <c r="G2616" s="32">
        <f>IF(C2616&lt;&gt;"Venta","",D2616*IFERROR(INDEX(Productos!$E$2:$E$501,MATCH(B2616,Productos!$A$2:$A$501,0)),0))</f>
        <v/>
      </c>
      <c r="H2616" s="33">
        <f>IF(A2616="","",MONTH(A2616))</f>
        <v/>
      </c>
      <c r="I2616" s="33">
        <f>IF(A2616="","",YEAR(A2616))</f>
        <v/>
      </c>
    </row>
    <row r="2617" ht="15" customHeight="1" s="21">
      <c r="A2617" s="34" t="n"/>
      <c r="B2617" s="30" t="n"/>
      <c r="C2617" s="30" t="n"/>
      <c r="D2617" s="30" t="n"/>
      <c r="E2617" s="33">
        <f>IF(B2617="","",IFERROR(INDEX(Productos!$B$2:$B$501,MATCH(B2617,Productos!$A$2:$A$501,0)),"¿Código?"))</f>
        <v/>
      </c>
      <c r="F2617" s="32">
        <f>IF(C2617&lt;&gt;"Venta","",D2617*IFERROR(INDEX(Productos!$D$2:$D$501,MATCH(B2617,Productos!$A$2:$A$501,0)),0))</f>
        <v/>
      </c>
      <c r="G2617" s="32">
        <f>IF(C2617&lt;&gt;"Venta","",D2617*IFERROR(INDEX(Productos!$E$2:$E$501,MATCH(B2617,Productos!$A$2:$A$501,0)),0))</f>
        <v/>
      </c>
      <c r="H2617" s="33">
        <f>IF(A2617="","",MONTH(A2617))</f>
        <v/>
      </c>
      <c r="I2617" s="33">
        <f>IF(A2617="","",YEAR(A2617))</f>
        <v/>
      </c>
    </row>
    <row r="2618" ht="15" customHeight="1" s="21">
      <c r="A2618" s="34" t="n"/>
      <c r="B2618" s="30" t="n"/>
      <c r="C2618" s="30" t="n"/>
      <c r="D2618" s="30" t="n"/>
      <c r="E2618" s="33">
        <f>IF(B2618="","",IFERROR(INDEX(Productos!$B$2:$B$501,MATCH(B2618,Productos!$A$2:$A$501,0)),"¿Código?"))</f>
        <v/>
      </c>
      <c r="F2618" s="32">
        <f>IF(C2618&lt;&gt;"Venta","",D2618*IFERROR(INDEX(Productos!$D$2:$D$501,MATCH(B2618,Productos!$A$2:$A$501,0)),0))</f>
        <v/>
      </c>
      <c r="G2618" s="32">
        <f>IF(C2618&lt;&gt;"Venta","",D2618*IFERROR(INDEX(Productos!$E$2:$E$501,MATCH(B2618,Productos!$A$2:$A$501,0)),0))</f>
        <v/>
      </c>
      <c r="H2618" s="33">
        <f>IF(A2618="","",MONTH(A2618))</f>
        <v/>
      </c>
      <c r="I2618" s="33">
        <f>IF(A2618="","",YEAR(A2618))</f>
        <v/>
      </c>
    </row>
    <row r="2619" ht="15" customHeight="1" s="21">
      <c r="A2619" s="34" t="n"/>
      <c r="B2619" s="30" t="n"/>
      <c r="C2619" s="30" t="n"/>
      <c r="D2619" s="30" t="n"/>
      <c r="E2619" s="33">
        <f>IF(B2619="","",IFERROR(INDEX(Productos!$B$2:$B$501,MATCH(B2619,Productos!$A$2:$A$501,0)),"¿Código?"))</f>
        <v/>
      </c>
      <c r="F2619" s="32">
        <f>IF(C2619&lt;&gt;"Venta","",D2619*IFERROR(INDEX(Productos!$D$2:$D$501,MATCH(B2619,Productos!$A$2:$A$501,0)),0))</f>
        <v/>
      </c>
      <c r="G2619" s="32">
        <f>IF(C2619&lt;&gt;"Venta","",D2619*IFERROR(INDEX(Productos!$E$2:$E$501,MATCH(B2619,Productos!$A$2:$A$501,0)),0))</f>
        <v/>
      </c>
      <c r="H2619" s="33">
        <f>IF(A2619="","",MONTH(A2619))</f>
        <v/>
      </c>
      <c r="I2619" s="33">
        <f>IF(A2619="","",YEAR(A2619))</f>
        <v/>
      </c>
    </row>
    <row r="2620" ht="15" customHeight="1" s="21">
      <c r="A2620" s="34" t="n"/>
      <c r="B2620" s="30" t="n"/>
      <c r="C2620" s="30" t="n"/>
      <c r="D2620" s="30" t="n"/>
      <c r="E2620" s="33">
        <f>IF(B2620="","",IFERROR(INDEX(Productos!$B$2:$B$501,MATCH(B2620,Productos!$A$2:$A$501,0)),"¿Código?"))</f>
        <v/>
      </c>
      <c r="F2620" s="32">
        <f>IF(C2620&lt;&gt;"Venta","",D2620*IFERROR(INDEX(Productos!$D$2:$D$501,MATCH(B2620,Productos!$A$2:$A$501,0)),0))</f>
        <v/>
      </c>
      <c r="G2620" s="32">
        <f>IF(C2620&lt;&gt;"Venta","",D2620*IFERROR(INDEX(Productos!$E$2:$E$501,MATCH(B2620,Productos!$A$2:$A$501,0)),0))</f>
        <v/>
      </c>
      <c r="H2620" s="33">
        <f>IF(A2620="","",MONTH(A2620))</f>
        <v/>
      </c>
      <c r="I2620" s="33">
        <f>IF(A2620="","",YEAR(A2620))</f>
        <v/>
      </c>
    </row>
    <row r="2621" ht="15" customHeight="1" s="21">
      <c r="A2621" s="34" t="n"/>
      <c r="B2621" s="30" t="n"/>
      <c r="C2621" s="30" t="n"/>
      <c r="D2621" s="30" t="n"/>
      <c r="E2621" s="33">
        <f>IF(B2621="","",IFERROR(INDEX(Productos!$B$2:$B$501,MATCH(B2621,Productos!$A$2:$A$501,0)),"¿Código?"))</f>
        <v/>
      </c>
      <c r="F2621" s="32">
        <f>IF(C2621&lt;&gt;"Venta","",D2621*IFERROR(INDEX(Productos!$D$2:$D$501,MATCH(B2621,Productos!$A$2:$A$501,0)),0))</f>
        <v/>
      </c>
      <c r="G2621" s="32">
        <f>IF(C2621&lt;&gt;"Venta","",D2621*IFERROR(INDEX(Productos!$E$2:$E$501,MATCH(B2621,Productos!$A$2:$A$501,0)),0))</f>
        <v/>
      </c>
      <c r="H2621" s="33">
        <f>IF(A2621="","",MONTH(A2621))</f>
        <v/>
      </c>
      <c r="I2621" s="33">
        <f>IF(A2621="","",YEAR(A2621))</f>
        <v/>
      </c>
    </row>
    <row r="2622" ht="15" customHeight="1" s="21">
      <c r="A2622" s="34" t="n"/>
      <c r="B2622" s="30" t="n"/>
      <c r="C2622" s="30" t="n"/>
      <c r="D2622" s="30" t="n"/>
      <c r="E2622" s="33">
        <f>IF(B2622="","",IFERROR(INDEX(Productos!$B$2:$B$501,MATCH(B2622,Productos!$A$2:$A$501,0)),"¿Código?"))</f>
        <v/>
      </c>
      <c r="F2622" s="32">
        <f>IF(C2622&lt;&gt;"Venta","",D2622*IFERROR(INDEX(Productos!$D$2:$D$501,MATCH(B2622,Productos!$A$2:$A$501,0)),0))</f>
        <v/>
      </c>
      <c r="G2622" s="32">
        <f>IF(C2622&lt;&gt;"Venta","",D2622*IFERROR(INDEX(Productos!$E$2:$E$501,MATCH(B2622,Productos!$A$2:$A$501,0)),0))</f>
        <v/>
      </c>
      <c r="H2622" s="33">
        <f>IF(A2622="","",MONTH(A2622))</f>
        <v/>
      </c>
      <c r="I2622" s="33">
        <f>IF(A2622="","",YEAR(A2622))</f>
        <v/>
      </c>
    </row>
    <row r="2623" ht="15" customHeight="1" s="21">
      <c r="A2623" s="34" t="n"/>
      <c r="B2623" s="30" t="n"/>
      <c r="C2623" s="30" t="n"/>
      <c r="D2623" s="30" t="n"/>
      <c r="E2623" s="33">
        <f>IF(B2623="","",IFERROR(INDEX(Productos!$B$2:$B$501,MATCH(B2623,Productos!$A$2:$A$501,0)),"¿Código?"))</f>
        <v/>
      </c>
      <c r="F2623" s="32">
        <f>IF(C2623&lt;&gt;"Venta","",D2623*IFERROR(INDEX(Productos!$D$2:$D$501,MATCH(B2623,Productos!$A$2:$A$501,0)),0))</f>
        <v/>
      </c>
      <c r="G2623" s="32">
        <f>IF(C2623&lt;&gt;"Venta","",D2623*IFERROR(INDEX(Productos!$E$2:$E$501,MATCH(B2623,Productos!$A$2:$A$501,0)),0))</f>
        <v/>
      </c>
      <c r="H2623" s="33">
        <f>IF(A2623="","",MONTH(A2623))</f>
        <v/>
      </c>
      <c r="I2623" s="33">
        <f>IF(A2623="","",YEAR(A2623))</f>
        <v/>
      </c>
    </row>
    <row r="2624" ht="15" customHeight="1" s="21">
      <c r="A2624" s="34" t="n"/>
      <c r="B2624" s="30" t="n"/>
      <c r="C2624" s="30" t="n"/>
      <c r="D2624" s="30" t="n"/>
      <c r="E2624" s="33">
        <f>IF(B2624="","",IFERROR(INDEX(Productos!$B$2:$B$501,MATCH(B2624,Productos!$A$2:$A$501,0)),"¿Código?"))</f>
        <v/>
      </c>
      <c r="F2624" s="32">
        <f>IF(C2624&lt;&gt;"Venta","",D2624*IFERROR(INDEX(Productos!$D$2:$D$501,MATCH(B2624,Productos!$A$2:$A$501,0)),0))</f>
        <v/>
      </c>
      <c r="G2624" s="32">
        <f>IF(C2624&lt;&gt;"Venta","",D2624*IFERROR(INDEX(Productos!$E$2:$E$501,MATCH(B2624,Productos!$A$2:$A$501,0)),0))</f>
        <v/>
      </c>
      <c r="H2624" s="33">
        <f>IF(A2624="","",MONTH(A2624))</f>
        <v/>
      </c>
      <c r="I2624" s="33">
        <f>IF(A2624="","",YEAR(A2624))</f>
        <v/>
      </c>
    </row>
    <row r="2625" ht="15" customHeight="1" s="21">
      <c r="A2625" s="34" t="n"/>
      <c r="B2625" s="30" t="n"/>
      <c r="C2625" s="30" t="n"/>
      <c r="D2625" s="30" t="n"/>
      <c r="E2625" s="33">
        <f>IF(B2625="","",IFERROR(INDEX(Productos!$B$2:$B$501,MATCH(B2625,Productos!$A$2:$A$501,0)),"¿Código?"))</f>
        <v/>
      </c>
      <c r="F2625" s="32">
        <f>IF(C2625&lt;&gt;"Venta","",D2625*IFERROR(INDEX(Productos!$D$2:$D$501,MATCH(B2625,Productos!$A$2:$A$501,0)),0))</f>
        <v/>
      </c>
      <c r="G2625" s="32">
        <f>IF(C2625&lt;&gt;"Venta","",D2625*IFERROR(INDEX(Productos!$E$2:$E$501,MATCH(B2625,Productos!$A$2:$A$501,0)),0))</f>
        <v/>
      </c>
      <c r="H2625" s="33">
        <f>IF(A2625="","",MONTH(A2625))</f>
        <v/>
      </c>
      <c r="I2625" s="33">
        <f>IF(A2625="","",YEAR(A2625))</f>
        <v/>
      </c>
    </row>
    <row r="2626" ht="15" customHeight="1" s="21">
      <c r="A2626" s="34" t="n"/>
      <c r="B2626" s="30" t="n"/>
      <c r="C2626" s="30" t="n"/>
      <c r="D2626" s="30" t="n"/>
      <c r="E2626" s="33">
        <f>IF(B2626="","",IFERROR(INDEX(Productos!$B$2:$B$501,MATCH(B2626,Productos!$A$2:$A$501,0)),"¿Código?"))</f>
        <v/>
      </c>
      <c r="F2626" s="32">
        <f>IF(C2626&lt;&gt;"Venta","",D2626*IFERROR(INDEX(Productos!$D$2:$D$501,MATCH(B2626,Productos!$A$2:$A$501,0)),0))</f>
        <v/>
      </c>
      <c r="G2626" s="32">
        <f>IF(C2626&lt;&gt;"Venta","",D2626*IFERROR(INDEX(Productos!$E$2:$E$501,MATCH(B2626,Productos!$A$2:$A$501,0)),0))</f>
        <v/>
      </c>
      <c r="H2626" s="33">
        <f>IF(A2626="","",MONTH(A2626))</f>
        <v/>
      </c>
      <c r="I2626" s="33">
        <f>IF(A2626="","",YEAR(A2626))</f>
        <v/>
      </c>
    </row>
    <row r="2627" ht="15" customHeight="1" s="21">
      <c r="A2627" s="34" t="n"/>
      <c r="B2627" s="30" t="n"/>
      <c r="C2627" s="30" t="n"/>
      <c r="D2627" s="30" t="n"/>
      <c r="E2627" s="33">
        <f>IF(B2627="","",IFERROR(INDEX(Productos!$B$2:$B$501,MATCH(B2627,Productos!$A$2:$A$501,0)),"¿Código?"))</f>
        <v/>
      </c>
      <c r="F2627" s="32">
        <f>IF(C2627&lt;&gt;"Venta","",D2627*IFERROR(INDEX(Productos!$D$2:$D$501,MATCH(B2627,Productos!$A$2:$A$501,0)),0))</f>
        <v/>
      </c>
      <c r="G2627" s="32">
        <f>IF(C2627&lt;&gt;"Venta","",D2627*IFERROR(INDEX(Productos!$E$2:$E$501,MATCH(B2627,Productos!$A$2:$A$501,0)),0))</f>
        <v/>
      </c>
      <c r="H2627" s="33">
        <f>IF(A2627="","",MONTH(A2627))</f>
        <v/>
      </c>
      <c r="I2627" s="33">
        <f>IF(A2627="","",YEAR(A2627))</f>
        <v/>
      </c>
    </row>
    <row r="2628" ht="15" customHeight="1" s="21">
      <c r="A2628" s="34" t="n"/>
      <c r="B2628" s="30" t="n"/>
      <c r="C2628" s="30" t="n"/>
      <c r="D2628" s="30" t="n"/>
      <c r="E2628" s="33">
        <f>IF(B2628="","",IFERROR(INDEX(Productos!$B$2:$B$501,MATCH(B2628,Productos!$A$2:$A$501,0)),"¿Código?"))</f>
        <v/>
      </c>
      <c r="F2628" s="32">
        <f>IF(C2628&lt;&gt;"Venta","",D2628*IFERROR(INDEX(Productos!$D$2:$D$501,MATCH(B2628,Productos!$A$2:$A$501,0)),0))</f>
        <v/>
      </c>
      <c r="G2628" s="32">
        <f>IF(C2628&lt;&gt;"Venta","",D2628*IFERROR(INDEX(Productos!$E$2:$E$501,MATCH(B2628,Productos!$A$2:$A$501,0)),0))</f>
        <v/>
      </c>
      <c r="H2628" s="33">
        <f>IF(A2628="","",MONTH(A2628))</f>
        <v/>
      </c>
      <c r="I2628" s="33">
        <f>IF(A2628="","",YEAR(A2628))</f>
        <v/>
      </c>
    </row>
    <row r="2629" ht="15" customHeight="1" s="21">
      <c r="A2629" s="34" t="n"/>
      <c r="B2629" s="30" t="n"/>
      <c r="C2629" s="30" t="n"/>
      <c r="D2629" s="30" t="n"/>
      <c r="E2629" s="33">
        <f>IF(B2629="","",IFERROR(INDEX(Productos!$B$2:$B$501,MATCH(B2629,Productos!$A$2:$A$501,0)),"¿Código?"))</f>
        <v/>
      </c>
      <c r="F2629" s="32">
        <f>IF(C2629&lt;&gt;"Venta","",D2629*IFERROR(INDEX(Productos!$D$2:$D$501,MATCH(B2629,Productos!$A$2:$A$501,0)),0))</f>
        <v/>
      </c>
      <c r="G2629" s="32">
        <f>IF(C2629&lt;&gt;"Venta","",D2629*IFERROR(INDEX(Productos!$E$2:$E$501,MATCH(B2629,Productos!$A$2:$A$501,0)),0))</f>
        <v/>
      </c>
      <c r="H2629" s="33">
        <f>IF(A2629="","",MONTH(A2629))</f>
        <v/>
      </c>
      <c r="I2629" s="33">
        <f>IF(A2629="","",YEAR(A2629))</f>
        <v/>
      </c>
    </row>
    <row r="2630" ht="15" customHeight="1" s="21">
      <c r="A2630" s="34" t="n"/>
      <c r="B2630" s="30" t="n"/>
      <c r="C2630" s="30" t="n"/>
      <c r="D2630" s="30" t="n"/>
      <c r="E2630" s="33">
        <f>IF(B2630="","",IFERROR(INDEX(Productos!$B$2:$B$501,MATCH(B2630,Productos!$A$2:$A$501,0)),"¿Código?"))</f>
        <v/>
      </c>
      <c r="F2630" s="32">
        <f>IF(C2630&lt;&gt;"Venta","",D2630*IFERROR(INDEX(Productos!$D$2:$D$501,MATCH(B2630,Productos!$A$2:$A$501,0)),0))</f>
        <v/>
      </c>
      <c r="G2630" s="32">
        <f>IF(C2630&lt;&gt;"Venta","",D2630*IFERROR(INDEX(Productos!$E$2:$E$501,MATCH(B2630,Productos!$A$2:$A$501,0)),0))</f>
        <v/>
      </c>
      <c r="H2630" s="33">
        <f>IF(A2630="","",MONTH(A2630))</f>
        <v/>
      </c>
      <c r="I2630" s="33">
        <f>IF(A2630="","",YEAR(A2630))</f>
        <v/>
      </c>
    </row>
    <row r="2631" ht="15" customHeight="1" s="21">
      <c r="A2631" s="34" t="n"/>
      <c r="B2631" s="30" t="n"/>
      <c r="C2631" s="30" t="n"/>
      <c r="D2631" s="30" t="n"/>
      <c r="E2631" s="33">
        <f>IF(B2631="","",IFERROR(INDEX(Productos!$B$2:$B$501,MATCH(B2631,Productos!$A$2:$A$501,0)),"¿Código?"))</f>
        <v/>
      </c>
      <c r="F2631" s="32">
        <f>IF(C2631&lt;&gt;"Venta","",D2631*IFERROR(INDEX(Productos!$D$2:$D$501,MATCH(B2631,Productos!$A$2:$A$501,0)),0))</f>
        <v/>
      </c>
      <c r="G2631" s="32">
        <f>IF(C2631&lt;&gt;"Venta","",D2631*IFERROR(INDEX(Productos!$E$2:$E$501,MATCH(B2631,Productos!$A$2:$A$501,0)),0))</f>
        <v/>
      </c>
      <c r="H2631" s="33">
        <f>IF(A2631="","",MONTH(A2631))</f>
        <v/>
      </c>
      <c r="I2631" s="33">
        <f>IF(A2631="","",YEAR(A2631))</f>
        <v/>
      </c>
    </row>
    <row r="2632" ht="15" customHeight="1" s="21">
      <c r="A2632" s="34" t="n"/>
      <c r="B2632" s="30" t="n"/>
      <c r="C2632" s="30" t="n"/>
      <c r="D2632" s="30" t="n"/>
      <c r="E2632" s="33">
        <f>IF(B2632="","",IFERROR(INDEX(Productos!$B$2:$B$501,MATCH(B2632,Productos!$A$2:$A$501,0)),"¿Código?"))</f>
        <v/>
      </c>
      <c r="F2632" s="32">
        <f>IF(C2632&lt;&gt;"Venta","",D2632*IFERROR(INDEX(Productos!$D$2:$D$501,MATCH(B2632,Productos!$A$2:$A$501,0)),0))</f>
        <v/>
      </c>
      <c r="G2632" s="32">
        <f>IF(C2632&lt;&gt;"Venta","",D2632*IFERROR(INDEX(Productos!$E$2:$E$501,MATCH(B2632,Productos!$A$2:$A$501,0)),0))</f>
        <v/>
      </c>
      <c r="H2632" s="33">
        <f>IF(A2632="","",MONTH(A2632))</f>
        <v/>
      </c>
      <c r="I2632" s="33">
        <f>IF(A2632="","",YEAR(A2632))</f>
        <v/>
      </c>
    </row>
    <row r="2633" ht="15" customHeight="1" s="21">
      <c r="A2633" s="34" t="n"/>
      <c r="B2633" s="30" t="n"/>
      <c r="C2633" s="30" t="n"/>
      <c r="D2633" s="30" t="n"/>
      <c r="E2633" s="33">
        <f>IF(B2633="","",IFERROR(INDEX(Productos!$B$2:$B$501,MATCH(B2633,Productos!$A$2:$A$501,0)),"¿Código?"))</f>
        <v/>
      </c>
      <c r="F2633" s="32">
        <f>IF(C2633&lt;&gt;"Venta","",D2633*IFERROR(INDEX(Productos!$D$2:$D$501,MATCH(B2633,Productos!$A$2:$A$501,0)),0))</f>
        <v/>
      </c>
      <c r="G2633" s="32">
        <f>IF(C2633&lt;&gt;"Venta","",D2633*IFERROR(INDEX(Productos!$E$2:$E$501,MATCH(B2633,Productos!$A$2:$A$501,0)),0))</f>
        <v/>
      </c>
      <c r="H2633" s="33">
        <f>IF(A2633="","",MONTH(A2633))</f>
        <v/>
      </c>
      <c r="I2633" s="33">
        <f>IF(A2633="","",YEAR(A2633))</f>
        <v/>
      </c>
    </row>
    <row r="2634" ht="15" customHeight="1" s="21">
      <c r="A2634" s="34" t="n"/>
      <c r="B2634" s="30" t="n"/>
      <c r="C2634" s="30" t="n"/>
      <c r="D2634" s="30" t="n"/>
      <c r="E2634" s="33">
        <f>IF(B2634="","",IFERROR(INDEX(Productos!$B$2:$B$501,MATCH(B2634,Productos!$A$2:$A$501,0)),"¿Código?"))</f>
        <v/>
      </c>
      <c r="F2634" s="32">
        <f>IF(C2634&lt;&gt;"Venta","",D2634*IFERROR(INDEX(Productos!$D$2:$D$501,MATCH(B2634,Productos!$A$2:$A$501,0)),0))</f>
        <v/>
      </c>
      <c r="G2634" s="32">
        <f>IF(C2634&lt;&gt;"Venta","",D2634*IFERROR(INDEX(Productos!$E$2:$E$501,MATCH(B2634,Productos!$A$2:$A$501,0)),0))</f>
        <v/>
      </c>
      <c r="H2634" s="33">
        <f>IF(A2634="","",MONTH(A2634))</f>
        <v/>
      </c>
      <c r="I2634" s="33">
        <f>IF(A2634="","",YEAR(A2634))</f>
        <v/>
      </c>
    </row>
    <row r="2635" ht="15" customHeight="1" s="21">
      <c r="A2635" s="34" t="n"/>
      <c r="B2635" s="30" t="n"/>
      <c r="C2635" s="30" t="n"/>
      <c r="D2635" s="30" t="n"/>
      <c r="E2635" s="33">
        <f>IF(B2635="","",IFERROR(INDEX(Productos!$B$2:$B$501,MATCH(B2635,Productos!$A$2:$A$501,0)),"¿Código?"))</f>
        <v/>
      </c>
      <c r="F2635" s="32">
        <f>IF(C2635&lt;&gt;"Venta","",D2635*IFERROR(INDEX(Productos!$D$2:$D$501,MATCH(B2635,Productos!$A$2:$A$501,0)),0))</f>
        <v/>
      </c>
      <c r="G2635" s="32">
        <f>IF(C2635&lt;&gt;"Venta","",D2635*IFERROR(INDEX(Productos!$E$2:$E$501,MATCH(B2635,Productos!$A$2:$A$501,0)),0))</f>
        <v/>
      </c>
      <c r="H2635" s="33">
        <f>IF(A2635="","",MONTH(A2635))</f>
        <v/>
      </c>
      <c r="I2635" s="33">
        <f>IF(A2635="","",YEAR(A2635))</f>
        <v/>
      </c>
    </row>
    <row r="2636" ht="15" customHeight="1" s="21">
      <c r="A2636" s="34" t="n"/>
      <c r="B2636" s="30" t="n"/>
      <c r="C2636" s="30" t="n"/>
      <c r="D2636" s="30" t="n"/>
      <c r="E2636" s="33">
        <f>IF(B2636="","",IFERROR(INDEX(Productos!$B$2:$B$501,MATCH(B2636,Productos!$A$2:$A$501,0)),"¿Código?"))</f>
        <v/>
      </c>
      <c r="F2636" s="32">
        <f>IF(C2636&lt;&gt;"Venta","",D2636*IFERROR(INDEX(Productos!$D$2:$D$501,MATCH(B2636,Productos!$A$2:$A$501,0)),0))</f>
        <v/>
      </c>
      <c r="G2636" s="32">
        <f>IF(C2636&lt;&gt;"Venta","",D2636*IFERROR(INDEX(Productos!$E$2:$E$501,MATCH(B2636,Productos!$A$2:$A$501,0)),0))</f>
        <v/>
      </c>
      <c r="H2636" s="33">
        <f>IF(A2636="","",MONTH(A2636))</f>
        <v/>
      </c>
      <c r="I2636" s="33">
        <f>IF(A2636="","",YEAR(A2636))</f>
        <v/>
      </c>
    </row>
    <row r="2637" ht="15" customHeight="1" s="21">
      <c r="A2637" s="34" t="n"/>
      <c r="B2637" s="30" t="n"/>
      <c r="C2637" s="30" t="n"/>
      <c r="D2637" s="30" t="n"/>
      <c r="E2637" s="33">
        <f>IF(B2637="","",IFERROR(INDEX(Productos!$B$2:$B$501,MATCH(B2637,Productos!$A$2:$A$501,0)),"¿Código?"))</f>
        <v/>
      </c>
      <c r="F2637" s="32">
        <f>IF(C2637&lt;&gt;"Venta","",D2637*IFERROR(INDEX(Productos!$D$2:$D$501,MATCH(B2637,Productos!$A$2:$A$501,0)),0))</f>
        <v/>
      </c>
      <c r="G2637" s="32">
        <f>IF(C2637&lt;&gt;"Venta","",D2637*IFERROR(INDEX(Productos!$E$2:$E$501,MATCH(B2637,Productos!$A$2:$A$501,0)),0))</f>
        <v/>
      </c>
      <c r="H2637" s="33">
        <f>IF(A2637="","",MONTH(A2637))</f>
        <v/>
      </c>
      <c r="I2637" s="33">
        <f>IF(A2637="","",YEAR(A2637))</f>
        <v/>
      </c>
    </row>
    <row r="2638" ht="15" customHeight="1" s="21">
      <c r="A2638" s="34" t="n"/>
      <c r="B2638" s="30" t="n"/>
      <c r="C2638" s="30" t="n"/>
      <c r="D2638" s="30" t="n"/>
      <c r="E2638" s="33">
        <f>IF(B2638="","",IFERROR(INDEX(Productos!$B$2:$B$501,MATCH(B2638,Productos!$A$2:$A$501,0)),"¿Código?"))</f>
        <v/>
      </c>
      <c r="F2638" s="32">
        <f>IF(C2638&lt;&gt;"Venta","",D2638*IFERROR(INDEX(Productos!$D$2:$D$501,MATCH(B2638,Productos!$A$2:$A$501,0)),0))</f>
        <v/>
      </c>
      <c r="G2638" s="32">
        <f>IF(C2638&lt;&gt;"Venta","",D2638*IFERROR(INDEX(Productos!$E$2:$E$501,MATCH(B2638,Productos!$A$2:$A$501,0)),0))</f>
        <v/>
      </c>
      <c r="H2638" s="33">
        <f>IF(A2638="","",MONTH(A2638))</f>
        <v/>
      </c>
      <c r="I2638" s="33">
        <f>IF(A2638="","",YEAR(A2638))</f>
        <v/>
      </c>
    </row>
    <row r="2639" ht="15" customHeight="1" s="21">
      <c r="A2639" s="34" t="n"/>
      <c r="B2639" s="30" t="n"/>
      <c r="C2639" s="30" t="n"/>
      <c r="D2639" s="30" t="n"/>
      <c r="E2639" s="33">
        <f>IF(B2639="","",IFERROR(INDEX(Productos!$B$2:$B$501,MATCH(B2639,Productos!$A$2:$A$501,0)),"¿Código?"))</f>
        <v/>
      </c>
      <c r="F2639" s="32">
        <f>IF(C2639&lt;&gt;"Venta","",D2639*IFERROR(INDEX(Productos!$D$2:$D$501,MATCH(B2639,Productos!$A$2:$A$501,0)),0))</f>
        <v/>
      </c>
      <c r="G2639" s="32">
        <f>IF(C2639&lt;&gt;"Venta","",D2639*IFERROR(INDEX(Productos!$E$2:$E$501,MATCH(B2639,Productos!$A$2:$A$501,0)),0))</f>
        <v/>
      </c>
      <c r="H2639" s="33">
        <f>IF(A2639="","",MONTH(A2639))</f>
        <v/>
      </c>
      <c r="I2639" s="33">
        <f>IF(A2639="","",YEAR(A2639))</f>
        <v/>
      </c>
    </row>
    <row r="2640" ht="15" customHeight="1" s="21">
      <c r="A2640" s="34" t="n"/>
      <c r="B2640" s="30" t="n"/>
      <c r="C2640" s="30" t="n"/>
      <c r="D2640" s="30" t="n"/>
      <c r="E2640" s="33">
        <f>IF(B2640="","",IFERROR(INDEX(Productos!$B$2:$B$501,MATCH(B2640,Productos!$A$2:$A$501,0)),"¿Código?"))</f>
        <v/>
      </c>
      <c r="F2640" s="32">
        <f>IF(C2640&lt;&gt;"Venta","",D2640*IFERROR(INDEX(Productos!$D$2:$D$501,MATCH(B2640,Productos!$A$2:$A$501,0)),0))</f>
        <v/>
      </c>
      <c r="G2640" s="32">
        <f>IF(C2640&lt;&gt;"Venta","",D2640*IFERROR(INDEX(Productos!$E$2:$E$501,MATCH(B2640,Productos!$A$2:$A$501,0)),0))</f>
        <v/>
      </c>
      <c r="H2640" s="33">
        <f>IF(A2640="","",MONTH(A2640))</f>
        <v/>
      </c>
      <c r="I2640" s="33">
        <f>IF(A2640="","",YEAR(A2640))</f>
        <v/>
      </c>
    </row>
    <row r="2641" ht="15" customHeight="1" s="21">
      <c r="A2641" s="34" t="n"/>
      <c r="B2641" s="30" t="n"/>
      <c r="C2641" s="30" t="n"/>
      <c r="D2641" s="30" t="n"/>
      <c r="E2641" s="33">
        <f>IF(B2641="","",IFERROR(INDEX(Productos!$B$2:$B$501,MATCH(B2641,Productos!$A$2:$A$501,0)),"¿Código?"))</f>
        <v/>
      </c>
      <c r="F2641" s="32">
        <f>IF(C2641&lt;&gt;"Venta","",D2641*IFERROR(INDEX(Productos!$D$2:$D$501,MATCH(B2641,Productos!$A$2:$A$501,0)),0))</f>
        <v/>
      </c>
      <c r="G2641" s="32">
        <f>IF(C2641&lt;&gt;"Venta","",D2641*IFERROR(INDEX(Productos!$E$2:$E$501,MATCH(B2641,Productos!$A$2:$A$501,0)),0))</f>
        <v/>
      </c>
      <c r="H2641" s="33">
        <f>IF(A2641="","",MONTH(A2641))</f>
        <v/>
      </c>
      <c r="I2641" s="33">
        <f>IF(A2641="","",YEAR(A2641))</f>
        <v/>
      </c>
    </row>
    <row r="2642" ht="15" customHeight="1" s="21">
      <c r="A2642" s="34" t="n"/>
      <c r="B2642" s="30" t="n"/>
      <c r="C2642" s="30" t="n"/>
      <c r="D2642" s="30" t="n"/>
      <c r="E2642" s="33">
        <f>IF(B2642="","",IFERROR(INDEX(Productos!$B$2:$B$501,MATCH(B2642,Productos!$A$2:$A$501,0)),"¿Código?"))</f>
        <v/>
      </c>
      <c r="F2642" s="32">
        <f>IF(C2642&lt;&gt;"Venta","",D2642*IFERROR(INDEX(Productos!$D$2:$D$501,MATCH(B2642,Productos!$A$2:$A$501,0)),0))</f>
        <v/>
      </c>
      <c r="G2642" s="32">
        <f>IF(C2642&lt;&gt;"Venta","",D2642*IFERROR(INDEX(Productos!$E$2:$E$501,MATCH(B2642,Productos!$A$2:$A$501,0)),0))</f>
        <v/>
      </c>
      <c r="H2642" s="33">
        <f>IF(A2642="","",MONTH(A2642))</f>
        <v/>
      </c>
      <c r="I2642" s="33">
        <f>IF(A2642="","",YEAR(A2642))</f>
        <v/>
      </c>
    </row>
    <row r="2643" ht="15" customHeight="1" s="21">
      <c r="A2643" s="34" t="n"/>
      <c r="B2643" s="30" t="n"/>
      <c r="C2643" s="30" t="n"/>
      <c r="D2643" s="30" t="n"/>
      <c r="E2643" s="33">
        <f>IF(B2643="","",IFERROR(INDEX(Productos!$B$2:$B$501,MATCH(B2643,Productos!$A$2:$A$501,0)),"¿Código?"))</f>
        <v/>
      </c>
      <c r="F2643" s="32">
        <f>IF(C2643&lt;&gt;"Venta","",D2643*IFERROR(INDEX(Productos!$D$2:$D$501,MATCH(B2643,Productos!$A$2:$A$501,0)),0))</f>
        <v/>
      </c>
      <c r="G2643" s="32">
        <f>IF(C2643&lt;&gt;"Venta","",D2643*IFERROR(INDEX(Productos!$E$2:$E$501,MATCH(B2643,Productos!$A$2:$A$501,0)),0))</f>
        <v/>
      </c>
      <c r="H2643" s="33">
        <f>IF(A2643="","",MONTH(A2643))</f>
        <v/>
      </c>
      <c r="I2643" s="33">
        <f>IF(A2643="","",YEAR(A2643))</f>
        <v/>
      </c>
    </row>
    <row r="2644" ht="15" customHeight="1" s="21">
      <c r="A2644" s="34" t="n"/>
      <c r="B2644" s="30" t="n"/>
      <c r="C2644" s="30" t="n"/>
      <c r="D2644" s="30" t="n"/>
      <c r="E2644" s="33">
        <f>IF(B2644="","",IFERROR(INDEX(Productos!$B$2:$B$501,MATCH(B2644,Productos!$A$2:$A$501,0)),"¿Código?"))</f>
        <v/>
      </c>
      <c r="F2644" s="32">
        <f>IF(C2644&lt;&gt;"Venta","",D2644*IFERROR(INDEX(Productos!$D$2:$D$501,MATCH(B2644,Productos!$A$2:$A$501,0)),0))</f>
        <v/>
      </c>
      <c r="G2644" s="32">
        <f>IF(C2644&lt;&gt;"Venta","",D2644*IFERROR(INDEX(Productos!$E$2:$E$501,MATCH(B2644,Productos!$A$2:$A$501,0)),0))</f>
        <v/>
      </c>
      <c r="H2644" s="33">
        <f>IF(A2644="","",MONTH(A2644))</f>
        <v/>
      </c>
      <c r="I2644" s="33">
        <f>IF(A2644="","",YEAR(A2644))</f>
        <v/>
      </c>
    </row>
    <row r="2645" ht="15" customHeight="1" s="21">
      <c r="A2645" s="34" t="n"/>
      <c r="B2645" s="30" t="n"/>
      <c r="C2645" s="30" t="n"/>
      <c r="D2645" s="30" t="n"/>
      <c r="E2645" s="33">
        <f>IF(B2645="","",IFERROR(INDEX(Productos!$B$2:$B$501,MATCH(B2645,Productos!$A$2:$A$501,0)),"¿Código?"))</f>
        <v/>
      </c>
      <c r="F2645" s="32">
        <f>IF(C2645&lt;&gt;"Venta","",D2645*IFERROR(INDEX(Productos!$D$2:$D$501,MATCH(B2645,Productos!$A$2:$A$501,0)),0))</f>
        <v/>
      </c>
      <c r="G2645" s="32">
        <f>IF(C2645&lt;&gt;"Venta","",D2645*IFERROR(INDEX(Productos!$E$2:$E$501,MATCH(B2645,Productos!$A$2:$A$501,0)),0))</f>
        <v/>
      </c>
      <c r="H2645" s="33">
        <f>IF(A2645="","",MONTH(A2645))</f>
        <v/>
      </c>
      <c r="I2645" s="33">
        <f>IF(A2645="","",YEAR(A2645))</f>
        <v/>
      </c>
    </row>
    <row r="2646" ht="15" customHeight="1" s="21">
      <c r="A2646" s="34" t="n"/>
      <c r="B2646" s="30" t="n"/>
      <c r="C2646" s="30" t="n"/>
      <c r="D2646" s="30" t="n"/>
      <c r="E2646" s="33">
        <f>IF(B2646="","",IFERROR(INDEX(Productos!$B$2:$B$501,MATCH(B2646,Productos!$A$2:$A$501,0)),"¿Código?"))</f>
        <v/>
      </c>
      <c r="F2646" s="32">
        <f>IF(C2646&lt;&gt;"Venta","",D2646*IFERROR(INDEX(Productos!$D$2:$D$501,MATCH(B2646,Productos!$A$2:$A$501,0)),0))</f>
        <v/>
      </c>
      <c r="G2646" s="32">
        <f>IF(C2646&lt;&gt;"Venta","",D2646*IFERROR(INDEX(Productos!$E$2:$E$501,MATCH(B2646,Productos!$A$2:$A$501,0)),0))</f>
        <v/>
      </c>
      <c r="H2646" s="33">
        <f>IF(A2646="","",MONTH(A2646))</f>
        <v/>
      </c>
      <c r="I2646" s="33">
        <f>IF(A2646="","",YEAR(A2646))</f>
        <v/>
      </c>
    </row>
    <row r="2647" ht="15" customHeight="1" s="21">
      <c r="A2647" s="34" t="n"/>
      <c r="B2647" s="30" t="n"/>
      <c r="C2647" s="30" t="n"/>
      <c r="D2647" s="30" t="n"/>
      <c r="E2647" s="33">
        <f>IF(B2647="","",IFERROR(INDEX(Productos!$B$2:$B$501,MATCH(B2647,Productos!$A$2:$A$501,0)),"¿Código?"))</f>
        <v/>
      </c>
      <c r="F2647" s="32">
        <f>IF(C2647&lt;&gt;"Venta","",D2647*IFERROR(INDEX(Productos!$D$2:$D$501,MATCH(B2647,Productos!$A$2:$A$501,0)),0))</f>
        <v/>
      </c>
      <c r="G2647" s="32">
        <f>IF(C2647&lt;&gt;"Venta","",D2647*IFERROR(INDEX(Productos!$E$2:$E$501,MATCH(B2647,Productos!$A$2:$A$501,0)),0))</f>
        <v/>
      </c>
      <c r="H2647" s="33">
        <f>IF(A2647="","",MONTH(A2647))</f>
        <v/>
      </c>
      <c r="I2647" s="33">
        <f>IF(A2647="","",YEAR(A2647))</f>
        <v/>
      </c>
    </row>
    <row r="2648" ht="15" customHeight="1" s="21">
      <c r="A2648" s="34" t="n"/>
      <c r="B2648" s="30" t="n"/>
      <c r="C2648" s="30" t="n"/>
      <c r="D2648" s="30" t="n"/>
      <c r="E2648" s="33">
        <f>IF(B2648="","",IFERROR(INDEX(Productos!$B$2:$B$501,MATCH(B2648,Productos!$A$2:$A$501,0)),"¿Código?"))</f>
        <v/>
      </c>
      <c r="F2648" s="32">
        <f>IF(C2648&lt;&gt;"Venta","",D2648*IFERROR(INDEX(Productos!$D$2:$D$501,MATCH(B2648,Productos!$A$2:$A$501,0)),0))</f>
        <v/>
      </c>
      <c r="G2648" s="32">
        <f>IF(C2648&lt;&gt;"Venta","",D2648*IFERROR(INDEX(Productos!$E$2:$E$501,MATCH(B2648,Productos!$A$2:$A$501,0)),0))</f>
        <v/>
      </c>
      <c r="H2648" s="33">
        <f>IF(A2648="","",MONTH(A2648))</f>
        <v/>
      </c>
      <c r="I2648" s="33">
        <f>IF(A2648="","",YEAR(A2648))</f>
        <v/>
      </c>
    </row>
    <row r="2649" ht="15" customHeight="1" s="21">
      <c r="A2649" s="34" t="n"/>
      <c r="B2649" s="30" t="n"/>
      <c r="C2649" s="30" t="n"/>
      <c r="D2649" s="30" t="n"/>
      <c r="E2649" s="33">
        <f>IF(B2649="","",IFERROR(INDEX(Productos!$B$2:$B$501,MATCH(B2649,Productos!$A$2:$A$501,0)),"¿Código?"))</f>
        <v/>
      </c>
      <c r="F2649" s="32">
        <f>IF(C2649&lt;&gt;"Venta","",D2649*IFERROR(INDEX(Productos!$D$2:$D$501,MATCH(B2649,Productos!$A$2:$A$501,0)),0))</f>
        <v/>
      </c>
      <c r="G2649" s="32">
        <f>IF(C2649&lt;&gt;"Venta","",D2649*IFERROR(INDEX(Productos!$E$2:$E$501,MATCH(B2649,Productos!$A$2:$A$501,0)),0))</f>
        <v/>
      </c>
      <c r="H2649" s="33">
        <f>IF(A2649="","",MONTH(A2649))</f>
        <v/>
      </c>
      <c r="I2649" s="33">
        <f>IF(A2649="","",YEAR(A2649))</f>
        <v/>
      </c>
    </row>
    <row r="2650" ht="15" customHeight="1" s="21">
      <c r="A2650" s="34" t="n"/>
      <c r="B2650" s="30" t="n"/>
      <c r="C2650" s="30" t="n"/>
      <c r="D2650" s="30" t="n"/>
      <c r="E2650" s="33">
        <f>IF(B2650="","",IFERROR(INDEX(Productos!$B$2:$B$501,MATCH(B2650,Productos!$A$2:$A$501,0)),"¿Código?"))</f>
        <v/>
      </c>
      <c r="F2650" s="32">
        <f>IF(C2650&lt;&gt;"Venta","",D2650*IFERROR(INDEX(Productos!$D$2:$D$501,MATCH(B2650,Productos!$A$2:$A$501,0)),0))</f>
        <v/>
      </c>
      <c r="G2650" s="32">
        <f>IF(C2650&lt;&gt;"Venta","",D2650*IFERROR(INDEX(Productos!$E$2:$E$501,MATCH(B2650,Productos!$A$2:$A$501,0)),0))</f>
        <v/>
      </c>
      <c r="H2650" s="33">
        <f>IF(A2650="","",MONTH(A2650))</f>
        <v/>
      </c>
      <c r="I2650" s="33">
        <f>IF(A2650="","",YEAR(A2650))</f>
        <v/>
      </c>
    </row>
    <row r="2651" ht="15" customHeight="1" s="21">
      <c r="A2651" s="34" t="n"/>
      <c r="B2651" s="30" t="n"/>
      <c r="C2651" s="30" t="n"/>
      <c r="D2651" s="30" t="n"/>
      <c r="E2651" s="33">
        <f>IF(B2651="","",IFERROR(INDEX(Productos!$B$2:$B$501,MATCH(B2651,Productos!$A$2:$A$501,0)),"¿Código?"))</f>
        <v/>
      </c>
      <c r="F2651" s="32">
        <f>IF(C2651&lt;&gt;"Venta","",D2651*IFERROR(INDEX(Productos!$D$2:$D$501,MATCH(B2651,Productos!$A$2:$A$501,0)),0))</f>
        <v/>
      </c>
      <c r="G2651" s="32">
        <f>IF(C2651&lt;&gt;"Venta","",D2651*IFERROR(INDEX(Productos!$E$2:$E$501,MATCH(B2651,Productos!$A$2:$A$501,0)),0))</f>
        <v/>
      </c>
      <c r="H2651" s="33">
        <f>IF(A2651="","",MONTH(A2651))</f>
        <v/>
      </c>
      <c r="I2651" s="33">
        <f>IF(A2651="","",YEAR(A2651))</f>
        <v/>
      </c>
    </row>
    <row r="2652" ht="15" customHeight="1" s="21">
      <c r="A2652" s="34" t="n"/>
      <c r="B2652" s="30" t="n"/>
      <c r="C2652" s="30" t="n"/>
      <c r="D2652" s="30" t="n"/>
      <c r="E2652" s="33">
        <f>IF(B2652="","",IFERROR(INDEX(Productos!$B$2:$B$501,MATCH(B2652,Productos!$A$2:$A$501,0)),"¿Código?"))</f>
        <v/>
      </c>
      <c r="F2652" s="32">
        <f>IF(C2652&lt;&gt;"Venta","",D2652*IFERROR(INDEX(Productos!$D$2:$D$501,MATCH(B2652,Productos!$A$2:$A$501,0)),0))</f>
        <v/>
      </c>
      <c r="G2652" s="32">
        <f>IF(C2652&lt;&gt;"Venta","",D2652*IFERROR(INDEX(Productos!$E$2:$E$501,MATCH(B2652,Productos!$A$2:$A$501,0)),0))</f>
        <v/>
      </c>
      <c r="H2652" s="33">
        <f>IF(A2652="","",MONTH(A2652))</f>
        <v/>
      </c>
      <c r="I2652" s="33">
        <f>IF(A2652="","",YEAR(A2652))</f>
        <v/>
      </c>
    </row>
    <row r="2653" ht="15" customHeight="1" s="21">
      <c r="A2653" s="34" t="n"/>
      <c r="B2653" s="30" t="n"/>
      <c r="C2653" s="30" t="n"/>
      <c r="D2653" s="30" t="n"/>
      <c r="E2653" s="33">
        <f>IF(B2653="","",IFERROR(INDEX(Productos!$B$2:$B$501,MATCH(B2653,Productos!$A$2:$A$501,0)),"¿Código?"))</f>
        <v/>
      </c>
      <c r="F2653" s="32">
        <f>IF(C2653&lt;&gt;"Venta","",D2653*IFERROR(INDEX(Productos!$D$2:$D$501,MATCH(B2653,Productos!$A$2:$A$501,0)),0))</f>
        <v/>
      </c>
      <c r="G2653" s="32">
        <f>IF(C2653&lt;&gt;"Venta","",D2653*IFERROR(INDEX(Productos!$E$2:$E$501,MATCH(B2653,Productos!$A$2:$A$501,0)),0))</f>
        <v/>
      </c>
      <c r="H2653" s="33">
        <f>IF(A2653="","",MONTH(A2653))</f>
        <v/>
      </c>
      <c r="I2653" s="33">
        <f>IF(A2653="","",YEAR(A2653))</f>
        <v/>
      </c>
    </row>
    <row r="2654" ht="15" customHeight="1" s="21">
      <c r="A2654" s="34" t="n"/>
      <c r="B2654" s="30" t="n"/>
      <c r="C2654" s="30" t="n"/>
      <c r="D2654" s="30" t="n"/>
      <c r="E2654" s="33">
        <f>IF(B2654="","",IFERROR(INDEX(Productos!$B$2:$B$501,MATCH(B2654,Productos!$A$2:$A$501,0)),"¿Código?"))</f>
        <v/>
      </c>
      <c r="F2654" s="32">
        <f>IF(C2654&lt;&gt;"Venta","",D2654*IFERROR(INDEX(Productos!$D$2:$D$501,MATCH(B2654,Productos!$A$2:$A$501,0)),0))</f>
        <v/>
      </c>
      <c r="G2654" s="32">
        <f>IF(C2654&lt;&gt;"Venta","",D2654*IFERROR(INDEX(Productos!$E$2:$E$501,MATCH(B2654,Productos!$A$2:$A$501,0)),0))</f>
        <v/>
      </c>
      <c r="H2654" s="33">
        <f>IF(A2654="","",MONTH(A2654))</f>
        <v/>
      </c>
      <c r="I2654" s="33">
        <f>IF(A2654="","",YEAR(A2654))</f>
        <v/>
      </c>
    </row>
    <row r="2655" ht="15" customHeight="1" s="21">
      <c r="A2655" s="34" t="n"/>
      <c r="B2655" s="30" t="n"/>
      <c r="C2655" s="30" t="n"/>
      <c r="D2655" s="30" t="n"/>
      <c r="E2655" s="33">
        <f>IF(B2655="","",IFERROR(INDEX(Productos!$B$2:$B$501,MATCH(B2655,Productos!$A$2:$A$501,0)),"¿Código?"))</f>
        <v/>
      </c>
      <c r="F2655" s="32">
        <f>IF(C2655&lt;&gt;"Venta","",D2655*IFERROR(INDEX(Productos!$D$2:$D$501,MATCH(B2655,Productos!$A$2:$A$501,0)),0))</f>
        <v/>
      </c>
      <c r="G2655" s="32">
        <f>IF(C2655&lt;&gt;"Venta","",D2655*IFERROR(INDEX(Productos!$E$2:$E$501,MATCH(B2655,Productos!$A$2:$A$501,0)),0))</f>
        <v/>
      </c>
      <c r="H2655" s="33">
        <f>IF(A2655="","",MONTH(A2655))</f>
        <v/>
      </c>
      <c r="I2655" s="33">
        <f>IF(A2655="","",YEAR(A2655))</f>
        <v/>
      </c>
    </row>
    <row r="2656" ht="15" customHeight="1" s="21">
      <c r="A2656" s="34" t="n"/>
      <c r="B2656" s="30" t="n"/>
      <c r="C2656" s="30" t="n"/>
      <c r="D2656" s="30" t="n"/>
      <c r="E2656" s="33">
        <f>IF(B2656="","",IFERROR(INDEX(Productos!$B$2:$B$501,MATCH(B2656,Productos!$A$2:$A$501,0)),"¿Código?"))</f>
        <v/>
      </c>
      <c r="F2656" s="32">
        <f>IF(C2656&lt;&gt;"Venta","",D2656*IFERROR(INDEX(Productos!$D$2:$D$501,MATCH(B2656,Productos!$A$2:$A$501,0)),0))</f>
        <v/>
      </c>
      <c r="G2656" s="32">
        <f>IF(C2656&lt;&gt;"Venta","",D2656*IFERROR(INDEX(Productos!$E$2:$E$501,MATCH(B2656,Productos!$A$2:$A$501,0)),0))</f>
        <v/>
      </c>
      <c r="H2656" s="33">
        <f>IF(A2656="","",MONTH(A2656))</f>
        <v/>
      </c>
      <c r="I2656" s="33">
        <f>IF(A2656="","",YEAR(A2656))</f>
        <v/>
      </c>
    </row>
    <row r="2657" ht="15" customHeight="1" s="21">
      <c r="A2657" s="34" t="n"/>
      <c r="B2657" s="30" t="n"/>
      <c r="C2657" s="30" t="n"/>
      <c r="D2657" s="30" t="n"/>
      <c r="E2657" s="33">
        <f>IF(B2657="","",IFERROR(INDEX(Productos!$B$2:$B$501,MATCH(B2657,Productos!$A$2:$A$501,0)),"¿Código?"))</f>
        <v/>
      </c>
      <c r="F2657" s="32">
        <f>IF(C2657&lt;&gt;"Venta","",D2657*IFERROR(INDEX(Productos!$D$2:$D$501,MATCH(B2657,Productos!$A$2:$A$501,0)),0))</f>
        <v/>
      </c>
      <c r="G2657" s="32">
        <f>IF(C2657&lt;&gt;"Venta","",D2657*IFERROR(INDEX(Productos!$E$2:$E$501,MATCH(B2657,Productos!$A$2:$A$501,0)),0))</f>
        <v/>
      </c>
      <c r="H2657" s="33">
        <f>IF(A2657="","",MONTH(A2657))</f>
        <v/>
      </c>
      <c r="I2657" s="33">
        <f>IF(A2657="","",YEAR(A2657))</f>
        <v/>
      </c>
    </row>
    <row r="2658" ht="15" customHeight="1" s="21">
      <c r="A2658" s="34" t="n"/>
      <c r="B2658" s="30" t="n"/>
      <c r="C2658" s="30" t="n"/>
      <c r="D2658" s="30" t="n"/>
      <c r="E2658" s="33">
        <f>IF(B2658="","",IFERROR(INDEX(Productos!$B$2:$B$501,MATCH(B2658,Productos!$A$2:$A$501,0)),"¿Código?"))</f>
        <v/>
      </c>
      <c r="F2658" s="32">
        <f>IF(C2658&lt;&gt;"Venta","",D2658*IFERROR(INDEX(Productos!$D$2:$D$501,MATCH(B2658,Productos!$A$2:$A$501,0)),0))</f>
        <v/>
      </c>
      <c r="G2658" s="32">
        <f>IF(C2658&lt;&gt;"Venta","",D2658*IFERROR(INDEX(Productos!$E$2:$E$501,MATCH(B2658,Productos!$A$2:$A$501,0)),0))</f>
        <v/>
      </c>
      <c r="H2658" s="33">
        <f>IF(A2658="","",MONTH(A2658))</f>
        <v/>
      </c>
      <c r="I2658" s="33">
        <f>IF(A2658="","",YEAR(A2658))</f>
        <v/>
      </c>
    </row>
    <row r="2659" ht="15" customHeight="1" s="21">
      <c r="A2659" s="34" t="n"/>
      <c r="B2659" s="30" t="n"/>
      <c r="C2659" s="30" t="n"/>
      <c r="D2659" s="30" t="n"/>
      <c r="E2659" s="33">
        <f>IF(B2659="","",IFERROR(INDEX(Productos!$B$2:$B$501,MATCH(B2659,Productos!$A$2:$A$501,0)),"¿Código?"))</f>
        <v/>
      </c>
      <c r="F2659" s="32">
        <f>IF(C2659&lt;&gt;"Venta","",D2659*IFERROR(INDEX(Productos!$D$2:$D$501,MATCH(B2659,Productos!$A$2:$A$501,0)),0))</f>
        <v/>
      </c>
      <c r="G2659" s="32">
        <f>IF(C2659&lt;&gt;"Venta","",D2659*IFERROR(INDEX(Productos!$E$2:$E$501,MATCH(B2659,Productos!$A$2:$A$501,0)),0))</f>
        <v/>
      </c>
      <c r="H2659" s="33">
        <f>IF(A2659="","",MONTH(A2659))</f>
        <v/>
      </c>
      <c r="I2659" s="33">
        <f>IF(A2659="","",YEAR(A2659))</f>
        <v/>
      </c>
    </row>
    <row r="2660" ht="15" customHeight="1" s="21">
      <c r="A2660" s="34" t="n"/>
      <c r="B2660" s="30" t="n"/>
      <c r="C2660" s="30" t="n"/>
      <c r="D2660" s="30" t="n"/>
      <c r="E2660" s="33">
        <f>IF(B2660="","",IFERROR(INDEX(Productos!$B$2:$B$501,MATCH(B2660,Productos!$A$2:$A$501,0)),"¿Código?"))</f>
        <v/>
      </c>
      <c r="F2660" s="32">
        <f>IF(C2660&lt;&gt;"Venta","",D2660*IFERROR(INDEX(Productos!$D$2:$D$501,MATCH(B2660,Productos!$A$2:$A$501,0)),0))</f>
        <v/>
      </c>
      <c r="G2660" s="32">
        <f>IF(C2660&lt;&gt;"Venta","",D2660*IFERROR(INDEX(Productos!$E$2:$E$501,MATCH(B2660,Productos!$A$2:$A$501,0)),0))</f>
        <v/>
      </c>
      <c r="H2660" s="33">
        <f>IF(A2660="","",MONTH(A2660))</f>
        <v/>
      </c>
      <c r="I2660" s="33">
        <f>IF(A2660="","",YEAR(A2660))</f>
        <v/>
      </c>
    </row>
    <row r="2661" ht="15" customHeight="1" s="21">
      <c r="A2661" s="34" t="n"/>
      <c r="B2661" s="30" t="n"/>
      <c r="C2661" s="30" t="n"/>
      <c r="D2661" s="30" t="n"/>
      <c r="E2661" s="33">
        <f>IF(B2661="","",IFERROR(INDEX(Productos!$B$2:$B$501,MATCH(B2661,Productos!$A$2:$A$501,0)),"¿Código?"))</f>
        <v/>
      </c>
      <c r="F2661" s="32">
        <f>IF(C2661&lt;&gt;"Venta","",D2661*IFERROR(INDEX(Productos!$D$2:$D$501,MATCH(B2661,Productos!$A$2:$A$501,0)),0))</f>
        <v/>
      </c>
      <c r="G2661" s="32">
        <f>IF(C2661&lt;&gt;"Venta","",D2661*IFERROR(INDEX(Productos!$E$2:$E$501,MATCH(B2661,Productos!$A$2:$A$501,0)),0))</f>
        <v/>
      </c>
      <c r="H2661" s="33">
        <f>IF(A2661="","",MONTH(A2661))</f>
        <v/>
      </c>
      <c r="I2661" s="33">
        <f>IF(A2661="","",YEAR(A2661))</f>
        <v/>
      </c>
    </row>
    <row r="2662" ht="15" customHeight="1" s="21">
      <c r="A2662" s="34" t="n"/>
      <c r="B2662" s="30" t="n"/>
      <c r="C2662" s="30" t="n"/>
      <c r="D2662" s="30" t="n"/>
      <c r="E2662" s="33">
        <f>IF(B2662="","",IFERROR(INDEX(Productos!$B$2:$B$501,MATCH(B2662,Productos!$A$2:$A$501,0)),"¿Código?"))</f>
        <v/>
      </c>
      <c r="F2662" s="32">
        <f>IF(C2662&lt;&gt;"Venta","",D2662*IFERROR(INDEX(Productos!$D$2:$D$501,MATCH(B2662,Productos!$A$2:$A$501,0)),0))</f>
        <v/>
      </c>
      <c r="G2662" s="32">
        <f>IF(C2662&lt;&gt;"Venta","",D2662*IFERROR(INDEX(Productos!$E$2:$E$501,MATCH(B2662,Productos!$A$2:$A$501,0)),0))</f>
        <v/>
      </c>
      <c r="H2662" s="33">
        <f>IF(A2662="","",MONTH(A2662))</f>
        <v/>
      </c>
      <c r="I2662" s="33">
        <f>IF(A2662="","",YEAR(A2662))</f>
        <v/>
      </c>
    </row>
    <row r="2663" ht="15" customHeight="1" s="21">
      <c r="A2663" s="34" t="n"/>
      <c r="B2663" s="30" t="n"/>
      <c r="C2663" s="30" t="n"/>
      <c r="D2663" s="30" t="n"/>
      <c r="E2663" s="33">
        <f>IF(B2663="","",IFERROR(INDEX(Productos!$B$2:$B$501,MATCH(B2663,Productos!$A$2:$A$501,0)),"¿Código?"))</f>
        <v/>
      </c>
      <c r="F2663" s="32">
        <f>IF(C2663&lt;&gt;"Venta","",D2663*IFERROR(INDEX(Productos!$D$2:$D$501,MATCH(B2663,Productos!$A$2:$A$501,0)),0))</f>
        <v/>
      </c>
      <c r="G2663" s="32">
        <f>IF(C2663&lt;&gt;"Venta","",D2663*IFERROR(INDEX(Productos!$E$2:$E$501,MATCH(B2663,Productos!$A$2:$A$501,0)),0))</f>
        <v/>
      </c>
      <c r="H2663" s="33">
        <f>IF(A2663="","",MONTH(A2663))</f>
        <v/>
      </c>
      <c r="I2663" s="33">
        <f>IF(A2663="","",YEAR(A2663))</f>
        <v/>
      </c>
    </row>
    <row r="2664" ht="15" customHeight="1" s="21">
      <c r="A2664" s="34" t="n"/>
      <c r="B2664" s="30" t="n"/>
      <c r="C2664" s="30" t="n"/>
      <c r="D2664" s="30" t="n"/>
      <c r="E2664" s="33">
        <f>IF(B2664="","",IFERROR(INDEX(Productos!$B$2:$B$501,MATCH(B2664,Productos!$A$2:$A$501,0)),"¿Código?"))</f>
        <v/>
      </c>
      <c r="F2664" s="32">
        <f>IF(C2664&lt;&gt;"Venta","",D2664*IFERROR(INDEX(Productos!$D$2:$D$501,MATCH(B2664,Productos!$A$2:$A$501,0)),0))</f>
        <v/>
      </c>
      <c r="G2664" s="32">
        <f>IF(C2664&lt;&gt;"Venta","",D2664*IFERROR(INDEX(Productos!$E$2:$E$501,MATCH(B2664,Productos!$A$2:$A$501,0)),0))</f>
        <v/>
      </c>
      <c r="H2664" s="33">
        <f>IF(A2664="","",MONTH(A2664))</f>
        <v/>
      </c>
      <c r="I2664" s="33">
        <f>IF(A2664="","",YEAR(A2664))</f>
        <v/>
      </c>
    </row>
    <row r="2665" ht="15" customHeight="1" s="21">
      <c r="A2665" s="34" t="n"/>
      <c r="B2665" s="30" t="n"/>
      <c r="C2665" s="30" t="n"/>
      <c r="D2665" s="30" t="n"/>
      <c r="E2665" s="33">
        <f>IF(B2665="","",IFERROR(INDEX(Productos!$B$2:$B$501,MATCH(B2665,Productos!$A$2:$A$501,0)),"¿Código?"))</f>
        <v/>
      </c>
      <c r="F2665" s="32">
        <f>IF(C2665&lt;&gt;"Venta","",D2665*IFERROR(INDEX(Productos!$D$2:$D$501,MATCH(B2665,Productos!$A$2:$A$501,0)),0))</f>
        <v/>
      </c>
      <c r="G2665" s="32">
        <f>IF(C2665&lt;&gt;"Venta","",D2665*IFERROR(INDEX(Productos!$E$2:$E$501,MATCH(B2665,Productos!$A$2:$A$501,0)),0))</f>
        <v/>
      </c>
      <c r="H2665" s="33">
        <f>IF(A2665="","",MONTH(A2665))</f>
        <v/>
      </c>
      <c r="I2665" s="33">
        <f>IF(A2665="","",YEAR(A2665))</f>
        <v/>
      </c>
    </row>
    <row r="2666" ht="15" customHeight="1" s="21">
      <c r="A2666" s="34" t="n"/>
      <c r="B2666" s="30" t="n"/>
      <c r="C2666" s="30" t="n"/>
      <c r="D2666" s="30" t="n"/>
      <c r="E2666" s="33">
        <f>IF(B2666="","",IFERROR(INDEX(Productos!$B$2:$B$501,MATCH(B2666,Productos!$A$2:$A$501,0)),"¿Código?"))</f>
        <v/>
      </c>
      <c r="F2666" s="32">
        <f>IF(C2666&lt;&gt;"Venta","",D2666*IFERROR(INDEX(Productos!$D$2:$D$501,MATCH(B2666,Productos!$A$2:$A$501,0)),0))</f>
        <v/>
      </c>
      <c r="G2666" s="32">
        <f>IF(C2666&lt;&gt;"Venta","",D2666*IFERROR(INDEX(Productos!$E$2:$E$501,MATCH(B2666,Productos!$A$2:$A$501,0)),0))</f>
        <v/>
      </c>
      <c r="H2666" s="33">
        <f>IF(A2666="","",MONTH(A2666))</f>
        <v/>
      </c>
      <c r="I2666" s="33">
        <f>IF(A2666="","",YEAR(A2666))</f>
        <v/>
      </c>
    </row>
    <row r="2667" ht="15" customHeight="1" s="21">
      <c r="A2667" s="34" t="n"/>
      <c r="B2667" s="30" t="n"/>
      <c r="C2667" s="30" t="n"/>
      <c r="D2667" s="30" t="n"/>
      <c r="E2667" s="33">
        <f>IF(B2667="","",IFERROR(INDEX(Productos!$B$2:$B$501,MATCH(B2667,Productos!$A$2:$A$501,0)),"¿Código?"))</f>
        <v/>
      </c>
      <c r="F2667" s="32">
        <f>IF(C2667&lt;&gt;"Venta","",D2667*IFERROR(INDEX(Productos!$D$2:$D$501,MATCH(B2667,Productos!$A$2:$A$501,0)),0))</f>
        <v/>
      </c>
      <c r="G2667" s="32">
        <f>IF(C2667&lt;&gt;"Venta","",D2667*IFERROR(INDEX(Productos!$E$2:$E$501,MATCH(B2667,Productos!$A$2:$A$501,0)),0))</f>
        <v/>
      </c>
      <c r="H2667" s="33">
        <f>IF(A2667="","",MONTH(A2667))</f>
        <v/>
      </c>
      <c r="I2667" s="33">
        <f>IF(A2667="","",YEAR(A2667))</f>
        <v/>
      </c>
    </row>
    <row r="2668" ht="15" customHeight="1" s="21">
      <c r="A2668" s="34" t="n"/>
      <c r="B2668" s="30" t="n"/>
      <c r="C2668" s="30" t="n"/>
      <c r="D2668" s="30" t="n"/>
      <c r="E2668" s="33">
        <f>IF(B2668="","",IFERROR(INDEX(Productos!$B$2:$B$501,MATCH(B2668,Productos!$A$2:$A$501,0)),"¿Código?"))</f>
        <v/>
      </c>
      <c r="F2668" s="32">
        <f>IF(C2668&lt;&gt;"Venta","",D2668*IFERROR(INDEX(Productos!$D$2:$D$501,MATCH(B2668,Productos!$A$2:$A$501,0)),0))</f>
        <v/>
      </c>
      <c r="G2668" s="32">
        <f>IF(C2668&lt;&gt;"Venta","",D2668*IFERROR(INDEX(Productos!$E$2:$E$501,MATCH(B2668,Productos!$A$2:$A$501,0)),0))</f>
        <v/>
      </c>
      <c r="H2668" s="33">
        <f>IF(A2668="","",MONTH(A2668))</f>
        <v/>
      </c>
      <c r="I2668" s="33">
        <f>IF(A2668="","",YEAR(A2668))</f>
        <v/>
      </c>
    </row>
    <row r="2669" ht="15" customHeight="1" s="21">
      <c r="A2669" s="34" t="n"/>
      <c r="B2669" s="30" t="n"/>
      <c r="C2669" s="30" t="n"/>
      <c r="D2669" s="30" t="n"/>
      <c r="E2669" s="33">
        <f>IF(B2669="","",IFERROR(INDEX(Productos!$B$2:$B$501,MATCH(B2669,Productos!$A$2:$A$501,0)),"¿Código?"))</f>
        <v/>
      </c>
      <c r="F2669" s="32">
        <f>IF(C2669&lt;&gt;"Venta","",D2669*IFERROR(INDEX(Productos!$D$2:$D$501,MATCH(B2669,Productos!$A$2:$A$501,0)),0))</f>
        <v/>
      </c>
      <c r="G2669" s="32">
        <f>IF(C2669&lt;&gt;"Venta","",D2669*IFERROR(INDEX(Productos!$E$2:$E$501,MATCH(B2669,Productos!$A$2:$A$501,0)),0))</f>
        <v/>
      </c>
      <c r="H2669" s="33">
        <f>IF(A2669="","",MONTH(A2669))</f>
        <v/>
      </c>
      <c r="I2669" s="33">
        <f>IF(A2669="","",YEAR(A2669))</f>
        <v/>
      </c>
    </row>
    <row r="2670" ht="15" customHeight="1" s="21">
      <c r="A2670" s="34" t="n"/>
      <c r="B2670" s="30" t="n"/>
      <c r="C2670" s="30" t="n"/>
      <c r="D2670" s="30" t="n"/>
      <c r="E2670" s="33">
        <f>IF(B2670="","",IFERROR(INDEX(Productos!$B$2:$B$501,MATCH(B2670,Productos!$A$2:$A$501,0)),"¿Código?"))</f>
        <v/>
      </c>
      <c r="F2670" s="32">
        <f>IF(C2670&lt;&gt;"Venta","",D2670*IFERROR(INDEX(Productos!$D$2:$D$501,MATCH(B2670,Productos!$A$2:$A$501,0)),0))</f>
        <v/>
      </c>
      <c r="G2670" s="32">
        <f>IF(C2670&lt;&gt;"Venta","",D2670*IFERROR(INDEX(Productos!$E$2:$E$501,MATCH(B2670,Productos!$A$2:$A$501,0)),0))</f>
        <v/>
      </c>
      <c r="H2670" s="33">
        <f>IF(A2670="","",MONTH(A2670))</f>
        <v/>
      </c>
      <c r="I2670" s="33">
        <f>IF(A2670="","",YEAR(A2670))</f>
        <v/>
      </c>
    </row>
    <row r="2671" ht="15" customHeight="1" s="21">
      <c r="A2671" s="34" t="n"/>
      <c r="B2671" s="30" t="n"/>
      <c r="C2671" s="30" t="n"/>
      <c r="D2671" s="30" t="n"/>
      <c r="E2671" s="33">
        <f>IF(B2671="","",IFERROR(INDEX(Productos!$B$2:$B$501,MATCH(B2671,Productos!$A$2:$A$501,0)),"¿Código?"))</f>
        <v/>
      </c>
      <c r="F2671" s="32">
        <f>IF(C2671&lt;&gt;"Venta","",D2671*IFERROR(INDEX(Productos!$D$2:$D$501,MATCH(B2671,Productos!$A$2:$A$501,0)),0))</f>
        <v/>
      </c>
      <c r="G2671" s="32">
        <f>IF(C2671&lt;&gt;"Venta","",D2671*IFERROR(INDEX(Productos!$E$2:$E$501,MATCH(B2671,Productos!$A$2:$A$501,0)),0))</f>
        <v/>
      </c>
      <c r="H2671" s="33">
        <f>IF(A2671="","",MONTH(A2671))</f>
        <v/>
      </c>
      <c r="I2671" s="33">
        <f>IF(A2671="","",YEAR(A2671))</f>
        <v/>
      </c>
    </row>
    <row r="2672" ht="15" customHeight="1" s="21">
      <c r="A2672" s="34" t="n"/>
      <c r="B2672" s="30" t="n"/>
      <c r="C2672" s="30" t="n"/>
      <c r="D2672" s="30" t="n"/>
      <c r="E2672" s="33">
        <f>IF(B2672="","",IFERROR(INDEX(Productos!$B$2:$B$501,MATCH(B2672,Productos!$A$2:$A$501,0)),"¿Código?"))</f>
        <v/>
      </c>
      <c r="F2672" s="32">
        <f>IF(C2672&lt;&gt;"Venta","",D2672*IFERROR(INDEX(Productos!$D$2:$D$501,MATCH(B2672,Productos!$A$2:$A$501,0)),0))</f>
        <v/>
      </c>
      <c r="G2672" s="32">
        <f>IF(C2672&lt;&gt;"Venta","",D2672*IFERROR(INDEX(Productos!$E$2:$E$501,MATCH(B2672,Productos!$A$2:$A$501,0)),0))</f>
        <v/>
      </c>
      <c r="H2672" s="33">
        <f>IF(A2672="","",MONTH(A2672))</f>
        <v/>
      </c>
      <c r="I2672" s="33">
        <f>IF(A2672="","",YEAR(A2672))</f>
        <v/>
      </c>
    </row>
    <row r="2673" ht="15" customHeight="1" s="21">
      <c r="A2673" s="34" t="n"/>
      <c r="B2673" s="30" t="n"/>
      <c r="C2673" s="30" t="n"/>
      <c r="D2673" s="30" t="n"/>
      <c r="E2673" s="33">
        <f>IF(B2673="","",IFERROR(INDEX(Productos!$B$2:$B$501,MATCH(B2673,Productos!$A$2:$A$501,0)),"¿Código?"))</f>
        <v/>
      </c>
      <c r="F2673" s="32">
        <f>IF(C2673&lt;&gt;"Venta","",D2673*IFERROR(INDEX(Productos!$D$2:$D$501,MATCH(B2673,Productos!$A$2:$A$501,0)),0))</f>
        <v/>
      </c>
      <c r="G2673" s="32">
        <f>IF(C2673&lt;&gt;"Venta","",D2673*IFERROR(INDEX(Productos!$E$2:$E$501,MATCH(B2673,Productos!$A$2:$A$501,0)),0))</f>
        <v/>
      </c>
      <c r="H2673" s="33">
        <f>IF(A2673="","",MONTH(A2673))</f>
        <v/>
      </c>
      <c r="I2673" s="33">
        <f>IF(A2673="","",YEAR(A2673))</f>
        <v/>
      </c>
    </row>
    <row r="2674" ht="15" customHeight="1" s="21">
      <c r="A2674" s="34" t="n"/>
      <c r="B2674" s="30" t="n"/>
      <c r="C2674" s="30" t="n"/>
      <c r="D2674" s="30" t="n"/>
      <c r="E2674" s="33">
        <f>IF(B2674="","",IFERROR(INDEX(Productos!$B$2:$B$501,MATCH(B2674,Productos!$A$2:$A$501,0)),"¿Código?"))</f>
        <v/>
      </c>
      <c r="F2674" s="32">
        <f>IF(C2674&lt;&gt;"Venta","",D2674*IFERROR(INDEX(Productos!$D$2:$D$501,MATCH(B2674,Productos!$A$2:$A$501,0)),0))</f>
        <v/>
      </c>
      <c r="G2674" s="32">
        <f>IF(C2674&lt;&gt;"Venta","",D2674*IFERROR(INDEX(Productos!$E$2:$E$501,MATCH(B2674,Productos!$A$2:$A$501,0)),0))</f>
        <v/>
      </c>
      <c r="H2674" s="33">
        <f>IF(A2674="","",MONTH(A2674))</f>
        <v/>
      </c>
      <c r="I2674" s="33">
        <f>IF(A2674="","",YEAR(A2674))</f>
        <v/>
      </c>
    </row>
    <row r="2675" ht="15" customHeight="1" s="21">
      <c r="A2675" s="34" t="n"/>
      <c r="B2675" s="30" t="n"/>
      <c r="C2675" s="30" t="n"/>
      <c r="D2675" s="30" t="n"/>
      <c r="E2675" s="33">
        <f>IF(B2675="","",IFERROR(INDEX(Productos!$B$2:$B$501,MATCH(B2675,Productos!$A$2:$A$501,0)),"¿Código?"))</f>
        <v/>
      </c>
      <c r="F2675" s="32">
        <f>IF(C2675&lt;&gt;"Venta","",D2675*IFERROR(INDEX(Productos!$D$2:$D$501,MATCH(B2675,Productos!$A$2:$A$501,0)),0))</f>
        <v/>
      </c>
      <c r="G2675" s="32">
        <f>IF(C2675&lt;&gt;"Venta","",D2675*IFERROR(INDEX(Productos!$E$2:$E$501,MATCH(B2675,Productos!$A$2:$A$501,0)),0))</f>
        <v/>
      </c>
      <c r="H2675" s="33">
        <f>IF(A2675="","",MONTH(A2675))</f>
        <v/>
      </c>
      <c r="I2675" s="33">
        <f>IF(A2675="","",YEAR(A2675))</f>
        <v/>
      </c>
    </row>
    <row r="2676" ht="15" customHeight="1" s="21">
      <c r="A2676" s="34" t="n"/>
      <c r="B2676" s="30" t="n"/>
      <c r="C2676" s="30" t="n"/>
      <c r="D2676" s="30" t="n"/>
      <c r="E2676" s="33">
        <f>IF(B2676="","",IFERROR(INDEX(Productos!$B$2:$B$501,MATCH(B2676,Productos!$A$2:$A$501,0)),"¿Código?"))</f>
        <v/>
      </c>
      <c r="F2676" s="32">
        <f>IF(C2676&lt;&gt;"Venta","",D2676*IFERROR(INDEX(Productos!$D$2:$D$501,MATCH(B2676,Productos!$A$2:$A$501,0)),0))</f>
        <v/>
      </c>
      <c r="G2676" s="32">
        <f>IF(C2676&lt;&gt;"Venta","",D2676*IFERROR(INDEX(Productos!$E$2:$E$501,MATCH(B2676,Productos!$A$2:$A$501,0)),0))</f>
        <v/>
      </c>
      <c r="H2676" s="33">
        <f>IF(A2676="","",MONTH(A2676))</f>
        <v/>
      </c>
      <c r="I2676" s="33">
        <f>IF(A2676="","",YEAR(A2676))</f>
        <v/>
      </c>
    </row>
    <row r="2677" ht="15" customHeight="1" s="21">
      <c r="A2677" s="34" t="n"/>
      <c r="B2677" s="30" t="n"/>
      <c r="C2677" s="30" t="n"/>
      <c r="D2677" s="30" t="n"/>
      <c r="E2677" s="33">
        <f>IF(B2677="","",IFERROR(INDEX(Productos!$B$2:$B$501,MATCH(B2677,Productos!$A$2:$A$501,0)),"¿Código?"))</f>
        <v/>
      </c>
      <c r="F2677" s="32">
        <f>IF(C2677&lt;&gt;"Venta","",D2677*IFERROR(INDEX(Productos!$D$2:$D$501,MATCH(B2677,Productos!$A$2:$A$501,0)),0))</f>
        <v/>
      </c>
      <c r="G2677" s="32">
        <f>IF(C2677&lt;&gt;"Venta","",D2677*IFERROR(INDEX(Productos!$E$2:$E$501,MATCH(B2677,Productos!$A$2:$A$501,0)),0))</f>
        <v/>
      </c>
      <c r="H2677" s="33">
        <f>IF(A2677="","",MONTH(A2677))</f>
        <v/>
      </c>
      <c r="I2677" s="33">
        <f>IF(A2677="","",YEAR(A2677))</f>
        <v/>
      </c>
    </row>
    <row r="2678" ht="15" customHeight="1" s="21">
      <c r="A2678" s="34" t="n"/>
      <c r="B2678" s="30" t="n"/>
      <c r="C2678" s="30" t="n"/>
      <c r="D2678" s="30" t="n"/>
      <c r="E2678" s="33">
        <f>IF(B2678="","",IFERROR(INDEX(Productos!$B$2:$B$501,MATCH(B2678,Productos!$A$2:$A$501,0)),"¿Código?"))</f>
        <v/>
      </c>
      <c r="F2678" s="32">
        <f>IF(C2678&lt;&gt;"Venta","",D2678*IFERROR(INDEX(Productos!$D$2:$D$501,MATCH(B2678,Productos!$A$2:$A$501,0)),0))</f>
        <v/>
      </c>
      <c r="G2678" s="32">
        <f>IF(C2678&lt;&gt;"Venta","",D2678*IFERROR(INDEX(Productos!$E$2:$E$501,MATCH(B2678,Productos!$A$2:$A$501,0)),0))</f>
        <v/>
      </c>
      <c r="H2678" s="33">
        <f>IF(A2678="","",MONTH(A2678))</f>
        <v/>
      </c>
      <c r="I2678" s="33">
        <f>IF(A2678="","",YEAR(A2678))</f>
        <v/>
      </c>
    </row>
    <row r="2679" ht="15" customHeight="1" s="21">
      <c r="A2679" s="34" t="n"/>
      <c r="B2679" s="30" t="n"/>
      <c r="C2679" s="30" t="n"/>
      <c r="D2679" s="30" t="n"/>
      <c r="E2679" s="33">
        <f>IF(B2679="","",IFERROR(INDEX(Productos!$B$2:$B$501,MATCH(B2679,Productos!$A$2:$A$501,0)),"¿Código?"))</f>
        <v/>
      </c>
      <c r="F2679" s="32">
        <f>IF(C2679&lt;&gt;"Venta","",D2679*IFERROR(INDEX(Productos!$D$2:$D$501,MATCH(B2679,Productos!$A$2:$A$501,0)),0))</f>
        <v/>
      </c>
      <c r="G2679" s="32">
        <f>IF(C2679&lt;&gt;"Venta","",D2679*IFERROR(INDEX(Productos!$E$2:$E$501,MATCH(B2679,Productos!$A$2:$A$501,0)),0))</f>
        <v/>
      </c>
      <c r="H2679" s="33">
        <f>IF(A2679="","",MONTH(A2679))</f>
        <v/>
      </c>
      <c r="I2679" s="33">
        <f>IF(A2679="","",YEAR(A2679))</f>
        <v/>
      </c>
    </row>
    <row r="2680" ht="15" customHeight="1" s="21">
      <c r="A2680" s="34" t="n"/>
      <c r="B2680" s="30" t="n"/>
      <c r="C2680" s="30" t="n"/>
      <c r="D2680" s="30" t="n"/>
      <c r="E2680" s="33">
        <f>IF(B2680="","",IFERROR(INDEX(Productos!$B$2:$B$501,MATCH(B2680,Productos!$A$2:$A$501,0)),"¿Código?"))</f>
        <v/>
      </c>
      <c r="F2680" s="32">
        <f>IF(C2680&lt;&gt;"Venta","",D2680*IFERROR(INDEX(Productos!$D$2:$D$501,MATCH(B2680,Productos!$A$2:$A$501,0)),0))</f>
        <v/>
      </c>
      <c r="G2680" s="32">
        <f>IF(C2680&lt;&gt;"Venta","",D2680*IFERROR(INDEX(Productos!$E$2:$E$501,MATCH(B2680,Productos!$A$2:$A$501,0)),0))</f>
        <v/>
      </c>
      <c r="H2680" s="33">
        <f>IF(A2680="","",MONTH(A2680))</f>
        <v/>
      </c>
      <c r="I2680" s="33">
        <f>IF(A2680="","",YEAR(A2680))</f>
        <v/>
      </c>
    </row>
    <row r="2681" ht="15" customHeight="1" s="21">
      <c r="A2681" s="34" t="n"/>
      <c r="B2681" s="30" t="n"/>
      <c r="C2681" s="30" t="n"/>
      <c r="D2681" s="30" t="n"/>
      <c r="E2681" s="33">
        <f>IF(B2681="","",IFERROR(INDEX(Productos!$B$2:$B$501,MATCH(B2681,Productos!$A$2:$A$501,0)),"¿Código?"))</f>
        <v/>
      </c>
      <c r="F2681" s="32">
        <f>IF(C2681&lt;&gt;"Venta","",D2681*IFERROR(INDEX(Productos!$D$2:$D$501,MATCH(B2681,Productos!$A$2:$A$501,0)),0))</f>
        <v/>
      </c>
      <c r="G2681" s="32">
        <f>IF(C2681&lt;&gt;"Venta","",D2681*IFERROR(INDEX(Productos!$E$2:$E$501,MATCH(B2681,Productos!$A$2:$A$501,0)),0))</f>
        <v/>
      </c>
      <c r="H2681" s="33">
        <f>IF(A2681="","",MONTH(A2681))</f>
        <v/>
      </c>
      <c r="I2681" s="33">
        <f>IF(A2681="","",YEAR(A2681))</f>
        <v/>
      </c>
    </row>
    <row r="2682" ht="15" customHeight="1" s="21">
      <c r="A2682" s="34" t="n"/>
      <c r="B2682" s="30" t="n"/>
      <c r="C2682" s="30" t="n"/>
      <c r="D2682" s="30" t="n"/>
      <c r="E2682" s="33">
        <f>IF(B2682="","",IFERROR(INDEX(Productos!$B$2:$B$501,MATCH(B2682,Productos!$A$2:$A$501,0)),"¿Código?"))</f>
        <v/>
      </c>
      <c r="F2682" s="32">
        <f>IF(C2682&lt;&gt;"Venta","",D2682*IFERROR(INDEX(Productos!$D$2:$D$501,MATCH(B2682,Productos!$A$2:$A$501,0)),0))</f>
        <v/>
      </c>
      <c r="G2682" s="32">
        <f>IF(C2682&lt;&gt;"Venta","",D2682*IFERROR(INDEX(Productos!$E$2:$E$501,MATCH(B2682,Productos!$A$2:$A$501,0)),0))</f>
        <v/>
      </c>
      <c r="H2682" s="33">
        <f>IF(A2682="","",MONTH(A2682))</f>
        <v/>
      </c>
      <c r="I2682" s="33">
        <f>IF(A2682="","",YEAR(A2682))</f>
        <v/>
      </c>
    </row>
    <row r="2683" ht="15" customHeight="1" s="21">
      <c r="A2683" s="34" t="n"/>
      <c r="B2683" s="30" t="n"/>
      <c r="C2683" s="30" t="n"/>
      <c r="D2683" s="30" t="n"/>
      <c r="E2683" s="33">
        <f>IF(B2683="","",IFERROR(INDEX(Productos!$B$2:$B$501,MATCH(B2683,Productos!$A$2:$A$501,0)),"¿Código?"))</f>
        <v/>
      </c>
      <c r="F2683" s="32">
        <f>IF(C2683&lt;&gt;"Venta","",D2683*IFERROR(INDEX(Productos!$D$2:$D$501,MATCH(B2683,Productos!$A$2:$A$501,0)),0))</f>
        <v/>
      </c>
      <c r="G2683" s="32">
        <f>IF(C2683&lt;&gt;"Venta","",D2683*IFERROR(INDEX(Productos!$E$2:$E$501,MATCH(B2683,Productos!$A$2:$A$501,0)),0))</f>
        <v/>
      </c>
      <c r="H2683" s="33">
        <f>IF(A2683="","",MONTH(A2683))</f>
        <v/>
      </c>
      <c r="I2683" s="33">
        <f>IF(A2683="","",YEAR(A2683))</f>
        <v/>
      </c>
    </row>
    <row r="2684" ht="15" customHeight="1" s="21">
      <c r="A2684" s="34" t="n"/>
      <c r="B2684" s="30" t="n"/>
      <c r="C2684" s="30" t="n"/>
      <c r="D2684" s="30" t="n"/>
      <c r="E2684" s="33">
        <f>IF(B2684="","",IFERROR(INDEX(Productos!$B$2:$B$501,MATCH(B2684,Productos!$A$2:$A$501,0)),"¿Código?"))</f>
        <v/>
      </c>
      <c r="F2684" s="32">
        <f>IF(C2684&lt;&gt;"Venta","",D2684*IFERROR(INDEX(Productos!$D$2:$D$501,MATCH(B2684,Productos!$A$2:$A$501,0)),0))</f>
        <v/>
      </c>
      <c r="G2684" s="32">
        <f>IF(C2684&lt;&gt;"Venta","",D2684*IFERROR(INDEX(Productos!$E$2:$E$501,MATCH(B2684,Productos!$A$2:$A$501,0)),0))</f>
        <v/>
      </c>
      <c r="H2684" s="33">
        <f>IF(A2684="","",MONTH(A2684))</f>
        <v/>
      </c>
      <c r="I2684" s="33">
        <f>IF(A2684="","",YEAR(A2684))</f>
        <v/>
      </c>
    </row>
    <row r="2685" ht="15" customHeight="1" s="21">
      <c r="A2685" s="34" t="n"/>
      <c r="B2685" s="30" t="n"/>
      <c r="C2685" s="30" t="n"/>
      <c r="D2685" s="30" t="n"/>
      <c r="E2685" s="33">
        <f>IF(B2685="","",IFERROR(INDEX(Productos!$B$2:$B$501,MATCH(B2685,Productos!$A$2:$A$501,0)),"¿Código?"))</f>
        <v/>
      </c>
      <c r="F2685" s="32">
        <f>IF(C2685&lt;&gt;"Venta","",D2685*IFERROR(INDEX(Productos!$D$2:$D$501,MATCH(B2685,Productos!$A$2:$A$501,0)),0))</f>
        <v/>
      </c>
      <c r="G2685" s="32">
        <f>IF(C2685&lt;&gt;"Venta","",D2685*IFERROR(INDEX(Productos!$E$2:$E$501,MATCH(B2685,Productos!$A$2:$A$501,0)),0))</f>
        <v/>
      </c>
      <c r="H2685" s="33">
        <f>IF(A2685="","",MONTH(A2685))</f>
        <v/>
      </c>
      <c r="I2685" s="33">
        <f>IF(A2685="","",YEAR(A2685))</f>
        <v/>
      </c>
    </row>
    <row r="2686" ht="15" customHeight="1" s="21">
      <c r="A2686" s="34" t="n"/>
      <c r="B2686" s="30" t="n"/>
      <c r="C2686" s="30" t="n"/>
      <c r="D2686" s="30" t="n"/>
      <c r="E2686" s="33">
        <f>IF(B2686="","",IFERROR(INDEX(Productos!$B$2:$B$501,MATCH(B2686,Productos!$A$2:$A$501,0)),"¿Código?"))</f>
        <v/>
      </c>
      <c r="F2686" s="32">
        <f>IF(C2686&lt;&gt;"Venta","",D2686*IFERROR(INDEX(Productos!$D$2:$D$501,MATCH(B2686,Productos!$A$2:$A$501,0)),0))</f>
        <v/>
      </c>
      <c r="G2686" s="32">
        <f>IF(C2686&lt;&gt;"Venta","",D2686*IFERROR(INDEX(Productos!$E$2:$E$501,MATCH(B2686,Productos!$A$2:$A$501,0)),0))</f>
        <v/>
      </c>
      <c r="H2686" s="33">
        <f>IF(A2686="","",MONTH(A2686))</f>
        <v/>
      </c>
      <c r="I2686" s="33">
        <f>IF(A2686="","",YEAR(A2686))</f>
        <v/>
      </c>
    </row>
    <row r="2687" ht="15" customHeight="1" s="21">
      <c r="A2687" s="34" t="n"/>
      <c r="B2687" s="30" t="n"/>
      <c r="C2687" s="30" t="n"/>
      <c r="D2687" s="30" t="n"/>
      <c r="E2687" s="33">
        <f>IF(B2687="","",IFERROR(INDEX(Productos!$B$2:$B$501,MATCH(B2687,Productos!$A$2:$A$501,0)),"¿Código?"))</f>
        <v/>
      </c>
      <c r="F2687" s="32">
        <f>IF(C2687&lt;&gt;"Venta","",D2687*IFERROR(INDEX(Productos!$D$2:$D$501,MATCH(B2687,Productos!$A$2:$A$501,0)),0))</f>
        <v/>
      </c>
      <c r="G2687" s="32">
        <f>IF(C2687&lt;&gt;"Venta","",D2687*IFERROR(INDEX(Productos!$E$2:$E$501,MATCH(B2687,Productos!$A$2:$A$501,0)),0))</f>
        <v/>
      </c>
      <c r="H2687" s="33">
        <f>IF(A2687="","",MONTH(A2687))</f>
        <v/>
      </c>
      <c r="I2687" s="33">
        <f>IF(A2687="","",YEAR(A2687))</f>
        <v/>
      </c>
    </row>
    <row r="2688" ht="15" customHeight="1" s="21">
      <c r="A2688" s="34" t="n"/>
      <c r="B2688" s="30" t="n"/>
      <c r="C2688" s="30" t="n"/>
      <c r="D2688" s="30" t="n"/>
      <c r="E2688" s="33">
        <f>IF(B2688="","",IFERROR(INDEX(Productos!$B$2:$B$501,MATCH(B2688,Productos!$A$2:$A$501,0)),"¿Código?"))</f>
        <v/>
      </c>
      <c r="F2688" s="32">
        <f>IF(C2688&lt;&gt;"Venta","",D2688*IFERROR(INDEX(Productos!$D$2:$D$501,MATCH(B2688,Productos!$A$2:$A$501,0)),0))</f>
        <v/>
      </c>
      <c r="G2688" s="32">
        <f>IF(C2688&lt;&gt;"Venta","",D2688*IFERROR(INDEX(Productos!$E$2:$E$501,MATCH(B2688,Productos!$A$2:$A$501,0)),0))</f>
        <v/>
      </c>
      <c r="H2688" s="33">
        <f>IF(A2688="","",MONTH(A2688))</f>
        <v/>
      </c>
      <c r="I2688" s="33">
        <f>IF(A2688="","",YEAR(A2688))</f>
        <v/>
      </c>
    </row>
    <row r="2689" ht="15" customHeight="1" s="21">
      <c r="A2689" s="34" t="n"/>
      <c r="B2689" s="30" t="n"/>
      <c r="C2689" s="30" t="n"/>
      <c r="D2689" s="30" t="n"/>
      <c r="E2689" s="33">
        <f>IF(B2689="","",IFERROR(INDEX(Productos!$B$2:$B$501,MATCH(B2689,Productos!$A$2:$A$501,0)),"¿Código?"))</f>
        <v/>
      </c>
      <c r="F2689" s="32">
        <f>IF(C2689&lt;&gt;"Venta","",D2689*IFERROR(INDEX(Productos!$D$2:$D$501,MATCH(B2689,Productos!$A$2:$A$501,0)),0))</f>
        <v/>
      </c>
      <c r="G2689" s="32">
        <f>IF(C2689&lt;&gt;"Venta","",D2689*IFERROR(INDEX(Productos!$E$2:$E$501,MATCH(B2689,Productos!$A$2:$A$501,0)),0))</f>
        <v/>
      </c>
      <c r="H2689" s="33">
        <f>IF(A2689="","",MONTH(A2689))</f>
        <v/>
      </c>
      <c r="I2689" s="33">
        <f>IF(A2689="","",YEAR(A2689))</f>
        <v/>
      </c>
    </row>
    <row r="2690" ht="15" customHeight="1" s="21">
      <c r="A2690" s="34" t="n"/>
      <c r="B2690" s="30" t="n"/>
      <c r="C2690" s="30" t="n"/>
      <c r="D2690" s="30" t="n"/>
      <c r="E2690" s="33">
        <f>IF(B2690="","",IFERROR(INDEX(Productos!$B$2:$B$501,MATCH(B2690,Productos!$A$2:$A$501,0)),"¿Código?"))</f>
        <v/>
      </c>
      <c r="F2690" s="32">
        <f>IF(C2690&lt;&gt;"Venta","",D2690*IFERROR(INDEX(Productos!$D$2:$D$501,MATCH(B2690,Productos!$A$2:$A$501,0)),0))</f>
        <v/>
      </c>
      <c r="G2690" s="32">
        <f>IF(C2690&lt;&gt;"Venta","",D2690*IFERROR(INDEX(Productos!$E$2:$E$501,MATCH(B2690,Productos!$A$2:$A$501,0)),0))</f>
        <v/>
      </c>
      <c r="H2690" s="33">
        <f>IF(A2690="","",MONTH(A2690))</f>
        <v/>
      </c>
      <c r="I2690" s="33">
        <f>IF(A2690="","",YEAR(A2690))</f>
        <v/>
      </c>
    </row>
    <row r="2691" ht="15" customHeight="1" s="21">
      <c r="A2691" s="34" t="n"/>
      <c r="B2691" s="30" t="n"/>
      <c r="C2691" s="30" t="n"/>
      <c r="D2691" s="30" t="n"/>
      <c r="E2691" s="33">
        <f>IF(B2691="","",IFERROR(INDEX(Productos!$B$2:$B$501,MATCH(B2691,Productos!$A$2:$A$501,0)),"¿Código?"))</f>
        <v/>
      </c>
      <c r="F2691" s="32">
        <f>IF(C2691&lt;&gt;"Venta","",D2691*IFERROR(INDEX(Productos!$D$2:$D$501,MATCH(B2691,Productos!$A$2:$A$501,0)),0))</f>
        <v/>
      </c>
      <c r="G2691" s="32">
        <f>IF(C2691&lt;&gt;"Venta","",D2691*IFERROR(INDEX(Productos!$E$2:$E$501,MATCH(B2691,Productos!$A$2:$A$501,0)),0))</f>
        <v/>
      </c>
      <c r="H2691" s="33">
        <f>IF(A2691="","",MONTH(A2691))</f>
        <v/>
      </c>
      <c r="I2691" s="33">
        <f>IF(A2691="","",YEAR(A2691))</f>
        <v/>
      </c>
    </row>
    <row r="2692" ht="15" customHeight="1" s="21">
      <c r="A2692" s="34" t="n"/>
      <c r="B2692" s="30" t="n"/>
      <c r="C2692" s="30" t="n"/>
      <c r="D2692" s="30" t="n"/>
      <c r="E2692" s="33">
        <f>IF(B2692="","",IFERROR(INDEX(Productos!$B$2:$B$501,MATCH(B2692,Productos!$A$2:$A$501,0)),"¿Código?"))</f>
        <v/>
      </c>
      <c r="F2692" s="32">
        <f>IF(C2692&lt;&gt;"Venta","",D2692*IFERROR(INDEX(Productos!$D$2:$D$501,MATCH(B2692,Productos!$A$2:$A$501,0)),0))</f>
        <v/>
      </c>
      <c r="G2692" s="32">
        <f>IF(C2692&lt;&gt;"Venta","",D2692*IFERROR(INDEX(Productos!$E$2:$E$501,MATCH(B2692,Productos!$A$2:$A$501,0)),0))</f>
        <v/>
      </c>
      <c r="H2692" s="33">
        <f>IF(A2692="","",MONTH(A2692))</f>
        <v/>
      </c>
      <c r="I2692" s="33">
        <f>IF(A2692="","",YEAR(A2692))</f>
        <v/>
      </c>
    </row>
    <row r="2693" ht="15" customHeight="1" s="21">
      <c r="A2693" s="34" t="n"/>
      <c r="B2693" s="30" t="n"/>
      <c r="C2693" s="30" t="n"/>
      <c r="D2693" s="30" t="n"/>
      <c r="E2693" s="33">
        <f>IF(B2693="","",IFERROR(INDEX(Productos!$B$2:$B$501,MATCH(B2693,Productos!$A$2:$A$501,0)),"¿Código?"))</f>
        <v/>
      </c>
      <c r="F2693" s="32">
        <f>IF(C2693&lt;&gt;"Venta","",D2693*IFERROR(INDEX(Productos!$D$2:$D$501,MATCH(B2693,Productos!$A$2:$A$501,0)),0))</f>
        <v/>
      </c>
      <c r="G2693" s="32">
        <f>IF(C2693&lt;&gt;"Venta","",D2693*IFERROR(INDEX(Productos!$E$2:$E$501,MATCH(B2693,Productos!$A$2:$A$501,0)),0))</f>
        <v/>
      </c>
      <c r="H2693" s="33">
        <f>IF(A2693="","",MONTH(A2693))</f>
        <v/>
      </c>
      <c r="I2693" s="33">
        <f>IF(A2693="","",YEAR(A2693))</f>
        <v/>
      </c>
    </row>
    <row r="2694" ht="15" customHeight="1" s="21">
      <c r="A2694" s="34" t="n"/>
      <c r="B2694" s="30" t="n"/>
      <c r="C2694" s="30" t="n"/>
      <c r="D2694" s="30" t="n"/>
      <c r="E2694" s="33">
        <f>IF(B2694="","",IFERROR(INDEX(Productos!$B$2:$B$501,MATCH(B2694,Productos!$A$2:$A$501,0)),"¿Código?"))</f>
        <v/>
      </c>
      <c r="F2694" s="32">
        <f>IF(C2694&lt;&gt;"Venta","",D2694*IFERROR(INDEX(Productos!$D$2:$D$501,MATCH(B2694,Productos!$A$2:$A$501,0)),0))</f>
        <v/>
      </c>
      <c r="G2694" s="32">
        <f>IF(C2694&lt;&gt;"Venta","",D2694*IFERROR(INDEX(Productos!$E$2:$E$501,MATCH(B2694,Productos!$A$2:$A$501,0)),0))</f>
        <v/>
      </c>
      <c r="H2694" s="33">
        <f>IF(A2694="","",MONTH(A2694))</f>
        <v/>
      </c>
      <c r="I2694" s="33">
        <f>IF(A2694="","",YEAR(A2694))</f>
        <v/>
      </c>
    </row>
    <row r="2695" ht="15" customHeight="1" s="21">
      <c r="A2695" s="34" t="n"/>
      <c r="B2695" s="30" t="n"/>
      <c r="C2695" s="30" t="n"/>
      <c r="D2695" s="30" t="n"/>
      <c r="E2695" s="33">
        <f>IF(B2695="","",IFERROR(INDEX(Productos!$B$2:$B$501,MATCH(B2695,Productos!$A$2:$A$501,0)),"¿Código?"))</f>
        <v/>
      </c>
      <c r="F2695" s="32">
        <f>IF(C2695&lt;&gt;"Venta","",D2695*IFERROR(INDEX(Productos!$D$2:$D$501,MATCH(B2695,Productos!$A$2:$A$501,0)),0))</f>
        <v/>
      </c>
      <c r="G2695" s="32">
        <f>IF(C2695&lt;&gt;"Venta","",D2695*IFERROR(INDEX(Productos!$E$2:$E$501,MATCH(B2695,Productos!$A$2:$A$501,0)),0))</f>
        <v/>
      </c>
      <c r="H2695" s="33">
        <f>IF(A2695="","",MONTH(A2695))</f>
        <v/>
      </c>
      <c r="I2695" s="33">
        <f>IF(A2695="","",YEAR(A2695))</f>
        <v/>
      </c>
    </row>
    <row r="2696" ht="15" customHeight="1" s="21">
      <c r="A2696" s="34" t="n"/>
      <c r="B2696" s="30" t="n"/>
      <c r="C2696" s="30" t="n"/>
      <c r="D2696" s="30" t="n"/>
      <c r="E2696" s="33">
        <f>IF(B2696="","",IFERROR(INDEX(Productos!$B$2:$B$501,MATCH(B2696,Productos!$A$2:$A$501,0)),"¿Código?"))</f>
        <v/>
      </c>
      <c r="F2696" s="32">
        <f>IF(C2696&lt;&gt;"Venta","",D2696*IFERROR(INDEX(Productos!$D$2:$D$501,MATCH(B2696,Productos!$A$2:$A$501,0)),0))</f>
        <v/>
      </c>
      <c r="G2696" s="32">
        <f>IF(C2696&lt;&gt;"Venta","",D2696*IFERROR(INDEX(Productos!$E$2:$E$501,MATCH(B2696,Productos!$A$2:$A$501,0)),0))</f>
        <v/>
      </c>
      <c r="H2696" s="33">
        <f>IF(A2696="","",MONTH(A2696))</f>
        <v/>
      </c>
      <c r="I2696" s="33">
        <f>IF(A2696="","",YEAR(A2696))</f>
        <v/>
      </c>
    </row>
    <row r="2697" ht="15" customHeight="1" s="21">
      <c r="A2697" s="34" t="n"/>
      <c r="B2697" s="30" t="n"/>
      <c r="C2697" s="30" t="n"/>
      <c r="D2697" s="30" t="n"/>
      <c r="E2697" s="33">
        <f>IF(B2697="","",IFERROR(INDEX(Productos!$B$2:$B$501,MATCH(B2697,Productos!$A$2:$A$501,0)),"¿Código?"))</f>
        <v/>
      </c>
      <c r="F2697" s="32">
        <f>IF(C2697&lt;&gt;"Venta","",D2697*IFERROR(INDEX(Productos!$D$2:$D$501,MATCH(B2697,Productos!$A$2:$A$501,0)),0))</f>
        <v/>
      </c>
      <c r="G2697" s="32">
        <f>IF(C2697&lt;&gt;"Venta","",D2697*IFERROR(INDEX(Productos!$E$2:$E$501,MATCH(B2697,Productos!$A$2:$A$501,0)),0))</f>
        <v/>
      </c>
      <c r="H2697" s="33">
        <f>IF(A2697="","",MONTH(A2697))</f>
        <v/>
      </c>
      <c r="I2697" s="33">
        <f>IF(A2697="","",YEAR(A2697))</f>
        <v/>
      </c>
    </row>
    <row r="2698" ht="15" customHeight="1" s="21">
      <c r="A2698" s="34" t="n"/>
      <c r="B2698" s="30" t="n"/>
      <c r="C2698" s="30" t="n"/>
      <c r="D2698" s="30" t="n"/>
      <c r="E2698" s="33">
        <f>IF(B2698="","",IFERROR(INDEX(Productos!$B$2:$B$501,MATCH(B2698,Productos!$A$2:$A$501,0)),"¿Código?"))</f>
        <v/>
      </c>
      <c r="F2698" s="32">
        <f>IF(C2698&lt;&gt;"Venta","",D2698*IFERROR(INDEX(Productos!$D$2:$D$501,MATCH(B2698,Productos!$A$2:$A$501,0)),0))</f>
        <v/>
      </c>
      <c r="G2698" s="32">
        <f>IF(C2698&lt;&gt;"Venta","",D2698*IFERROR(INDEX(Productos!$E$2:$E$501,MATCH(B2698,Productos!$A$2:$A$501,0)),0))</f>
        <v/>
      </c>
      <c r="H2698" s="33">
        <f>IF(A2698="","",MONTH(A2698))</f>
        <v/>
      </c>
      <c r="I2698" s="33">
        <f>IF(A2698="","",YEAR(A2698))</f>
        <v/>
      </c>
    </row>
    <row r="2699" ht="15" customHeight="1" s="21">
      <c r="A2699" s="34" t="n"/>
      <c r="B2699" s="30" t="n"/>
      <c r="C2699" s="30" t="n"/>
      <c r="D2699" s="30" t="n"/>
      <c r="E2699" s="33">
        <f>IF(B2699="","",IFERROR(INDEX(Productos!$B$2:$B$501,MATCH(B2699,Productos!$A$2:$A$501,0)),"¿Código?"))</f>
        <v/>
      </c>
      <c r="F2699" s="32">
        <f>IF(C2699&lt;&gt;"Venta","",D2699*IFERROR(INDEX(Productos!$D$2:$D$501,MATCH(B2699,Productos!$A$2:$A$501,0)),0))</f>
        <v/>
      </c>
      <c r="G2699" s="32">
        <f>IF(C2699&lt;&gt;"Venta","",D2699*IFERROR(INDEX(Productos!$E$2:$E$501,MATCH(B2699,Productos!$A$2:$A$501,0)),0))</f>
        <v/>
      </c>
      <c r="H2699" s="33">
        <f>IF(A2699="","",MONTH(A2699))</f>
        <v/>
      </c>
      <c r="I2699" s="33">
        <f>IF(A2699="","",YEAR(A2699))</f>
        <v/>
      </c>
    </row>
    <row r="2700" ht="15" customHeight="1" s="21">
      <c r="A2700" s="34" t="n"/>
      <c r="B2700" s="30" t="n"/>
      <c r="C2700" s="30" t="n"/>
      <c r="D2700" s="30" t="n"/>
      <c r="E2700" s="33">
        <f>IF(B2700="","",IFERROR(INDEX(Productos!$B$2:$B$501,MATCH(B2700,Productos!$A$2:$A$501,0)),"¿Código?"))</f>
        <v/>
      </c>
      <c r="F2700" s="32">
        <f>IF(C2700&lt;&gt;"Venta","",D2700*IFERROR(INDEX(Productos!$D$2:$D$501,MATCH(B2700,Productos!$A$2:$A$501,0)),0))</f>
        <v/>
      </c>
      <c r="G2700" s="32">
        <f>IF(C2700&lt;&gt;"Venta","",D2700*IFERROR(INDEX(Productos!$E$2:$E$501,MATCH(B2700,Productos!$A$2:$A$501,0)),0))</f>
        <v/>
      </c>
      <c r="H2700" s="33">
        <f>IF(A2700="","",MONTH(A2700))</f>
        <v/>
      </c>
      <c r="I2700" s="33">
        <f>IF(A2700="","",YEAR(A2700))</f>
        <v/>
      </c>
    </row>
    <row r="2701" ht="15" customHeight="1" s="21">
      <c r="A2701" s="34" t="n"/>
      <c r="B2701" s="30" t="n"/>
      <c r="C2701" s="30" t="n"/>
      <c r="D2701" s="30" t="n"/>
      <c r="E2701" s="33">
        <f>IF(B2701="","",IFERROR(INDEX(Productos!$B$2:$B$501,MATCH(B2701,Productos!$A$2:$A$501,0)),"¿Código?"))</f>
        <v/>
      </c>
      <c r="F2701" s="32">
        <f>IF(C2701&lt;&gt;"Venta","",D2701*IFERROR(INDEX(Productos!$D$2:$D$501,MATCH(B2701,Productos!$A$2:$A$501,0)),0))</f>
        <v/>
      </c>
      <c r="G2701" s="32">
        <f>IF(C2701&lt;&gt;"Venta","",D2701*IFERROR(INDEX(Productos!$E$2:$E$501,MATCH(B2701,Productos!$A$2:$A$501,0)),0))</f>
        <v/>
      </c>
      <c r="H2701" s="33">
        <f>IF(A2701="","",MONTH(A2701))</f>
        <v/>
      </c>
      <c r="I2701" s="33">
        <f>IF(A2701="","",YEAR(A2701))</f>
        <v/>
      </c>
    </row>
    <row r="2702" ht="15" customHeight="1" s="21">
      <c r="A2702" s="34" t="n"/>
      <c r="B2702" s="30" t="n"/>
      <c r="C2702" s="30" t="n"/>
      <c r="D2702" s="30" t="n"/>
      <c r="E2702" s="33">
        <f>IF(B2702="","",IFERROR(INDEX(Productos!$B$2:$B$501,MATCH(B2702,Productos!$A$2:$A$501,0)),"¿Código?"))</f>
        <v/>
      </c>
      <c r="F2702" s="32">
        <f>IF(C2702&lt;&gt;"Venta","",D2702*IFERROR(INDEX(Productos!$D$2:$D$501,MATCH(B2702,Productos!$A$2:$A$501,0)),0))</f>
        <v/>
      </c>
      <c r="G2702" s="32">
        <f>IF(C2702&lt;&gt;"Venta","",D2702*IFERROR(INDEX(Productos!$E$2:$E$501,MATCH(B2702,Productos!$A$2:$A$501,0)),0))</f>
        <v/>
      </c>
      <c r="H2702" s="33">
        <f>IF(A2702="","",MONTH(A2702))</f>
        <v/>
      </c>
      <c r="I2702" s="33">
        <f>IF(A2702="","",YEAR(A2702))</f>
        <v/>
      </c>
    </row>
    <row r="2703" ht="15" customHeight="1" s="21">
      <c r="A2703" s="34" t="n"/>
      <c r="B2703" s="30" t="n"/>
      <c r="C2703" s="30" t="n"/>
      <c r="D2703" s="30" t="n"/>
      <c r="E2703" s="33">
        <f>IF(B2703="","",IFERROR(INDEX(Productos!$B$2:$B$501,MATCH(B2703,Productos!$A$2:$A$501,0)),"¿Código?"))</f>
        <v/>
      </c>
      <c r="F2703" s="32">
        <f>IF(C2703&lt;&gt;"Venta","",D2703*IFERROR(INDEX(Productos!$D$2:$D$501,MATCH(B2703,Productos!$A$2:$A$501,0)),0))</f>
        <v/>
      </c>
      <c r="G2703" s="32">
        <f>IF(C2703&lt;&gt;"Venta","",D2703*IFERROR(INDEX(Productos!$E$2:$E$501,MATCH(B2703,Productos!$A$2:$A$501,0)),0))</f>
        <v/>
      </c>
      <c r="H2703" s="33">
        <f>IF(A2703="","",MONTH(A2703))</f>
        <v/>
      </c>
      <c r="I2703" s="33">
        <f>IF(A2703="","",YEAR(A2703))</f>
        <v/>
      </c>
    </row>
    <row r="2704" ht="15" customHeight="1" s="21">
      <c r="A2704" s="34" t="n"/>
      <c r="B2704" s="30" t="n"/>
      <c r="C2704" s="30" t="n"/>
      <c r="D2704" s="30" t="n"/>
      <c r="E2704" s="33">
        <f>IF(B2704="","",IFERROR(INDEX(Productos!$B$2:$B$501,MATCH(B2704,Productos!$A$2:$A$501,0)),"¿Código?"))</f>
        <v/>
      </c>
      <c r="F2704" s="32">
        <f>IF(C2704&lt;&gt;"Venta","",D2704*IFERROR(INDEX(Productos!$D$2:$D$501,MATCH(B2704,Productos!$A$2:$A$501,0)),0))</f>
        <v/>
      </c>
      <c r="G2704" s="32">
        <f>IF(C2704&lt;&gt;"Venta","",D2704*IFERROR(INDEX(Productos!$E$2:$E$501,MATCH(B2704,Productos!$A$2:$A$501,0)),0))</f>
        <v/>
      </c>
      <c r="H2704" s="33">
        <f>IF(A2704="","",MONTH(A2704))</f>
        <v/>
      </c>
      <c r="I2704" s="33">
        <f>IF(A2704="","",YEAR(A2704))</f>
        <v/>
      </c>
    </row>
    <row r="2705" ht="15" customHeight="1" s="21">
      <c r="A2705" s="34" t="n"/>
      <c r="B2705" s="30" t="n"/>
      <c r="C2705" s="30" t="n"/>
      <c r="D2705" s="30" t="n"/>
      <c r="E2705" s="33">
        <f>IF(B2705="","",IFERROR(INDEX(Productos!$B$2:$B$501,MATCH(B2705,Productos!$A$2:$A$501,0)),"¿Código?"))</f>
        <v/>
      </c>
      <c r="F2705" s="32">
        <f>IF(C2705&lt;&gt;"Venta","",D2705*IFERROR(INDEX(Productos!$D$2:$D$501,MATCH(B2705,Productos!$A$2:$A$501,0)),0))</f>
        <v/>
      </c>
      <c r="G2705" s="32">
        <f>IF(C2705&lt;&gt;"Venta","",D2705*IFERROR(INDEX(Productos!$E$2:$E$501,MATCH(B2705,Productos!$A$2:$A$501,0)),0))</f>
        <v/>
      </c>
      <c r="H2705" s="33">
        <f>IF(A2705="","",MONTH(A2705))</f>
        <v/>
      </c>
      <c r="I2705" s="33">
        <f>IF(A2705="","",YEAR(A2705))</f>
        <v/>
      </c>
    </row>
    <row r="2706" ht="15" customHeight="1" s="21">
      <c r="A2706" s="34" t="n"/>
      <c r="B2706" s="30" t="n"/>
      <c r="C2706" s="30" t="n"/>
      <c r="D2706" s="30" t="n"/>
      <c r="E2706" s="33">
        <f>IF(B2706="","",IFERROR(INDEX(Productos!$B$2:$B$501,MATCH(B2706,Productos!$A$2:$A$501,0)),"¿Código?"))</f>
        <v/>
      </c>
      <c r="F2706" s="32">
        <f>IF(C2706&lt;&gt;"Venta","",D2706*IFERROR(INDEX(Productos!$D$2:$D$501,MATCH(B2706,Productos!$A$2:$A$501,0)),0))</f>
        <v/>
      </c>
      <c r="G2706" s="32">
        <f>IF(C2706&lt;&gt;"Venta","",D2706*IFERROR(INDEX(Productos!$E$2:$E$501,MATCH(B2706,Productos!$A$2:$A$501,0)),0))</f>
        <v/>
      </c>
      <c r="H2706" s="33">
        <f>IF(A2706="","",MONTH(A2706))</f>
        <v/>
      </c>
      <c r="I2706" s="33">
        <f>IF(A2706="","",YEAR(A2706))</f>
        <v/>
      </c>
    </row>
    <row r="2707" ht="15" customHeight="1" s="21">
      <c r="A2707" s="34" t="n"/>
      <c r="B2707" s="30" t="n"/>
      <c r="C2707" s="30" t="n"/>
      <c r="D2707" s="30" t="n"/>
      <c r="E2707" s="33">
        <f>IF(B2707="","",IFERROR(INDEX(Productos!$B$2:$B$501,MATCH(B2707,Productos!$A$2:$A$501,0)),"¿Código?"))</f>
        <v/>
      </c>
      <c r="F2707" s="32">
        <f>IF(C2707&lt;&gt;"Venta","",D2707*IFERROR(INDEX(Productos!$D$2:$D$501,MATCH(B2707,Productos!$A$2:$A$501,0)),0))</f>
        <v/>
      </c>
      <c r="G2707" s="32">
        <f>IF(C2707&lt;&gt;"Venta","",D2707*IFERROR(INDEX(Productos!$E$2:$E$501,MATCH(B2707,Productos!$A$2:$A$501,0)),0))</f>
        <v/>
      </c>
      <c r="H2707" s="33">
        <f>IF(A2707="","",MONTH(A2707))</f>
        <v/>
      </c>
      <c r="I2707" s="33">
        <f>IF(A2707="","",YEAR(A2707))</f>
        <v/>
      </c>
    </row>
    <row r="2708" ht="15" customHeight="1" s="21">
      <c r="A2708" s="34" t="n"/>
      <c r="B2708" s="30" t="n"/>
      <c r="C2708" s="30" t="n"/>
      <c r="D2708" s="30" t="n"/>
      <c r="E2708" s="33">
        <f>IF(B2708="","",IFERROR(INDEX(Productos!$B$2:$B$501,MATCH(B2708,Productos!$A$2:$A$501,0)),"¿Código?"))</f>
        <v/>
      </c>
      <c r="F2708" s="32">
        <f>IF(C2708&lt;&gt;"Venta","",D2708*IFERROR(INDEX(Productos!$D$2:$D$501,MATCH(B2708,Productos!$A$2:$A$501,0)),0))</f>
        <v/>
      </c>
      <c r="G2708" s="32">
        <f>IF(C2708&lt;&gt;"Venta","",D2708*IFERROR(INDEX(Productos!$E$2:$E$501,MATCH(B2708,Productos!$A$2:$A$501,0)),0))</f>
        <v/>
      </c>
      <c r="H2708" s="33">
        <f>IF(A2708="","",MONTH(A2708))</f>
        <v/>
      </c>
      <c r="I2708" s="33">
        <f>IF(A2708="","",YEAR(A2708))</f>
        <v/>
      </c>
    </row>
    <row r="2709" ht="15" customHeight="1" s="21">
      <c r="A2709" s="34" t="n"/>
      <c r="B2709" s="30" t="n"/>
      <c r="C2709" s="30" t="n"/>
      <c r="D2709" s="30" t="n"/>
      <c r="E2709" s="33">
        <f>IF(B2709="","",IFERROR(INDEX(Productos!$B$2:$B$501,MATCH(B2709,Productos!$A$2:$A$501,0)),"¿Código?"))</f>
        <v/>
      </c>
      <c r="F2709" s="32">
        <f>IF(C2709&lt;&gt;"Venta","",D2709*IFERROR(INDEX(Productos!$D$2:$D$501,MATCH(B2709,Productos!$A$2:$A$501,0)),0))</f>
        <v/>
      </c>
      <c r="G2709" s="32">
        <f>IF(C2709&lt;&gt;"Venta","",D2709*IFERROR(INDEX(Productos!$E$2:$E$501,MATCH(B2709,Productos!$A$2:$A$501,0)),0))</f>
        <v/>
      </c>
      <c r="H2709" s="33">
        <f>IF(A2709="","",MONTH(A2709))</f>
        <v/>
      </c>
      <c r="I2709" s="33">
        <f>IF(A2709="","",YEAR(A2709))</f>
        <v/>
      </c>
    </row>
    <row r="2710" ht="15" customHeight="1" s="21">
      <c r="A2710" s="34" t="n"/>
      <c r="B2710" s="30" t="n"/>
      <c r="C2710" s="30" t="n"/>
      <c r="D2710" s="30" t="n"/>
      <c r="E2710" s="33">
        <f>IF(B2710="","",IFERROR(INDEX(Productos!$B$2:$B$501,MATCH(B2710,Productos!$A$2:$A$501,0)),"¿Código?"))</f>
        <v/>
      </c>
      <c r="F2710" s="32">
        <f>IF(C2710&lt;&gt;"Venta","",D2710*IFERROR(INDEX(Productos!$D$2:$D$501,MATCH(B2710,Productos!$A$2:$A$501,0)),0))</f>
        <v/>
      </c>
      <c r="G2710" s="32">
        <f>IF(C2710&lt;&gt;"Venta","",D2710*IFERROR(INDEX(Productos!$E$2:$E$501,MATCH(B2710,Productos!$A$2:$A$501,0)),0))</f>
        <v/>
      </c>
      <c r="H2710" s="33">
        <f>IF(A2710="","",MONTH(A2710))</f>
        <v/>
      </c>
      <c r="I2710" s="33">
        <f>IF(A2710="","",YEAR(A2710))</f>
        <v/>
      </c>
    </row>
    <row r="2711" ht="15" customHeight="1" s="21">
      <c r="A2711" s="34" t="n"/>
      <c r="B2711" s="30" t="n"/>
      <c r="C2711" s="30" t="n"/>
      <c r="D2711" s="30" t="n"/>
      <c r="E2711" s="33">
        <f>IF(B2711="","",IFERROR(INDEX(Productos!$B$2:$B$501,MATCH(B2711,Productos!$A$2:$A$501,0)),"¿Código?"))</f>
        <v/>
      </c>
      <c r="F2711" s="32">
        <f>IF(C2711&lt;&gt;"Venta","",D2711*IFERROR(INDEX(Productos!$D$2:$D$501,MATCH(B2711,Productos!$A$2:$A$501,0)),0))</f>
        <v/>
      </c>
      <c r="G2711" s="32">
        <f>IF(C2711&lt;&gt;"Venta","",D2711*IFERROR(INDEX(Productos!$E$2:$E$501,MATCH(B2711,Productos!$A$2:$A$501,0)),0))</f>
        <v/>
      </c>
      <c r="H2711" s="33">
        <f>IF(A2711="","",MONTH(A2711))</f>
        <v/>
      </c>
      <c r="I2711" s="33">
        <f>IF(A2711="","",YEAR(A2711))</f>
        <v/>
      </c>
    </row>
    <row r="2712" ht="15" customHeight="1" s="21">
      <c r="A2712" s="34" t="n"/>
      <c r="B2712" s="30" t="n"/>
      <c r="C2712" s="30" t="n"/>
      <c r="D2712" s="30" t="n"/>
      <c r="E2712" s="33">
        <f>IF(B2712="","",IFERROR(INDEX(Productos!$B$2:$B$501,MATCH(B2712,Productos!$A$2:$A$501,0)),"¿Código?"))</f>
        <v/>
      </c>
      <c r="F2712" s="32">
        <f>IF(C2712&lt;&gt;"Venta","",D2712*IFERROR(INDEX(Productos!$D$2:$D$501,MATCH(B2712,Productos!$A$2:$A$501,0)),0))</f>
        <v/>
      </c>
      <c r="G2712" s="32">
        <f>IF(C2712&lt;&gt;"Venta","",D2712*IFERROR(INDEX(Productos!$E$2:$E$501,MATCH(B2712,Productos!$A$2:$A$501,0)),0))</f>
        <v/>
      </c>
      <c r="H2712" s="33">
        <f>IF(A2712="","",MONTH(A2712))</f>
        <v/>
      </c>
      <c r="I2712" s="33">
        <f>IF(A2712="","",YEAR(A2712))</f>
        <v/>
      </c>
    </row>
    <row r="2713" ht="15" customHeight="1" s="21">
      <c r="A2713" s="34" t="n"/>
      <c r="B2713" s="30" t="n"/>
      <c r="C2713" s="30" t="n"/>
      <c r="D2713" s="30" t="n"/>
      <c r="E2713" s="33">
        <f>IF(B2713="","",IFERROR(INDEX(Productos!$B$2:$B$501,MATCH(B2713,Productos!$A$2:$A$501,0)),"¿Código?"))</f>
        <v/>
      </c>
      <c r="F2713" s="32">
        <f>IF(C2713&lt;&gt;"Venta","",D2713*IFERROR(INDEX(Productos!$D$2:$D$501,MATCH(B2713,Productos!$A$2:$A$501,0)),0))</f>
        <v/>
      </c>
      <c r="G2713" s="32">
        <f>IF(C2713&lt;&gt;"Venta","",D2713*IFERROR(INDEX(Productos!$E$2:$E$501,MATCH(B2713,Productos!$A$2:$A$501,0)),0))</f>
        <v/>
      </c>
      <c r="H2713" s="33">
        <f>IF(A2713="","",MONTH(A2713))</f>
        <v/>
      </c>
      <c r="I2713" s="33">
        <f>IF(A2713="","",YEAR(A2713))</f>
        <v/>
      </c>
    </row>
    <row r="2714" ht="15" customHeight="1" s="21">
      <c r="A2714" s="34" t="n"/>
      <c r="B2714" s="30" t="n"/>
      <c r="C2714" s="30" t="n"/>
      <c r="D2714" s="30" t="n"/>
      <c r="E2714" s="33">
        <f>IF(B2714="","",IFERROR(INDEX(Productos!$B$2:$B$501,MATCH(B2714,Productos!$A$2:$A$501,0)),"¿Código?"))</f>
        <v/>
      </c>
      <c r="F2714" s="32">
        <f>IF(C2714&lt;&gt;"Venta","",D2714*IFERROR(INDEX(Productos!$D$2:$D$501,MATCH(B2714,Productos!$A$2:$A$501,0)),0))</f>
        <v/>
      </c>
      <c r="G2714" s="32">
        <f>IF(C2714&lt;&gt;"Venta","",D2714*IFERROR(INDEX(Productos!$E$2:$E$501,MATCH(B2714,Productos!$A$2:$A$501,0)),0))</f>
        <v/>
      </c>
      <c r="H2714" s="33">
        <f>IF(A2714="","",MONTH(A2714))</f>
        <v/>
      </c>
      <c r="I2714" s="33">
        <f>IF(A2714="","",YEAR(A2714))</f>
        <v/>
      </c>
    </row>
    <row r="2715" ht="15" customHeight="1" s="21">
      <c r="A2715" s="34" t="n"/>
      <c r="B2715" s="30" t="n"/>
      <c r="C2715" s="30" t="n"/>
      <c r="D2715" s="30" t="n"/>
      <c r="E2715" s="33">
        <f>IF(B2715="","",IFERROR(INDEX(Productos!$B$2:$B$501,MATCH(B2715,Productos!$A$2:$A$501,0)),"¿Código?"))</f>
        <v/>
      </c>
      <c r="F2715" s="32">
        <f>IF(C2715&lt;&gt;"Venta","",D2715*IFERROR(INDEX(Productos!$D$2:$D$501,MATCH(B2715,Productos!$A$2:$A$501,0)),0))</f>
        <v/>
      </c>
      <c r="G2715" s="32">
        <f>IF(C2715&lt;&gt;"Venta","",D2715*IFERROR(INDEX(Productos!$E$2:$E$501,MATCH(B2715,Productos!$A$2:$A$501,0)),0))</f>
        <v/>
      </c>
      <c r="H2715" s="33">
        <f>IF(A2715="","",MONTH(A2715))</f>
        <v/>
      </c>
      <c r="I2715" s="33">
        <f>IF(A2715="","",YEAR(A2715))</f>
        <v/>
      </c>
    </row>
    <row r="2716" ht="15" customHeight="1" s="21">
      <c r="A2716" s="34" t="n"/>
      <c r="B2716" s="30" t="n"/>
      <c r="C2716" s="30" t="n"/>
      <c r="D2716" s="30" t="n"/>
      <c r="E2716" s="33">
        <f>IF(B2716="","",IFERROR(INDEX(Productos!$B$2:$B$501,MATCH(B2716,Productos!$A$2:$A$501,0)),"¿Código?"))</f>
        <v/>
      </c>
      <c r="F2716" s="32">
        <f>IF(C2716&lt;&gt;"Venta","",D2716*IFERROR(INDEX(Productos!$D$2:$D$501,MATCH(B2716,Productos!$A$2:$A$501,0)),0))</f>
        <v/>
      </c>
      <c r="G2716" s="32">
        <f>IF(C2716&lt;&gt;"Venta","",D2716*IFERROR(INDEX(Productos!$E$2:$E$501,MATCH(B2716,Productos!$A$2:$A$501,0)),0))</f>
        <v/>
      </c>
      <c r="H2716" s="33">
        <f>IF(A2716="","",MONTH(A2716))</f>
        <v/>
      </c>
      <c r="I2716" s="33">
        <f>IF(A2716="","",YEAR(A2716))</f>
        <v/>
      </c>
    </row>
    <row r="2717" ht="15" customHeight="1" s="21">
      <c r="A2717" s="34" t="n"/>
      <c r="B2717" s="30" t="n"/>
      <c r="C2717" s="30" t="n"/>
      <c r="D2717" s="30" t="n"/>
      <c r="E2717" s="33">
        <f>IF(B2717="","",IFERROR(INDEX(Productos!$B$2:$B$501,MATCH(B2717,Productos!$A$2:$A$501,0)),"¿Código?"))</f>
        <v/>
      </c>
      <c r="F2717" s="32">
        <f>IF(C2717&lt;&gt;"Venta","",D2717*IFERROR(INDEX(Productos!$D$2:$D$501,MATCH(B2717,Productos!$A$2:$A$501,0)),0))</f>
        <v/>
      </c>
      <c r="G2717" s="32">
        <f>IF(C2717&lt;&gt;"Venta","",D2717*IFERROR(INDEX(Productos!$E$2:$E$501,MATCH(B2717,Productos!$A$2:$A$501,0)),0))</f>
        <v/>
      </c>
      <c r="H2717" s="33">
        <f>IF(A2717="","",MONTH(A2717))</f>
        <v/>
      </c>
      <c r="I2717" s="33">
        <f>IF(A2717="","",YEAR(A2717))</f>
        <v/>
      </c>
    </row>
    <row r="2718" ht="15" customHeight="1" s="21">
      <c r="A2718" s="34" t="n"/>
      <c r="B2718" s="30" t="n"/>
      <c r="C2718" s="30" t="n"/>
      <c r="D2718" s="30" t="n"/>
      <c r="E2718" s="33">
        <f>IF(B2718="","",IFERROR(INDEX(Productos!$B$2:$B$501,MATCH(B2718,Productos!$A$2:$A$501,0)),"¿Código?"))</f>
        <v/>
      </c>
      <c r="F2718" s="32">
        <f>IF(C2718&lt;&gt;"Venta","",D2718*IFERROR(INDEX(Productos!$D$2:$D$501,MATCH(B2718,Productos!$A$2:$A$501,0)),0))</f>
        <v/>
      </c>
      <c r="G2718" s="32">
        <f>IF(C2718&lt;&gt;"Venta","",D2718*IFERROR(INDEX(Productos!$E$2:$E$501,MATCH(B2718,Productos!$A$2:$A$501,0)),0))</f>
        <v/>
      </c>
      <c r="H2718" s="33">
        <f>IF(A2718="","",MONTH(A2718))</f>
        <v/>
      </c>
      <c r="I2718" s="33">
        <f>IF(A2718="","",YEAR(A2718))</f>
        <v/>
      </c>
    </row>
    <row r="2719" ht="15" customHeight="1" s="21">
      <c r="A2719" s="34" t="n"/>
      <c r="B2719" s="30" t="n"/>
      <c r="C2719" s="30" t="n"/>
      <c r="D2719" s="30" t="n"/>
      <c r="E2719" s="33">
        <f>IF(B2719="","",IFERROR(INDEX(Productos!$B$2:$B$501,MATCH(B2719,Productos!$A$2:$A$501,0)),"¿Código?"))</f>
        <v/>
      </c>
      <c r="F2719" s="32">
        <f>IF(C2719&lt;&gt;"Venta","",D2719*IFERROR(INDEX(Productos!$D$2:$D$501,MATCH(B2719,Productos!$A$2:$A$501,0)),0))</f>
        <v/>
      </c>
      <c r="G2719" s="32">
        <f>IF(C2719&lt;&gt;"Venta","",D2719*IFERROR(INDEX(Productos!$E$2:$E$501,MATCH(B2719,Productos!$A$2:$A$501,0)),0))</f>
        <v/>
      </c>
      <c r="H2719" s="33">
        <f>IF(A2719="","",MONTH(A2719))</f>
        <v/>
      </c>
      <c r="I2719" s="33">
        <f>IF(A2719="","",YEAR(A2719))</f>
        <v/>
      </c>
    </row>
    <row r="2720" ht="15" customHeight="1" s="21">
      <c r="A2720" s="34" t="n"/>
      <c r="B2720" s="30" t="n"/>
      <c r="C2720" s="30" t="n"/>
      <c r="D2720" s="30" t="n"/>
      <c r="E2720" s="33">
        <f>IF(B2720="","",IFERROR(INDEX(Productos!$B$2:$B$501,MATCH(B2720,Productos!$A$2:$A$501,0)),"¿Código?"))</f>
        <v/>
      </c>
      <c r="F2720" s="32">
        <f>IF(C2720&lt;&gt;"Venta","",D2720*IFERROR(INDEX(Productos!$D$2:$D$501,MATCH(B2720,Productos!$A$2:$A$501,0)),0))</f>
        <v/>
      </c>
      <c r="G2720" s="32">
        <f>IF(C2720&lt;&gt;"Venta","",D2720*IFERROR(INDEX(Productos!$E$2:$E$501,MATCH(B2720,Productos!$A$2:$A$501,0)),0))</f>
        <v/>
      </c>
      <c r="H2720" s="33">
        <f>IF(A2720="","",MONTH(A2720))</f>
        <v/>
      </c>
      <c r="I2720" s="33">
        <f>IF(A2720="","",YEAR(A2720))</f>
        <v/>
      </c>
    </row>
    <row r="2721" ht="15" customHeight="1" s="21">
      <c r="A2721" s="34" t="n"/>
      <c r="B2721" s="30" t="n"/>
      <c r="C2721" s="30" t="n"/>
      <c r="D2721" s="30" t="n"/>
      <c r="E2721" s="33">
        <f>IF(B2721="","",IFERROR(INDEX(Productos!$B$2:$B$501,MATCH(B2721,Productos!$A$2:$A$501,0)),"¿Código?"))</f>
        <v/>
      </c>
      <c r="F2721" s="32">
        <f>IF(C2721&lt;&gt;"Venta","",D2721*IFERROR(INDEX(Productos!$D$2:$D$501,MATCH(B2721,Productos!$A$2:$A$501,0)),0))</f>
        <v/>
      </c>
      <c r="G2721" s="32">
        <f>IF(C2721&lt;&gt;"Venta","",D2721*IFERROR(INDEX(Productos!$E$2:$E$501,MATCH(B2721,Productos!$A$2:$A$501,0)),0))</f>
        <v/>
      </c>
      <c r="H2721" s="33">
        <f>IF(A2721="","",MONTH(A2721))</f>
        <v/>
      </c>
      <c r="I2721" s="33">
        <f>IF(A2721="","",YEAR(A2721))</f>
        <v/>
      </c>
    </row>
    <row r="2722" ht="15" customHeight="1" s="21">
      <c r="A2722" s="34" t="n"/>
      <c r="B2722" s="30" t="n"/>
      <c r="C2722" s="30" t="n"/>
      <c r="D2722" s="30" t="n"/>
      <c r="E2722" s="33">
        <f>IF(B2722="","",IFERROR(INDEX(Productos!$B$2:$B$501,MATCH(B2722,Productos!$A$2:$A$501,0)),"¿Código?"))</f>
        <v/>
      </c>
      <c r="F2722" s="32">
        <f>IF(C2722&lt;&gt;"Venta","",D2722*IFERROR(INDEX(Productos!$D$2:$D$501,MATCH(B2722,Productos!$A$2:$A$501,0)),0))</f>
        <v/>
      </c>
      <c r="G2722" s="32">
        <f>IF(C2722&lt;&gt;"Venta","",D2722*IFERROR(INDEX(Productos!$E$2:$E$501,MATCH(B2722,Productos!$A$2:$A$501,0)),0))</f>
        <v/>
      </c>
      <c r="H2722" s="33">
        <f>IF(A2722="","",MONTH(A2722))</f>
        <v/>
      </c>
      <c r="I2722" s="33">
        <f>IF(A2722="","",YEAR(A2722))</f>
        <v/>
      </c>
    </row>
    <row r="2723" ht="15" customHeight="1" s="21">
      <c r="A2723" s="34" t="n"/>
      <c r="B2723" s="30" t="n"/>
      <c r="C2723" s="30" t="n"/>
      <c r="D2723" s="30" t="n"/>
      <c r="E2723" s="33">
        <f>IF(B2723="","",IFERROR(INDEX(Productos!$B$2:$B$501,MATCH(B2723,Productos!$A$2:$A$501,0)),"¿Código?"))</f>
        <v/>
      </c>
      <c r="F2723" s="32">
        <f>IF(C2723&lt;&gt;"Venta","",D2723*IFERROR(INDEX(Productos!$D$2:$D$501,MATCH(B2723,Productos!$A$2:$A$501,0)),0))</f>
        <v/>
      </c>
      <c r="G2723" s="32">
        <f>IF(C2723&lt;&gt;"Venta","",D2723*IFERROR(INDEX(Productos!$E$2:$E$501,MATCH(B2723,Productos!$A$2:$A$501,0)),0))</f>
        <v/>
      </c>
      <c r="H2723" s="33">
        <f>IF(A2723="","",MONTH(A2723))</f>
        <v/>
      </c>
      <c r="I2723" s="33">
        <f>IF(A2723="","",YEAR(A2723))</f>
        <v/>
      </c>
    </row>
    <row r="2724" ht="15" customHeight="1" s="21">
      <c r="A2724" s="34" t="n"/>
      <c r="B2724" s="30" t="n"/>
      <c r="C2724" s="30" t="n"/>
      <c r="D2724" s="30" t="n"/>
      <c r="E2724" s="33">
        <f>IF(B2724="","",IFERROR(INDEX(Productos!$B$2:$B$501,MATCH(B2724,Productos!$A$2:$A$501,0)),"¿Código?"))</f>
        <v/>
      </c>
      <c r="F2724" s="32">
        <f>IF(C2724&lt;&gt;"Venta","",D2724*IFERROR(INDEX(Productos!$D$2:$D$501,MATCH(B2724,Productos!$A$2:$A$501,0)),0))</f>
        <v/>
      </c>
      <c r="G2724" s="32">
        <f>IF(C2724&lt;&gt;"Venta","",D2724*IFERROR(INDEX(Productos!$E$2:$E$501,MATCH(B2724,Productos!$A$2:$A$501,0)),0))</f>
        <v/>
      </c>
      <c r="H2724" s="33">
        <f>IF(A2724="","",MONTH(A2724))</f>
        <v/>
      </c>
      <c r="I2724" s="33">
        <f>IF(A2724="","",YEAR(A2724))</f>
        <v/>
      </c>
    </row>
    <row r="2725" ht="15" customHeight="1" s="21">
      <c r="A2725" s="34" t="n"/>
      <c r="B2725" s="30" t="n"/>
      <c r="C2725" s="30" t="n"/>
      <c r="D2725" s="30" t="n"/>
      <c r="E2725" s="33">
        <f>IF(B2725="","",IFERROR(INDEX(Productos!$B$2:$B$501,MATCH(B2725,Productos!$A$2:$A$501,0)),"¿Código?"))</f>
        <v/>
      </c>
      <c r="F2725" s="32">
        <f>IF(C2725&lt;&gt;"Venta","",D2725*IFERROR(INDEX(Productos!$D$2:$D$501,MATCH(B2725,Productos!$A$2:$A$501,0)),0))</f>
        <v/>
      </c>
      <c r="G2725" s="32">
        <f>IF(C2725&lt;&gt;"Venta","",D2725*IFERROR(INDEX(Productos!$E$2:$E$501,MATCH(B2725,Productos!$A$2:$A$501,0)),0))</f>
        <v/>
      </c>
      <c r="H2725" s="33">
        <f>IF(A2725="","",MONTH(A2725))</f>
        <v/>
      </c>
      <c r="I2725" s="33">
        <f>IF(A2725="","",YEAR(A2725))</f>
        <v/>
      </c>
    </row>
    <row r="2726" ht="15" customHeight="1" s="21">
      <c r="A2726" s="34" t="n"/>
      <c r="B2726" s="30" t="n"/>
      <c r="C2726" s="30" t="n"/>
      <c r="D2726" s="30" t="n"/>
      <c r="E2726" s="33">
        <f>IF(B2726="","",IFERROR(INDEX(Productos!$B$2:$B$501,MATCH(B2726,Productos!$A$2:$A$501,0)),"¿Código?"))</f>
        <v/>
      </c>
      <c r="F2726" s="32">
        <f>IF(C2726&lt;&gt;"Venta","",D2726*IFERROR(INDEX(Productos!$D$2:$D$501,MATCH(B2726,Productos!$A$2:$A$501,0)),0))</f>
        <v/>
      </c>
      <c r="G2726" s="32">
        <f>IF(C2726&lt;&gt;"Venta","",D2726*IFERROR(INDEX(Productos!$E$2:$E$501,MATCH(B2726,Productos!$A$2:$A$501,0)),0))</f>
        <v/>
      </c>
      <c r="H2726" s="33">
        <f>IF(A2726="","",MONTH(A2726))</f>
        <v/>
      </c>
      <c r="I2726" s="33">
        <f>IF(A2726="","",YEAR(A2726))</f>
        <v/>
      </c>
    </row>
    <row r="2727" ht="15" customHeight="1" s="21">
      <c r="A2727" s="34" t="n"/>
      <c r="B2727" s="30" t="n"/>
      <c r="C2727" s="30" t="n"/>
      <c r="D2727" s="30" t="n"/>
      <c r="E2727" s="33">
        <f>IF(B2727="","",IFERROR(INDEX(Productos!$B$2:$B$501,MATCH(B2727,Productos!$A$2:$A$501,0)),"¿Código?"))</f>
        <v/>
      </c>
      <c r="F2727" s="32">
        <f>IF(C2727&lt;&gt;"Venta","",D2727*IFERROR(INDEX(Productos!$D$2:$D$501,MATCH(B2727,Productos!$A$2:$A$501,0)),0))</f>
        <v/>
      </c>
      <c r="G2727" s="32">
        <f>IF(C2727&lt;&gt;"Venta","",D2727*IFERROR(INDEX(Productos!$E$2:$E$501,MATCH(B2727,Productos!$A$2:$A$501,0)),0))</f>
        <v/>
      </c>
      <c r="H2727" s="33">
        <f>IF(A2727="","",MONTH(A2727))</f>
        <v/>
      </c>
      <c r="I2727" s="33">
        <f>IF(A2727="","",YEAR(A2727))</f>
        <v/>
      </c>
    </row>
    <row r="2728" ht="15" customHeight="1" s="21">
      <c r="A2728" s="34" t="n"/>
      <c r="B2728" s="30" t="n"/>
      <c r="C2728" s="30" t="n"/>
      <c r="D2728" s="30" t="n"/>
      <c r="E2728" s="33">
        <f>IF(B2728="","",IFERROR(INDEX(Productos!$B$2:$B$501,MATCH(B2728,Productos!$A$2:$A$501,0)),"¿Código?"))</f>
        <v/>
      </c>
      <c r="F2728" s="32">
        <f>IF(C2728&lt;&gt;"Venta","",D2728*IFERROR(INDEX(Productos!$D$2:$D$501,MATCH(B2728,Productos!$A$2:$A$501,0)),0))</f>
        <v/>
      </c>
      <c r="G2728" s="32">
        <f>IF(C2728&lt;&gt;"Venta","",D2728*IFERROR(INDEX(Productos!$E$2:$E$501,MATCH(B2728,Productos!$A$2:$A$501,0)),0))</f>
        <v/>
      </c>
      <c r="H2728" s="33">
        <f>IF(A2728="","",MONTH(A2728))</f>
        <v/>
      </c>
      <c r="I2728" s="33">
        <f>IF(A2728="","",YEAR(A2728))</f>
        <v/>
      </c>
    </row>
    <row r="2729" ht="15" customHeight="1" s="21">
      <c r="A2729" s="34" t="n"/>
      <c r="B2729" s="30" t="n"/>
      <c r="C2729" s="30" t="n"/>
      <c r="D2729" s="30" t="n"/>
      <c r="E2729" s="33">
        <f>IF(B2729="","",IFERROR(INDEX(Productos!$B$2:$B$501,MATCH(B2729,Productos!$A$2:$A$501,0)),"¿Código?"))</f>
        <v/>
      </c>
      <c r="F2729" s="32">
        <f>IF(C2729&lt;&gt;"Venta","",D2729*IFERROR(INDEX(Productos!$D$2:$D$501,MATCH(B2729,Productos!$A$2:$A$501,0)),0))</f>
        <v/>
      </c>
      <c r="G2729" s="32">
        <f>IF(C2729&lt;&gt;"Venta","",D2729*IFERROR(INDEX(Productos!$E$2:$E$501,MATCH(B2729,Productos!$A$2:$A$501,0)),0))</f>
        <v/>
      </c>
      <c r="H2729" s="33">
        <f>IF(A2729="","",MONTH(A2729))</f>
        <v/>
      </c>
      <c r="I2729" s="33">
        <f>IF(A2729="","",YEAR(A2729))</f>
        <v/>
      </c>
    </row>
    <row r="2730" ht="15" customHeight="1" s="21">
      <c r="A2730" s="34" t="n"/>
      <c r="B2730" s="30" t="n"/>
      <c r="C2730" s="30" t="n"/>
      <c r="D2730" s="30" t="n"/>
      <c r="E2730" s="33">
        <f>IF(B2730="","",IFERROR(INDEX(Productos!$B$2:$B$501,MATCH(B2730,Productos!$A$2:$A$501,0)),"¿Código?"))</f>
        <v/>
      </c>
      <c r="F2730" s="32">
        <f>IF(C2730&lt;&gt;"Venta","",D2730*IFERROR(INDEX(Productos!$D$2:$D$501,MATCH(B2730,Productos!$A$2:$A$501,0)),0))</f>
        <v/>
      </c>
      <c r="G2730" s="32">
        <f>IF(C2730&lt;&gt;"Venta","",D2730*IFERROR(INDEX(Productos!$E$2:$E$501,MATCH(B2730,Productos!$A$2:$A$501,0)),0))</f>
        <v/>
      </c>
      <c r="H2730" s="33">
        <f>IF(A2730="","",MONTH(A2730))</f>
        <v/>
      </c>
      <c r="I2730" s="33">
        <f>IF(A2730="","",YEAR(A2730))</f>
        <v/>
      </c>
    </row>
    <row r="2731" ht="15" customHeight="1" s="21">
      <c r="A2731" s="34" t="n"/>
      <c r="B2731" s="30" t="n"/>
      <c r="C2731" s="30" t="n"/>
      <c r="D2731" s="30" t="n"/>
      <c r="E2731" s="33">
        <f>IF(B2731="","",IFERROR(INDEX(Productos!$B$2:$B$501,MATCH(B2731,Productos!$A$2:$A$501,0)),"¿Código?"))</f>
        <v/>
      </c>
      <c r="F2731" s="32">
        <f>IF(C2731&lt;&gt;"Venta","",D2731*IFERROR(INDEX(Productos!$D$2:$D$501,MATCH(B2731,Productos!$A$2:$A$501,0)),0))</f>
        <v/>
      </c>
      <c r="G2731" s="32">
        <f>IF(C2731&lt;&gt;"Venta","",D2731*IFERROR(INDEX(Productos!$E$2:$E$501,MATCH(B2731,Productos!$A$2:$A$501,0)),0))</f>
        <v/>
      </c>
      <c r="H2731" s="33">
        <f>IF(A2731="","",MONTH(A2731))</f>
        <v/>
      </c>
      <c r="I2731" s="33">
        <f>IF(A2731="","",YEAR(A2731))</f>
        <v/>
      </c>
    </row>
    <row r="2732" ht="15" customHeight="1" s="21">
      <c r="A2732" s="34" t="n"/>
      <c r="B2732" s="30" t="n"/>
      <c r="C2732" s="30" t="n"/>
      <c r="D2732" s="30" t="n"/>
      <c r="E2732" s="33">
        <f>IF(B2732="","",IFERROR(INDEX(Productos!$B$2:$B$501,MATCH(B2732,Productos!$A$2:$A$501,0)),"¿Código?"))</f>
        <v/>
      </c>
      <c r="F2732" s="32">
        <f>IF(C2732&lt;&gt;"Venta","",D2732*IFERROR(INDEX(Productos!$D$2:$D$501,MATCH(B2732,Productos!$A$2:$A$501,0)),0))</f>
        <v/>
      </c>
      <c r="G2732" s="32">
        <f>IF(C2732&lt;&gt;"Venta","",D2732*IFERROR(INDEX(Productos!$E$2:$E$501,MATCH(B2732,Productos!$A$2:$A$501,0)),0))</f>
        <v/>
      </c>
      <c r="H2732" s="33">
        <f>IF(A2732="","",MONTH(A2732))</f>
        <v/>
      </c>
      <c r="I2732" s="33">
        <f>IF(A2732="","",YEAR(A2732))</f>
        <v/>
      </c>
    </row>
    <row r="2733" ht="15" customHeight="1" s="21">
      <c r="A2733" s="34" t="n"/>
      <c r="B2733" s="30" t="n"/>
      <c r="C2733" s="30" t="n"/>
      <c r="D2733" s="30" t="n"/>
      <c r="E2733" s="33">
        <f>IF(B2733="","",IFERROR(INDEX(Productos!$B$2:$B$501,MATCH(B2733,Productos!$A$2:$A$501,0)),"¿Código?"))</f>
        <v/>
      </c>
      <c r="F2733" s="32">
        <f>IF(C2733&lt;&gt;"Venta","",D2733*IFERROR(INDEX(Productos!$D$2:$D$501,MATCH(B2733,Productos!$A$2:$A$501,0)),0))</f>
        <v/>
      </c>
      <c r="G2733" s="32">
        <f>IF(C2733&lt;&gt;"Venta","",D2733*IFERROR(INDEX(Productos!$E$2:$E$501,MATCH(B2733,Productos!$A$2:$A$501,0)),0))</f>
        <v/>
      </c>
      <c r="H2733" s="33">
        <f>IF(A2733="","",MONTH(A2733))</f>
        <v/>
      </c>
      <c r="I2733" s="33">
        <f>IF(A2733="","",YEAR(A2733))</f>
        <v/>
      </c>
    </row>
    <row r="2734" ht="15" customHeight="1" s="21">
      <c r="A2734" s="34" t="n"/>
      <c r="B2734" s="30" t="n"/>
      <c r="C2734" s="30" t="n"/>
      <c r="D2734" s="30" t="n"/>
      <c r="E2734" s="33">
        <f>IF(B2734="","",IFERROR(INDEX(Productos!$B$2:$B$501,MATCH(B2734,Productos!$A$2:$A$501,0)),"¿Código?"))</f>
        <v/>
      </c>
      <c r="F2734" s="32">
        <f>IF(C2734&lt;&gt;"Venta","",D2734*IFERROR(INDEX(Productos!$D$2:$D$501,MATCH(B2734,Productos!$A$2:$A$501,0)),0))</f>
        <v/>
      </c>
      <c r="G2734" s="32">
        <f>IF(C2734&lt;&gt;"Venta","",D2734*IFERROR(INDEX(Productos!$E$2:$E$501,MATCH(B2734,Productos!$A$2:$A$501,0)),0))</f>
        <v/>
      </c>
      <c r="H2734" s="33">
        <f>IF(A2734="","",MONTH(A2734))</f>
        <v/>
      </c>
      <c r="I2734" s="33">
        <f>IF(A2734="","",YEAR(A2734))</f>
        <v/>
      </c>
    </row>
    <row r="2735" ht="15" customHeight="1" s="21">
      <c r="A2735" s="34" t="n"/>
      <c r="B2735" s="30" t="n"/>
      <c r="C2735" s="30" t="n"/>
      <c r="D2735" s="30" t="n"/>
      <c r="E2735" s="33">
        <f>IF(B2735="","",IFERROR(INDEX(Productos!$B$2:$B$501,MATCH(B2735,Productos!$A$2:$A$501,0)),"¿Código?"))</f>
        <v/>
      </c>
      <c r="F2735" s="32">
        <f>IF(C2735&lt;&gt;"Venta","",D2735*IFERROR(INDEX(Productos!$D$2:$D$501,MATCH(B2735,Productos!$A$2:$A$501,0)),0))</f>
        <v/>
      </c>
      <c r="G2735" s="32">
        <f>IF(C2735&lt;&gt;"Venta","",D2735*IFERROR(INDEX(Productos!$E$2:$E$501,MATCH(B2735,Productos!$A$2:$A$501,0)),0))</f>
        <v/>
      </c>
      <c r="H2735" s="33">
        <f>IF(A2735="","",MONTH(A2735))</f>
        <v/>
      </c>
      <c r="I2735" s="33">
        <f>IF(A2735="","",YEAR(A2735))</f>
        <v/>
      </c>
    </row>
    <row r="2736" ht="15" customHeight="1" s="21">
      <c r="A2736" s="34" t="n"/>
      <c r="B2736" s="30" t="n"/>
      <c r="C2736" s="30" t="n"/>
      <c r="D2736" s="30" t="n"/>
      <c r="E2736" s="33">
        <f>IF(B2736="","",IFERROR(INDEX(Productos!$B$2:$B$501,MATCH(B2736,Productos!$A$2:$A$501,0)),"¿Código?"))</f>
        <v/>
      </c>
      <c r="F2736" s="32">
        <f>IF(C2736&lt;&gt;"Venta","",D2736*IFERROR(INDEX(Productos!$D$2:$D$501,MATCH(B2736,Productos!$A$2:$A$501,0)),0))</f>
        <v/>
      </c>
      <c r="G2736" s="32">
        <f>IF(C2736&lt;&gt;"Venta","",D2736*IFERROR(INDEX(Productos!$E$2:$E$501,MATCH(B2736,Productos!$A$2:$A$501,0)),0))</f>
        <v/>
      </c>
      <c r="H2736" s="33">
        <f>IF(A2736="","",MONTH(A2736))</f>
        <v/>
      </c>
      <c r="I2736" s="33">
        <f>IF(A2736="","",YEAR(A2736))</f>
        <v/>
      </c>
    </row>
    <row r="2737" ht="15" customHeight="1" s="21">
      <c r="A2737" s="34" t="n"/>
      <c r="B2737" s="30" t="n"/>
      <c r="C2737" s="30" t="n"/>
      <c r="D2737" s="30" t="n"/>
      <c r="E2737" s="33">
        <f>IF(B2737="","",IFERROR(INDEX(Productos!$B$2:$B$501,MATCH(B2737,Productos!$A$2:$A$501,0)),"¿Código?"))</f>
        <v/>
      </c>
      <c r="F2737" s="32">
        <f>IF(C2737&lt;&gt;"Venta","",D2737*IFERROR(INDEX(Productos!$D$2:$D$501,MATCH(B2737,Productos!$A$2:$A$501,0)),0))</f>
        <v/>
      </c>
      <c r="G2737" s="32">
        <f>IF(C2737&lt;&gt;"Venta","",D2737*IFERROR(INDEX(Productos!$E$2:$E$501,MATCH(B2737,Productos!$A$2:$A$501,0)),0))</f>
        <v/>
      </c>
      <c r="H2737" s="33">
        <f>IF(A2737="","",MONTH(A2737))</f>
        <v/>
      </c>
      <c r="I2737" s="33">
        <f>IF(A2737="","",YEAR(A2737))</f>
        <v/>
      </c>
    </row>
    <row r="2738" ht="15" customHeight="1" s="21">
      <c r="A2738" s="34" t="n"/>
      <c r="B2738" s="30" t="n"/>
      <c r="C2738" s="30" t="n"/>
      <c r="D2738" s="30" t="n"/>
      <c r="E2738" s="33">
        <f>IF(B2738="","",IFERROR(INDEX(Productos!$B$2:$B$501,MATCH(B2738,Productos!$A$2:$A$501,0)),"¿Código?"))</f>
        <v/>
      </c>
      <c r="F2738" s="32">
        <f>IF(C2738&lt;&gt;"Venta","",D2738*IFERROR(INDEX(Productos!$D$2:$D$501,MATCH(B2738,Productos!$A$2:$A$501,0)),0))</f>
        <v/>
      </c>
      <c r="G2738" s="32">
        <f>IF(C2738&lt;&gt;"Venta","",D2738*IFERROR(INDEX(Productos!$E$2:$E$501,MATCH(B2738,Productos!$A$2:$A$501,0)),0))</f>
        <v/>
      </c>
      <c r="H2738" s="33">
        <f>IF(A2738="","",MONTH(A2738))</f>
        <v/>
      </c>
      <c r="I2738" s="33">
        <f>IF(A2738="","",YEAR(A2738))</f>
        <v/>
      </c>
    </row>
    <row r="2739" ht="15" customHeight="1" s="21">
      <c r="A2739" s="34" t="n"/>
      <c r="B2739" s="30" t="n"/>
      <c r="C2739" s="30" t="n"/>
      <c r="D2739" s="30" t="n"/>
      <c r="E2739" s="33">
        <f>IF(B2739="","",IFERROR(INDEX(Productos!$B$2:$B$501,MATCH(B2739,Productos!$A$2:$A$501,0)),"¿Código?"))</f>
        <v/>
      </c>
      <c r="F2739" s="32">
        <f>IF(C2739&lt;&gt;"Venta","",D2739*IFERROR(INDEX(Productos!$D$2:$D$501,MATCH(B2739,Productos!$A$2:$A$501,0)),0))</f>
        <v/>
      </c>
      <c r="G2739" s="32">
        <f>IF(C2739&lt;&gt;"Venta","",D2739*IFERROR(INDEX(Productos!$E$2:$E$501,MATCH(B2739,Productos!$A$2:$A$501,0)),0))</f>
        <v/>
      </c>
      <c r="H2739" s="33">
        <f>IF(A2739="","",MONTH(A2739))</f>
        <v/>
      </c>
      <c r="I2739" s="33">
        <f>IF(A2739="","",YEAR(A2739))</f>
        <v/>
      </c>
    </row>
    <row r="2740" ht="15" customHeight="1" s="21">
      <c r="A2740" s="34" t="n"/>
      <c r="B2740" s="30" t="n"/>
      <c r="C2740" s="30" t="n"/>
      <c r="D2740" s="30" t="n"/>
      <c r="E2740" s="33">
        <f>IF(B2740="","",IFERROR(INDEX(Productos!$B$2:$B$501,MATCH(B2740,Productos!$A$2:$A$501,0)),"¿Código?"))</f>
        <v/>
      </c>
      <c r="F2740" s="32">
        <f>IF(C2740&lt;&gt;"Venta","",D2740*IFERROR(INDEX(Productos!$D$2:$D$501,MATCH(B2740,Productos!$A$2:$A$501,0)),0))</f>
        <v/>
      </c>
      <c r="G2740" s="32">
        <f>IF(C2740&lt;&gt;"Venta","",D2740*IFERROR(INDEX(Productos!$E$2:$E$501,MATCH(B2740,Productos!$A$2:$A$501,0)),0))</f>
        <v/>
      </c>
      <c r="H2740" s="33">
        <f>IF(A2740="","",MONTH(A2740))</f>
        <v/>
      </c>
      <c r="I2740" s="33">
        <f>IF(A2740="","",YEAR(A2740))</f>
        <v/>
      </c>
    </row>
    <row r="2741" ht="15" customHeight="1" s="21">
      <c r="A2741" s="34" t="n"/>
      <c r="B2741" s="30" t="n"/>
      <c r="C2741" s="30" t="n"/>
      <c r="D2741" s="30" t="n"/>
      <c r="E2741" s="33">
        <f>IF(B2741="","",IFERROR(INDEX(Productos!$B$2:$B$501,MATCH(B2741,Productos!$A$2:$A$501,0)),"¿Código?"))</f>
        <v/>
      </c>
      <c r="F2741" s="32">
        <f>IF(C2741&lt;&gt;"Venta","",D2741*IFERROR(INDEX(Productos!$D$2:$D$501,MATCH(B2741,Productos!$A$2:$A$501,0)),0))</f>
        <v/>
      </c>
      <c r="G2741" s="32">
        <f>IF(C2741&lt;&gt;"Venta","",D2741*IFERROR(INDEX(Productos!$E$2:$E$501,MATCH(B2741,Productos!$A$2:$A$501,0)),0))</f>
        <v/>
      </c>
      <c r="H2741" s="33">
        <f>IF(A2741="","",MONTH(A2741))</f>
        <v/>
      </c>
      <c r="I2741" s="33">
        <f>IF(A2741="","",YEAR(A2741))</f>
        <v/>
      </c>
    </row>
    <row r="2742" ht="15" customHeight="1" s="21">
      <c r="A2742" s="34" t="n"/>
      <c r="B2742" s="30" t="n"/>
      <c r="C2742" s="30" t="n"/>
      <c r="D2742" s="30" t="n"/>
      <c r="E2742" s="33">
        <f>IF(B2742="","",IFERROR(INDEX(Productos!$B$2:$B$501,MATCH(B2742,Productos!$A$2:$A$501,0)),"¿Código?"))</f>
        <v/>
      </c>
      <c r="F2742" s="32">
        <f>IF(C2742&lt;&gt;"Venta","",D2742*IFERROR(INDEX(Productos!$D$2:$D$501,MATCH(B2742,Productos!$A$2:$A$501,0)),0))</f>
        <v/>
      </c>
      <c r="G2742" s="32">
        <f>IF(C2742&lt;&gt;"Venta","",D2742*IFERROR(INDEX(Productos!$E$2:$E$501,MATCH(B2742,Productos!$A$2:$A$501,0)),0))</f>
        <v/>
      </c>
      <c r="H2742" s="33">
        <f>IF(A2742="","",MONTH(A2742))</f>
        <v/>
      </c>
      <c r="I2742" s="33">
        <f>IF(A2742="","",YEAR(A2742))</f>
        <v/>
      </c>
    </row>
    <row r="2743" ht="15" customHeight="1" s="21">
      <c r="A2743" s="34" t="n"/>
      <c r="B2743" s="30" t="n"/>
      <c r="C2743" s="30" t="n"/>
      <c r="D2743" s="30" t="n"/>
      <c r="E2743" s="33">
        <f>IF(B2743="","",IFERROR(INDEX(Productos!$B$2:$B$501,MATCH(B2743,Productos!$A$2:$A$501,0)),"¿Código?"))</f>
        <v/>
      </c>
      <c r="F2743" s="32">
        <f>IF(C2743&lt;&gt;"Venta","",D2743*IFERROR(INDEX(Productos!$D$2:$D$501,MATCH(B2743,Productos!$A$2:$A$501,0)),0))</f>
        <v/>
      </c>
      <c r="G2743" s="32">
        <f>IF(C2743&lt;&gt;"Venta","",D2743*IFERROR(INDEX(Productos!$E$2:$E$501,MATCH(B2743,Productos!$A$2:$A$501,0)),0))</f>
        <v/>
      </c>
      <c r="H2743" s="33">
        <f>IF(A2743="","",MONTH(A2743))</f>
        <v/>
      </c>
      <c r="I2743" s="33">
        <f>IF(A2743="","",YEAR(A2743))</f>
        <v/>
      </c>
    </row>
    <row r="2744" ht="15" customHeight="1" s="21">
      <c r="A2744" s="34" t="n"/>
      <c r="B2744" s="30" t="n"/>
      <c r="C2744" s="30" t="n"/>
      <c r="D2744" s="30" t="n"/>
      <c r="E2744" s="33">
        <f>IF(B2744="","",IFERROR(INDEX(Productos!$B$2:$B$501,MATCH(B2744,Productos!$A$2:$A$501,0)),"¿Código?"))</f>
        <v/>
      </c>
      <c r="F2744" s="32">
        <f>IF(C2744&lt;&gt;"Venta","",D2744*IFERROR(INDEX(Productos!$D$2:$D$501,MATCH(B2744,Productos!$A$2:$A$501,0)),0))</f>
        <v/>
      </c>
      <c r="G2744" s="32">
        <f>IF(C2744&lt;&gt;"Venta","",D2744*IFERROR(INDEX(Productos!$E$2:$E$501,MATCH(B2744,Productos!$A$2:$A$501,0)),0))</f>
        <v/>
      </c>
      <c r="H2744" s="33">
        <f>IF(A2744="","",MONTH(A2744))</f>
        <v/>
      </c>
      <c r="I2744" s="33">
        <f>IF(A2744="","",YEAR(A2744))</f>
        <v/>
      </c>
    </row>
    <row r="2745" ht="15" customHeight="1" s="21">
      <c r="A2745" s="34" t="n"/>
      <c r="B2745" s="30" t="n"/>
      <c r="C2745" s="30" t="n"/>
      <c r="D2745" s="30" t="n"/>
      <c r="E2745" s="33">
        <f>IF(B2745="","",IFERROR(INDEX(Productos!$B$2:$B$501,MATCH(B2745,Productos!$A$2:$A$501,0)),"¿Código?"))</f>
        <v/>
      </c>
      <c r="F2745" s="32">
        <f>IF(C2745&lt;&gt;"Venta","",D2745*IFERROR(INDEX(Productos!$D$2:$D$501,MATCH(B2745,Productos!$A$2:$A$501,0)),0))</f>
        <v/>
      </c>
      <c r="G2745" s="32">
        <f>IF(C2745&lt;&gt;"Venta","",D2745*IFERROR(INDEX(Productos!$E$2:$E$501,MATCH(B2745,Productos!$A$2:$A$501,0)),0))</f>
        <v/>
      </c>
      <c r="H2745" s="33">
        <f>IF(A2745="","",MONTH(A2745))</f>
        <v/>
      </c>
      <c r="I2745" s="33">
        <f>IF(A2745="","",YEAR(A2745))</f>
        <v/>
      </c>
    </row>
    <row r="2746" ht="15" customHeight="1" s="21">
      <c r="A2746" s="34" t="n"/>
      <c r="B2746" s="30" t="n"/>
      <c r="C2746" s="30" t="n"/>
      <c r="D2746" s="30" t="n"/>
      <c r="E2746" s="33">
        <f>IF(B2746="","",IFERROR(INDEX(Productos!$B$2:$B$501,MATCH(B2746,Productos!$A$2:$A$501,0)),"¿Código?"))</f>
        <v/>
      </c>
      <c r="F2746" s="32">
        <f>IF(C2746&lt;&gt;"Venta","",D2746*IFERROR(INDEX(Productos!$D$2:$D$501,MATCH(B2746,Productos!$A$2:$A$501,0)),0))</f>
        <v/>
      </c>
      <c r="G2746" s="32">
        <f>IF(C2746&lt;&gt;"Venta","",D2746*IFERROR(INDEX(Productos!$E$2:$E$501,MATCH(B2746,Productos!$A$2:$A$501,0)),0))</f>
        <v/>
      </c>
      <c r="H2746" s="33">
        <f>IF(A2746="","",MONTH(A2746))</f>
        <v/>
      </c>
      <c r="I2746" s="33">
        <f>IF(A2746="","",YEAR(A2746))</f>
        <v/>
      </c>
    </row>
    <row r="2747" ht="15" customHeight="1" s="21">
      <c r="A2747" s="34" t="n"/>
      <c r="B2747" s="30" t="n"/>
      <c r="C2747" s="30" t="n"/>
      <c r="D2747" s="30" t="n"/>
      <c r="E2747" s="33">
        <f>IF(B2747="","",IFERROR(INDEX(Productos!$B$2:$B$501,MATCH(B2747,Productos!$A$2:$A$501,0)),"¿Código?"))</f>
        <v/>
      </c>
      <c r="F2747" s="32">
        <f>IF(C2747&lt;&gt;"Venta","",D2747*IFERROR(INDEX(Productos!$D$2:$D$501,MATCH(B2747,Productos!$A$2:$A$501,0)),0))</f>
        <v/>
      </c>
      <c r="G2747" s="32">
        <f>IF(C2747&lt;&gt;"Venta","",D2747*IFERROR(INDEX(Productos!$E$2:$E$501,MATCH(B2747,Productos!$A$2:$A$501,0)),0))</f>
        <v/>
      </c>
      <c r="H2747" s="33">
        <f>IF(A2747="","",MONTH(A2747))</f>
        <v/>
      </c>
      <c r="I2747" s="33">
        <f>IF(A2747="","",YEAR(A2747))</f>
        <v/>
      </c>
    </row>
    <row r="2748" ht="15" customHeight="1" s="21">
      <c r="A2748" s="34" t="n"/>
      <c r="B2748" s="30" t="n"/>
      <c r="C2748" s="30" t="n"/>
      <c r="D2748" s="30" t="n"/>
      <c r="E2748" s="33">
        <f>IF(B2748="","",IFERROR(INDEX(Productos!$B$2:$B$501,MATCH(B2748,Productos!$A$2:$A$501,0)),"¿Código?"))</f>
        <v/>
      </c>
      <c r="F2748" s="32">
        <f>IF(C2748&lt;&gt;"Venta","",D2748*IFERROR(INDEX(Productos!$D$2:$D$501,MATCH(B2748,Productos!$A$2:$A$501,0)),0))</f>
        <v/>
      </c>
      <c r="G2748" s="32">
        <f>IF(C2748&lt;&gt;"Venta","",D2748*IFERROR(INDEX(Productos!$E$2:$E$501,MATCH(B2748,Productos!$A$2:$A$501,0)),0))</f>
        <v/>
      </c>
      <c r="H2748" s="33">
        <f>IF(A2748="","",MONTH(A2748))</f>
        <v/>
      </c>
      <c r="I2748" s="33">
        <f>IF(A2748="","",YEAR(A2748))</f>
        <v/>
      </c>
    </row>
    <row r="2749" ht="15" customHeight="1" s="21">
      <c r="A2749" s="34" t="n"/>
      <c r="B2749" s="30" t="n"/>
      <c r="C2749" s="30" t="n"/>
      <c r="D2749" s="30" t="n"/>
      <c r="E2749" s="33">
        <f>IF(B2749="","",IFERROR(INDEX(Productos!$B$2:$B$501,MATCH(B2749,Productos!$A$2:$A$501,0)),"¿Código?"))</f>
        <v/>
      </c>
      <c r="F2749" s="32">
        <f>IF(C2749&lt;&gt;"Venta","",D2749*IFERROR(INDEX(Productos!$D$2:$D$501,MATCH(B2749,Productos!$A$2:$A$501,0)),0))</f>
        <v/>
      </c>
      <c r="G2749" s="32">
        <f>IF(C2749&lt;&gt;"Venta","",D2749*IFERROR(INDEX(Productos!$E$2:$E$501,MATCH(B2749,Productos!$A$2:$A$501,0)),0))</f>
        <v/>
      </c>
      <c r="H2749" s="33">
        <f>IF(A2749="","",MONTH(A2749))</f>
        <v/>
      </c>
      <c r="I2749" s="33">
        <f>IF(A2749="","",YEAR(A2749))</f>
        <v/>
      </c>
    </row>
    <row r="2750" ht="15" customHeight="1" s="21">
      <c r="A2750" s="34" t="n"/>
      <c r="B2750" s="30" t="n"/>
      <c r="C2750" s="30" t="n"/>
      <c r="D2750" s="30" t="n"/>
      <c r="E2750" s="33">
        <f>IF(B2750="","",IFERROR(INDEX(Productos!$B$2:$B$501,MATCH(B2750,Productos!$A$2:$A$501,0)),"¿Código?"))</f>
        <v/>
      </c>
      <c r="F2750" s="32">
        <f>IF(C2750&lt;&gt;"Venta","",D2750*IFERROR(INDEX(Productos!$D$2:$D$501,MATCH(B2750,Productos!$A$2:$A$501,0)),0))</f>
        <v/>
      </c>
      <c r="G2750" s="32">
        <f>IF(C2750&lt;&gt;"Venta","",D2750*IFERROR(INDEX(Productos!$E$2:$E$501,MATCH(B2750,Productos!$A$2:$A$501,0)),0))</f>
        <v/>
      </c>
      <c r="H2750" s="33">
        <f>IF(A2750="","",MONTH(A2750))</f>
        <v/>
      </c>
      <c r="I2750" s="33">
        <f>IF(A2750="","",YEAR(A2750))</f>
        <v/>
      </c>
    </row>
    <row r="2751" ht="15" customHeight="1" s="21">
      <c r="A2751" s="34" t="n"/>
      <c r="B2751" s="30" t="n"/>
      <c r="C2751" s="30" t="n"/>
      <c r="D2751" s="30" t="n"/>
      <c r="E2751" s="33">
        <f>IF(B2751="","",IFERROR(INDEX(Productos!$B$2:$B$501,MATCH(B2751,Productos!$A$2:$A$501,0)),"¿Código?"))</f>
        <v/>
      </c>
      <c r="F2751" s="32">
        <f>IF(C2751&lt;&gt;"Venta","",D2751*IFERROR(INDEX(Productos!$D$2:$D$501,MATCH(B2751,Productos!$A$2:$A$501,0)),0))</f>
        <v/>
      </c>
      <c r="G2751" s="32">
        <f>IF(C2751&lt;&gt;"Venta","",D2751*IFERROR(INDEX(Productos!$E$2:$E$501,MATCH(B2751,Productos!$A$2:$A$501,0)),0))</f>
        <v/>
      </c>
      <c r="H2751" s="33">
        <f>IF(A2751="","",MONTH(A2751))</f>
        <v/>
      </c>
      <c r="I2751" s="33">
        <f>IF(A2751="","",YEAR(A2751))</f>
        <v/>
      </c>
    </row>
    <row r="2752" ht="15" customHeight="1" s="21">
      <c r="A2752" s="34" t="n"/>
      <c r="B2752" s="30" t="n"/>
      <c r="C2752" s="30" t="n"/>
      <c r="D2752" s="30" t="n"/>
      <c r="E2752" s="33">
        <f>IF(B2752="","",IFERROR(INDEX(Productos!$B$2:$B$501,MATCH(B2752,Productos!$A$2:$A$501,0)),"¿Código?"))</f>
        <v/>
      </c>
      <c r="F2752" s="32">
        <f>IF(C2752&lt;&gt;"Venta","",D2752*IFERROR(INDEX(Productos!$D$2:$D$501,MATCH(B2752,Productos!$A$2:$A$501,0)),0))</f>
        <v/>
      </c>
      <c r="G2752" s="32">
        <f>IF(C2752&lt;&gt;"Venta","",D2752*IFERROR(INDEX(Productos!$E$2:$E$501,MATCH(B2752,Productos!$A$2:$A$501,0)),0))</f>
        <v/>
      </c>
      <c r="H2752" s="33">
        <f>IF(A2752="","",MONTH(A2752))</f>
        <v/>
      </c>
      <c r="I2752" s="33">
        <f>IF(A2752="","",YEAR(A2752))</f>
        <v/>
      </c>
    </row>
    <row r="2753" ht="15" customHeight="1" s="21">
      <c r="A2753" s="34" t="n"/>
      <c r="B2753" s="30" t="n"/>
      <c r="C2753" s="30" t="n"/>
      <c r="D2753" s="30" t="n"/>
      <c r="E2753" s="33">
        <f>IF(B2753="","",IFERROR(INDEX(Productos!$B$2:$B$501,MATCH(B2753,Productos!$A$2:$A$501,0)),"¿Código?"))</f>
        <v/>
      </c>
      <c r="F2753" s="32">
        <f>IF(C2753&lt;&gt;"Venta","",D2753*IFERROR(INDEX(Productos!$D$2:$D$501,MATCH(B2753,Productos!$A$2:$A$501,0)),0))</f>
        <v/>
      </c>
      <c r="G2753" s="32">
        <f>IF(C2753&lt;&gt;"Venta","",D2753*IFERROR(INDEX(Productos!$E$2:$E$501,MATCH(B2753,Productos!$A$2:$A$501,0)),0))</f>
        <v/>
      </c>
      <c r="H2753" s="33">
        <f>IF(A2753="","",MONTH(A2753))</f>
        <v/>
      </c>
      <c r="I2753" s="33">
        <f>IF(A2753="","",YEAR(A2753))</f>
        <v/>
      </c>
    </row>
    <row r="2754" ht="15" customHeight="1" s="21">
      <c r="A2754" s="34" t="n"/>
      <c r="B2754" s="30" t="n"/>
      <c r="C2754" s="30" t="n"/>
      <c r="D2754" s="30" t="n"/>
      <c r="E2754" s="33">
        <f>IF(B2754="","",IFERROR(INDEX(Productos!$B$2:$B$501,MATCH(B2754,Productos!$A$2:$A$501,0)),"¿Código?"))</f>
        <v/>
      </c>
      <c r="F2754" s="32">
        <f>IF(C2754&lt;&gt;"Venta","",D2754*IFERROR(INDEX(Productos!$D$2:$D$501,MATCH(B2754,Productos!$A$2:$A$501,0)),0))</f>
        <v/>
      </c>
      <c r="G2754" s="32">
        <f>IF(C2754&lt;&gt;"Venta","",D2754*IFERROR(INDEX(Productos!$E$2:$E$501,MATCH(B2754,Productos!$A$2:$A$501,0)),0))</f>
        <v/>
      </c>
      <c r="H2754" s="33">
        <f>IF(A2754="","",MONTH(A2754))</f>
        <v/>
      </c>
      <c r="I2754" s="33">
        <f>IF(A2754="","",YEAR(A2754))</f>
        <v/>
      </c>
    </row>
    <row r="2755" ht="15" customHeight="1" s="21">
      <c r="A2755" s="34" t="n"/>
      <c r="B2755" s="30" t="n"/>
      <c r="C2755" s="30" t="n"/>
      <c r="D2755" s="30" t="n"/>
      <c r="E2755" s="33">
        <f>IF(B2755="","",IFERROR(INDEX(Productos!$B$2:$B$501,MATCH(B2755,Productos!$A$2:$A$501,0)),"¿Código?"))</f>
        <v/>
      </c>
      <c r="F2755" s="32">
        <f>IF(C2755&lt;&gt;"Venta","",D2755*IFERROR(INDEX(Productos!$D$2:$D$501,MATCH(B2755,Productos!$A$2:$A$501,0)),0))</f>
        <v/>
      </c>
      <c r="G2755" s="32">
        <f>IF(C2755&lt;&gt;"Venta","",D2755*IFERROR(INDEX(Productos!$E$2:$E$501,MATCH(B2755,Productos!$A$2:$A$501,0)),0))</f>
        <v/>
      </c>
      <c r="H2755" s="33">
        <f>IF(A2755="","",MONTH(A2755))</f>
        <v/>
      </c>
      <c r="I2755" s="33">
        <f>IF(A2755="","",YEAR(A2755))</f>
        <v/>
      </c>
    </row>
    <row r="2756" ht="15" customHeight="1" s="21">
      <c r="A2756" s="34" t="n"/>
      <c r="B2756" s="30" t="n"/>
      <c r="C2756" s="30" t="n"/>
      <c r="D2756" s="30" t="n"/>
      <c r="E2756" s="33">
        <f>IF(B2756="","",IFERROR(INDEX(Productos!$B$2:$B$501,MATCH(B2756,Productos!$A$2:$A$501,0)),"¿Código?"))</f>
        <v/>
      </c>
      <c r="F2756" s="32">
        <f>IF(C2756&lt;&gt;"Venta","",D2756*IFERROR(INDEX(Productos!$D$2:$D$501,MATCH(B2756,Productos!$A$2:$A$501,0)),0))</f>
        <v/>
      </c>
      <c r="G2756" s="32">
        <f>IF(C2756&lt;&gt;"Venta","",D2756*IFERROR(INDEX(Productos!$E$2:$E$501,MATCH(B2756,Productos!$A$2:$A$501,0)),0))</f>
        <v/>
      </c>
      <c r="H2756" s="33">
        <f>IF(A2756="","",MONTH(A2756))</f>
        <v/>
      </c>
      <c r="I2756" s="33">
        <f>IF(A2756="","",YEAR(A2756))</f>
        <v/>
      </c>
    </row>
    <row r="2757" ht="15" customHeight="1" s="21">
      <c r="A2757" s="34" t="n"/>
      <c r="B2757" s="30" t="n"/>
      <c r="C2757" s="30" t="n"/>
      <c r="D2757" s="30" t="n"/>
      <c r="E2757" s="33">
        <f>IF(B2757="","",IFERROR(INDEX(Productos!$B$2:$B$501,MATCH(B2757,Productos!$A$2:$A$501,0)),"¿Código?"))</f>
        <v/>
      </c>
      <c r="F2757" s="32">
        <f>IF(C2757&lt;&gt;"Venta","",D2757*IFERROR(INDEX(Productos!$D$2:$D$501,MATCH(B2757,Productos!$A$2:$A$501,0)),0))</f>
        <v/>
      </c>
      <c r="G2757" s="32">
        <f>IF(C2757&lt;&gt;"Venta","",D2757*IFERROR(INDEX(Productos!$E$2:$E$501,MATCH(B2757,Productos!$A$2:$A$501,0)),0))</f>
        <v/>
      </c>
      <c r="H2757" s="33">
        <f>IF(A2757="","",MONTH(A2757))</f>
        <v/>
      </c>
      <c r="I2757" s="33">
        <f>IF(A2757="","",YEAR(A2757))</f>
        <v/>
      </c>
    </row>
    <row r="2758" ht="15" customHeight="1" s="21">
      <c r="A2758" s="34" t="n"/>
      <c r="B2758" s="30" t="n"/>
      <c r="C2758" s="30" t="n"/>
      <c r="D2758" s="30" t="n"/>
      <c r="E2758" s="33">
        <f>IF(B2758="","",IFERROR(INDEX(Productos!$B$2:$B$501,MATCH(B2758,Productos!$A$2:$A$501,0)),"¿Código?"))</f>
        <v/>
      </c>
      <c r="F2758" s="32">
        <f>IF(C2758&lt;&gt;"Venta","",D2758*IFERROR(INDEX(Productos!$D$2:$D$501,MATCH(B2758,Productos!$A$2:$A$501,0)),0))</f>
        <v/>
      </c>
      <c r="G2758" s="32">
        <f>IF(C2758&lt;&gt;"Venta","",D2758*IFERROR(INDEX(Productos!$E$2:$E$501,MATCH(B2758,Productos!$A$2:$A$501,0)),0))</f>
        <v/>
      </c>
      <c r="H2758" s="33">
        <f>IF(A2758="","",MONTH(A2758))</f>
        <v/>
      </c>
      <c r="I2758" s="33">
        <f>IF(A2758="","",YEAR(A2758))</f>
        <v/>
      </c>
    </row>
    <row r="2759" ht="15" customHeight="1" s="21">
      <c r="A2759" s="34" t="n"/>
      <c r="B2759" s="30" t="n"/>
      <c r="C2759" s="30" t="n"/>
      <c r="D2759" s="30" t="n"/>
      <c r="E2759" s="33">
        <f>IF(B2759="","",IFERROR(INDEX(Productos!$B$2:$B$501,MATCH(B2759,Productos!$A$2:$A$501,0)),"¿Código?"))</f>
        <v/>
      </c>
      <c r="F2759" s="32">
        <f>IF(C2759&lt;&gt;"Venta","",D2759*IFERROR(INDEX(Productos!$D$2:$D$501,MATCH(B2759,Productos!$A$2:$A$501,0)),0))</f>
        <v/>
      </c>
      <c r="G2759" s="32">
        <f>IF(C2759&lt;&gt;"Venta","",D2759*IFERROR(INDEX(Productos!$E$2:$E$501,MATCH(B2759,Productos!$A$2:$A$501,0)),0))</f>
        <v/>
      </c>
      <c r="H2759" s="33">
        <f>IF(A2759="","",MONTH(A2759))</f>
        <v/>
      </c>
      <c r="I2759" s="33">
        <f>IF(A2759="","",YEAR(A2759))</f>
        <v/>
      </c>
    </row>
    <row r="2760" ht="15" customHeight="1" s="21">
      <c r="A2760" s="34" t="n"/>
      <c r="B2760" s="30" t="n"/>
      <c r="C2760" s="30" t="n"/>
      <c r="D2760" s="30" t="n"/>
      <c r="E2760" s="33">
        <f>IF(B2760="","",IFERROR(INDEX(Productos!$B$2:$B$501,MATCH(B2760,Productos!$A$2:$A$501,0)),"¿Código?"))</f>
        <v/>
      </c>
      <c r="F2760" s="32">
        <f>IF(C2760&lt;&gt;"Venta","",D2760*IFERROR(INDEX(Productos!$D$2:$D$501,MATCH(B2760,Productos!$A$2:$A$501,0)),0))</f>
        <v/>
      </c>
      <c r="G2760" s="32">
        <f>IF(C2760&lt;&gt;"Venta","",D2760*IFERROR(INDEX(Productos!$E$2:$E$501,MATCH(B2760,Productos!$A$2:$A$501,0)),0))</f>
        <v/>
      </c>
      <c r="H2760" s="33">
        <f>IF(A2760="","",MONTH(A2760))</f>
        <v/>
      </c>
      <c r="I2760" s="33">
        <f>IF(A2760="","",YEAR(A2760))</f>
        <v/>
      </c>
    </row>
    <row r="2761" ht="15" customHeight="1" s="21">
      <c r="A2761" s="34" t="n"/>
      <c r="B2761" s="30" t="n"/>
      <c r="C2761" s="30" t="n"/>
      <c r="D2761" s="30" t="n"/>
      <c r="E2761" s="33">
        <f>IF(B2761="","",IFERROR(INDEX(Productos!$B$2:$B$501,MATCH(B2761,Productos!$A$2:$A$501,0)),"¿Código?"))</f>
        <v/>
      </c>
      <c r="F2761" s="32">
        <f>IF(C2761&lt;&gt;"Venta","",D2761*IFERROR(INDEX(Productos!$D$2:$D$501,MATCH(B2761,Productos!$A$2:$A$501,0)),0))</f>
        <v/>
      </c>
      <c r="G2761" s="32">
        <f>IF(C2761&lt;&gt;"Venta","",D2761*IFERROR(INDEX(Productos!$E$2:$E$501,MATCH(B2761,Productos!$A$2:$A$501,0)),0))</f>
        <v/>
      </c>
      <c r="H2761" s="33">
        <f>IF(A2761="","",MONTH(A2761))</f>
        <v/>
      </c>
      <c r="I2761" s="33">
        <f>IF(A2761="","",YEAR(A2761))</f>
        <v/>
      </c>
    </row>
    <row r="2762" ht="15" customHeight="1" s="21">
      <c r="A2762" s="34" t="n"/>
      <c r="B2762" s="30" t="n"/>
      <c r="C2762" s="30" t="n"/>
      <c r="D2762" s="30" t="n"/>
      <c r="E2762" s="33">
        <f>IF(B2762="","",IFERROR(INDEX(Productos!$B$2:$B$501,MATCH(B2762,Productos!$A$2:$A$501,0)),"¿Código?"))</f>
        <v/>
      </c>
      <c r="F2762" s="32">
        <f>IF(C2762&lt;&gt;"Venta","",D2762*IFERROR(INDEX(Productos!$D$2:$D$501,MATCH(B2762,Productos!$A$2:$A$501,0)),0))</f>
        <v/>
      </c>
      <c r="G2762" s="32">
        <f>IF(C2762&lt;&gt;"Venta","",D2762*IFERROR(INDEX(Productos!$E$2:$E$501,MATCH(B2762,Productos!$A$2:$A$501,0)),0))</f>
        <v/>
      </c>
      <c r="H2762" s="33">
        <f>IF(A2762="","",MONTH(A2762))</f>
        <v/>
      </c>
      <c r="I2762" s="33">
        <f>IF(A2762="","",YEAR(A2762))</f>
        <v/>
      </c>
    </row>
    <row r="2763" ht="15" customHeight="1" s="21">
      <c r="A2763" s="34" t="n"/>
      <c r="B2763" s="30" t="n"/>
      <c r="C2763" s="30" t="n"/>
      <c r="D2763" s="30" t="n"/>
      <c r="E2763" s="33">
        <f>IF(B2763="","",IFERROR(INDEX(Productos!$B$2:$B$501,MATCH(B2763,Productos!$A$2:$A$501,0)),"¿Código?"))</f>
        <v/>
      </c>
      <c r="F2763" s="32">
        <f>IF(C2763&lt;&gt;"Venta","",D2763*IFERROR(INDEX(Productos!$D$2:$D$501,MATCH(B2763,Productos!$A$2:$A$501,0)),0))</f>
        <v/>
      </c>
      <c r="G2763" s="32">
        <f>IF(C2763&lt;&gt;"Venta","",D2763*IFERROR(INDEX(Productos!$E$2:$E$501,MATCH(B2763,Productos!$A$2:$A$501,0)),0))</f>
        <v/>
      </c>
      <c r="H2763" s="33">
        <f>IF(A2763="","",MONTH(A2763))</f>
        <v/>
      </c>
      <c r="I2763" s="33">
        <f>IF(A2763="","",YEAR(A2763))</f>
        <v/>
      </c>
    </row>
    <row r="2764" ht="15" customHeight="1" s="21">
      <c r="A2764" s="34" t="n"/>
      <c r="B2764" s="30" t="n"/>
      <c r="C2764" s="30" t="n"/>
      <c r="D2764" s="30" t="n"/>
      <c r="E2764" s="33">
        <f>IF(B2764="","",IFERROR(INDEX(Productos!$B$2:$B$501,MATCH(B2764,Productos!$A$2:$A$501,0)),"¿Código?"))</f>
        <v/>
      </c>
      <c r="F2764" s="32">
        <f>IF(C2764&lt;&gt;"Venta","",D2764*IFERROR(INDEX(Productos!$D$2:$D$501,MATCH(B2764,Productos!$A$2:$A$501,0)),0))</f>
        <v/>
      </c>
      <c r="G2764" s="32">
        <f>IF(C2764&lt;&gt;"Venta","",D2764*IFERROR(INDEX(Productos!$E$2:$E$501,MATCH(B2764,Productos!$A$2:$A$501,0)),0))</f>
        <v/>
      </c>
      <c r="H2764" s="33">
        <f>IF(A2764="","",MONTH(A2764))</f>
        <v/>
      </c>
      <c r="I2764" s="33">
        <f>IF(A2764="","",YEAR(A2764))</f>
        <v/>
      </c>
    </row>
    <row r="2765" ht="15" customHeight="1" s="21">
      <c r="A2765" s="34" t="n"/>
      <c r="B2765" s="30" t="n"/>
      <c r="C2765" s="30" t="n"/>
      <c r="D2765" s="30" t="n"/>
      <c r="E2765" s="33">
        <f>IF(B2765="","",IFERROR(INDEX(Productos!$B$2:$B$501,MATCH(B2765,Productos!$A$2:$A$501,0)),"¿Código?"))</f>
        <v/>
      </c>
      <c r="F2765" s="32">
        <f>IF(C2765&lt;&gt;"Venta","",D2765*IFERROR(INDEX(Productos!$D$2:$D$501,MATCH(B2765,Productos!$A$2:$A$501,0)),0))</f>
        <v/>
      </c>
      <c r="G2765" s="32">
        <f>IF(C2765&lt;&gt;"Venta","",D2765*IFERROR(INDEX(Productos!$E$2:$E$501,MATCH(B2765,Productos!$A$2:$A$501,0)),0))</f>
        <v/>
      </c>
      <c r="H2765" s="33">
        <f>IF(A2765="","",MONTH(A2765))</f>
        <v/>
      </c>
      <c r="I2765" s="33">
        <f>IF(A2765="","",YEAR(A2765))</f>
        <v/>
      </c>
    </row>
    <row r="2766" ht="15" customHeight="1" s="21">
      <c r="A2766" s="34" t="n"/>
      <c r="B2766" s="30" t="n"/>
      <c r="C2766" s="30" t="n"/>
      <c r="D2766" s="30" t="n"/>
      <c r="E2766" s="33">
        <f>IF(B2766="","",IFERROR(INDEX(Productos!$B$2:$B$501,MATCH(B2766,Productos!$A$2:$A$501,0)),"¿Código?"))</f>
        <v/>
      </c>
      <c r="F2766" s="32">
        <f>IF(C2766&lt;&gt;"Venta","",D2766*IFERROR(INDEX(Productos!$D$2:$D$501,MATCH(B2766,Productos!$A$2:$A$501,0)),0))</f>
        <v/>
      </c>
      <c r="G2766" s="32">
        <f>IF(C2766&lt;&gt;"Venta","",D2766*IFERROR(INDEX(Productos!$E$2:$E$501,MATCH(B2766,Productos!$A$2:$A$501,0)),0))</f>
        <v/>
      </c>
      <c r="H2766" s="33">
        <f>IF(A2766="","",MONTH(A2766))</f>
        <v/>
      </c>
      <c r="I2766" s="33">
        <f>IF(A2766="","",YEAR(A2766))</f>
        <v/>
      </c>
    </row>
    <row r="2767" ht="15" customHeight="1" s="21">
      <c r="A2767" s="34" t="n"/>
      <c r="B2767" s="30" t="n"/>
      <c r="C2767" s="30" t="n"/>
      <c r="D2767" s="30" t="n"/>
      <c r="E2767" s="33">
        <f>IF(B2767="","",IFERROR(INDEX(Productos!$B$2:$B$501,MATCH(B2767,Productos!$A$2:$A$501,0)),"¿Código?"))</f>
        <v/>
      </c>
      <c r="F2767" s="32">
        <f>IF(C2767&lt;&gt;"Venta","",D2767*IFERROR(INDEX(Productos!$D$2:$D$501,MATCH(B2767,Productos!$A$2:$A$501,0)),0))</f>
        <v/>
      </c>
      <c r="G2767" s="32">
        <f>IF(C2767&lt;&gt;"Venta","",D2767*IFERROR(INDEX(Productos!$E$2:$E$501,MATCH(B2767,Productos!$A$2:$A$501,0)),0))</f>
        <v/>
      </c>
      <c r="H2767" s="33">
        <f>IF(A2767="","",MONTH(A2767))</f>
        <v/>
      </c>
      <c r="I2767" s="33">
        <f>IF(A2767="","",YEAR(A2767))</f>
        <v/>
      </c>
    </row>
    <row r="2768" ht="15" customHeight="1" s="21">
      <c r="A2768" s="34" t="n"/>
      <c r="B2768" s="30" t="n"/>
      <c r="C2768" s="30" t="n"/>
      <c r="D2768" s="30" t="n"/>
      <c r="E2768" s="33">
        <f>IF(B2768="","",IFERROR(INDEX(Productos!$B$2:$B$501,MATCH(B2768,Productos!$A$2:$A$501,0)),"¿Código?"))</f>
        <v/>
      </c>
      <c r="F2768" s="32">
        <f>IF(C2768&lt;&gt;"Venta","",D2768*IFERROR(INDEX(Productos!$D$2:$D$501,MATCH(B2768,Productos!$A$2:$A$501,0)),0))</f>
        <v/>
      </c>
      <c r="G2768" s="32">
        <f>IF(C2768&lt;&gt;"Venta","",D2768*IFERROR(INDEX(Productos!$E$2:$E$501,MATCH(B2768,Productos!$A$2:$A$501,0)),0))</f>
        <v/>
      </c>
      <c r="H2768" s="33">
        <f>IF(A2768="","",MONTH(A2768))</f>
        <v/>
      </c>
      <c r="I2768" s="33">
        <f>IF(A2768="","",YEAR(A2768))</f>
        <v/>
      </c>
    </row>
    <row r="2769" ht="15" customHeight="1" s="21">
      <c r="A2769" s="34" t="n"/>
      <c r="B2769" s="30" t="n"/>
      <c r="C2769" s="30" t="n"/>
      <c r="D2769" s="30" t="n"/>
      <c r="E2769" s="33">
        <f>IF(B2769="","",IFERROR(INDEX(Productos!$B$2:$B$501,MATCH(B2769,Productos!$A$2:$A$501,0)),"¿Código?"))</f>
        <v/>
      </c>
      <c r="F2769" s="32">
        <f>IF(C2769&lt;&gt;"Venta","",D2769*IFERROR(INDEX(Productos!$D$2:$D$501,MATCH(B2769,Productos!$A$2:$A$501,0)),0))</f>
        <v/>
      </c>
      <c r="G2769" s="32">
        <f>IF(C2769&lt;&gt;"Venta","",D2769*IFERROR(INDEX(Productos!$E$2:$E$501,MATCH(B2769,Productos!$A$2:$A$501,0)),0))</f>
        <v/>
      </c>
      <c r="H2769" s="33">
        <f>IF(A2769="","",MONTH(A2769))</f>
        <v/>
      </c>
      <c r="I2769" s="33">
        <f>IF(A2769="","",YEAR(A2769))</f>
        <v/>
      </c>
    </row>
    <row r="2770" ht="15" customHeight="1" s="21">
      <c r="A2770" s="34" t="n"/>
      <c r="B2770" s="30" t="n"/>
      <c r="C2770" s="30" t="n"/>
      <c r="D2770" s="30" t="n"/>
      <c r="E2770" s="33">
        <f>IF(B2770="","",IFERROR(INDEX(Productos!$B$2:$B$501,MATCH(B2770,Productos!$A$2:$A$501,0)),"¿Código?"))</f>
        <v/>
      </c>
      <c r="F2770" s="32">
        <f>IF(C2770&lt;&gt;"Venta","",D2770*IFERROR(INDEX(Productos!$D$2:$D$501,MATCH(B2770,Productos!$A$2:$A$501,0)),0))</f>
        <v/>
      </c>
      <c r="G2770" s="32">
        <f>IF(C2770&lt;&gt;"Venta","",D2770*IFERROR(INDEX(Productos!$E$2:$E$501,MATCH(B2770,Productos!$A$2:$A$501,0)),0))</f>
        <v/>
      </c>
      <c r="H2770" s="33">
        <f>IF(A2770="","",MONTH(A2770))</f>
        <v/>
      </c>
      <c r="I2770" s="33">
        <f>IF(A2770="","",YEAR(A2770))</f>
        <v/>
      </c>
    </row>
    <row r="2771" ht="15" customHeight="1" s="21">
      <c r="A2771" s="34" t="n"/>
      <c r="B2771" s="30" t="n"/>
      <c r="C2771" s="30" t="n"/>
      <c r="D2771" s="30" t="n"/>
      <c r="E2771" s="33">
        <f>IF(B2771="","",IFERROR(INDEX(Productos!$B$2:$B$501,MATCH(B2771,Productos!$A$2:$A$501,0)),"¿Código?"))</f>
        <v/>
      </c>
      <c r="F2771" s="32">
        <f>IF(C2771&lt;&gt;"Venta","",D2771*IFERROR(INDEX(Productos!$D$2:$D$501,MATCH(B2771,Productos!$A$2:$A$501,0)),0))</f>
        <v/>
      </c>
      <c r="G2771" s="32">
        <f>IF(C2771&lt;&gt;"Venta","",D2771*IFERROR(INDEX(Productos!$E$2:$E$501,MATCH(B2771,Productos!$A$2:$A$501,0)),0))</f>
        <v/>
      </c>
      <c r="H2771" s="33">
        <f>IF(A2771="","",MONTH(A2771))</f>
        <v/>
      </c>
      <c r="I2771" s="33">
        <f>IF(A2771="","",YEAR(A2771))</f>
        <v/>
      </c>
    </row>
    <row r="2772" ht="15" customHeight="1" s="21">
      <c r="A2772" s="34" t="n"/>
      <c r="B2772" s="30" t="n"/>
      <c r="C2772" s="30" t="n"/>
      <c r="D2772" s="30" t="n"/>
      <c r="E2772" s="33">
        <f>IF(B2772="","",IFERROR(INDEX(Productos!$B$2:$B$501,MATCH(B2772,Productos!$A$2:$A$501,0)),"¿Código?"))</f>
        <v/>
      </c>
      <c r="F2772" s="32">
        <f>IF(C2772&lt;&gt;"Venta","",D2772*IFERROR(INDEX(Productos!$D$2:$D$501,MATCH(B2772,Productos!$A$2:$A$501,0)),0))</f>
        <v/>
      </c>
      <c r="G2772" s="32">
        <f>IF(C2772&lt;&gt;"Venta","",D2772*IFERROR(INDEX(Productos!$E$2:$E$501,MATCH(B2772,Productos!$A$2:$A$501,0)),0))</f>
        <v/>
      </c>
      <c r="H2772" s="33">
        <f>IF(A2772="","",MONTH(A2772))</f>
        <v/>
      </c>
      <c r="I2772" s="33">
        <f>IF(A2772="","",YEAR(A2772))</f>
        <v/>
      </c>
    </row>
    <row r="2773" ht="15" customHeight="1" s="21">
      <c r="A2773" s="34" t="n"/>
      <c r="B2773" s="30" t="n"/>
      <c r="C2773" s="30" t="n"/>
      <c r="D2773" s="30" t="n"/>
      <c r="E2773" s="33">
        <f>IF(B2773="","",IFERROR(INDEX(Productos!$B$2:$B$501,MATCH(B2773,Productos!$A$2:$A$501,0)),"¿Código?"))</f>
        <v/>
      </c>
      <c r="F2773" s="32">
        <f>IF(C2773&lt;&gt;"Venta","",D2773*IFERROR(INDEX(Productos!$D$2:$D$501,MATCH(B2773,Productos!$A$2:$A$501,0)),0))</f>
        <v/>
      </c>
      <c r="G2773" s="32">
        <f>IF(C2773&lt;&gt;"Venta","",D2773*IFERROR(INDEX(Productos!$E$2:$E$501,MATCH(B2773,Productos!$A$2:$A$501,0)),0))</f>
        <v/>
      </c>
      <c r="H2773" s="33">
        <f>IF(A2773="","",MONTH(A2773))</f>
        <v/>
      </c>
      <c r="I2773" s="33">
        <f>IF(A2773="","",YEAR(A2773))</f>
        <v/>
      </c>
    </row>
    <row r="2774" ht="15" customHeight="1" s="21">
      <c r="A2774" s="34" t="n"/>
      <c r="B2774" s="30" t="n"/>
      <c r="C2774" s="30" t="n"/>
      <c r="D2774" s="30" t="n"/>
      <c r="E2774" s="33">
        <f>IF(B2774="","",IFERROR(INDEX(Productos!$B$2:$B$501,MATCH(B2774,Productos!$A$2:$A$501,0)),"¿Código?"))</f>
        <v/>
      </c>
      <c r="F2774" s="32">
        <f>IF(C2774&lt;&gt;"Venta","",D2774*IFERROR(INDEX(Productos!$D$2:$D$501,MATCH(B2774,Productos!$A$2:$A$501,0)),0))</f>
        <v/>
      </c>
      <c r="G2774" s="32">
        <f>IF(C2774&lt;&gt;"Venta","",D2774*IFERROR(INDEX(Productos!$E$2:$E$501,MATCH(B2774,Productos!$A$2:$A$501,0)),0))</f>
        <v/>
      </c>
      <c r="H2774" s="33">
        <f>IF(A2774="","",MONTH(A2774))</f>
        <v/>
      </c>
      <c r="I2774" s="33">
        <f>IF(A2774="","",YEAR(A2774))</f>
        <v/>
      </c>
    </row>
    <row r="2775" ht="15" customHeight="1" s="21">
      <c r="A2775" s="34" t="n"/>
      <c r="B2775" s="30" t="n"/>
      <c r="C2775" s="30" t="n"/>
      <c r="D2775" s="30" t="n"/>
      <c r="E2775" s="33">
        <f>IF(B2775="","",IFERROR(INDEX(Productos!$B$2:$B$501,MATCH(B2775,Productos!$A$2:$A$501,0)),"¿Código?"))</f>
        <v/>
      </c>
      <c r="F2775" s="32">
        <f>IF(C2775&lt;&gt;"Venta","",D2775*IFERROR(INDEX(Productos!$D$2:$D$501,MATCH(B2775,Productos!$A$2:$A$501,0)),0))</f>
        <v/>
      </c>
      <c r="G2775" s="32">
        <f>IF(C2775&lt;&gt;"Venta","",D2775*IFERROR(INDEX(Productos!$E$2:$E$501,MATCH(B2775,Productos!$A$2:$A$501,0)),0))</f>
        <v/>
      </c>
      <c r="H2775" s="33">
        <f>IF(A2775="","",MONTH(A2775))</f>
        <v/>
      </c>
      <c r="I2775" s="33">
        <f>IF(A2775="","",YEAR(A2775))</f>
        <v/>
      </c>
    </row>
    <row r="2776" ht="15" customHeight="1" s="21">
      <c r="A2776" s="34" t="n"/>
      <c r="B2776" s="30" t="n"/>
      <c r="C2776" s="30" t="n"/>
      <c r="D2776" s="30" t="n"/>
      <c r="E2776" s="33">
        <f>IF(B2776="","",IFERROR(INDEX(Productos!$B$2:$B$501,MATCH(B2776,Productos!$A$2:$A$501,0)),"¿Código?"))</f>
        <v/>
      </c>
      <c r="F2776" s="32">
        <f>IF(C2776&lt;&gt;"Venta","",D2776*IFERROR(INDEX(Productos!$D$2:$D$501,MATCH(B2776,Productos!$A$2:$A$501,0)),0))</f>
        <v/>
      </c>
      <c r="G2776" s="32">
        <f>IF(C2776&lt;&gt;"Venta","",D2776*IFERROR(INDEX(Productos!$E$2:$E$501,MATCH(B2776,Productos!$A$2:$A$501,0)),0))</f>
        <v/>
      </c>
      <c r="H2776" s="33">
        <f>IF(A2776="","",MONTH(A2776))</f>
        <v/>
      </c>
      <c r="I2776" s="33">
        <f>IF(A2776="","",YEAR(A2776))</f>
        <v/>
      </c>
    </row>
    <row r="2777" ht="15" customHeight="1" s="21">
      <c r="A2777" s="34" t="n"/>
      <c r="B2777" s="30" t="n"/>
      <c r="C2777" s="30" t="n"/>
      <c r="D2777" s="30" t="n"/>
      <c r="E2777" s="33">
        <f>IF(B2777="","",IFERROR(INDEX(Productos!$B$2:$B$501,MATCH(B2777,Productos!$A$2:$A$501,0)),"¿Código?"))</f>
        <v/>
      </c>
      <c r="F2777" s="32">
        <f>IF(C2777&lt;&gt;"Venta","",D2777*IFERROR(INDEX(Productos!$D$2:$D$501,MATCH(B2777,Productos!$A$2:$A$501,0)),0))</f>
        <v/>
      </c>
      <c r="G2777" s="32">
        <f>IF(C2777&lt;&gt;"Venta","",D2777*IFERROR(INDEX(Productos!$E$2:$E$501,MATCH(B2777,Productos!$A$2:$A$501,0)),0))</f>
        <v/>
      </c>
      <c r="H2777" s="33">
        <f>IF(A2777="","",MONTH(A2777))</f>
        <v/>
      </c>
      <c r="I2777" s="33">
        <f>IF(A2777="","",YEAR(A2777))</f>
        <v/>
      </c>
    </row>
    <row r="2778" ht="15" customHeight="1" s="21">
      <c r="A2778" s="34" t="n"/>
      <c r="B2778" s="30" t="n"/>
      <c r="C2778" s="30" t="n"/>
      <c r="D2778" s="30" t="n"/>
      <c r="E2778" s="33">
        <f>IF(B2778="","",IFERROR(INDEX(Productos!$B$2:$B$501,MATCH(B2778,Productos!$A$2:$A$501,0)),"¿Código?"))</f>
        <v/>
      </c>
      <c r="F2778" s="32">
        <f>IF(C2778&lt;&gt;"Venta","",D2778*IFERROR(INDEX(Productos!$D$2:$D$501,MATCH(B2778,Productos!$A$2:$A$501,0)),0))</f>
        <v/>
      </c>
      <c r="G2778" s="32">
        <f>IF(C2778&lt;&gt;"Venta","",D2778*IFERROR(INDEX(Productos!$E$2:$E$501,MATCH(B2778,Productos!$A$2:$A$501,0)),0))</f>
        <v/>
      </c>
      <c r="H2778" s="33">
        <f>IF(A2778="","",MONTH(A2778))</f>
        <v/>
      </c>
      <c r="I2778" s="33">
        <f>IF(A2778="","",YEAR(A2778))</f>
        <v/>
      </c>
    </row>
    <row r="2779" ht="15" customHeight="1" s="21">
      <c r="A2779" s="34" t="n"/>
      <c r="B2779" s="30" t="n"/>
      <c r="C2779" s="30" t="n"/>
      <c r="D2779" s="30" t="n"/>
      <c r="E2779" s="33">
        <f>IF(B2779="","",IFERROR(INDEX(Productos!$B$2:$B$501,MATCH(B2779,Productos!$A$2:$A$501,0)),"¿Código?"))</f>
        <v/>
      </c>
      <c r="F2779" s="32">
        <f>IF(C2779&lt;&gt;"Venta","",D2779*IFERROR(INDEX(Productos!$D$2:$D$501,MATCH(B2779,Productos!$A$2:$A$501,0)),0))</f>
        <v/>
      </c>
      <c r="G2779" s="32">
        <f>IF(C2779&lt;&gt;"Venta","",D2779*IFERROR(INDEX(Productos!$E$2:$E$501,MATCH(B2779,Productos!$A$2:$A$501,0)),0))</f>
        <v/>
      </c>
      <c r="H2779" s="33">
        <f>IF(A2779="","",MONTH(A2779))</f>
        <v/>
      </c>
      <c r="I2779" s="33">
        <f>IF(A2779="","",YEAR(A2779))</f>
        <v/>
      </c>
    </row>
    <row r="2780" ht="15" customHeight="1" s="21">
      <c r="A2780" s="34" t="n"/>
      <c r="B2780" s="30" t="n"/>
      <c r="C2780" s="30" t="n"/>
      <c r="D2780" s="30" t="n"/>
      <c r="E2780" s="33">
        <f>IF(B2780="","",IFERROR(INDEX(Productos!$B$2:$B$501,MATCH(B2780,Productos!$A$2:$A$501,0)),"¿Código?"))</f>
        <v/>
      </c>
      <c r="F2780" s="32">
        <f>IF(C2780&lt;&gt;"Venta","",D2780*IFERROR(INDEX(Productos!$D$2:$D$501,MATCH(B2780,Productos!$A$2:$A$501,0)),0))</f>
        <v/>
      </c>
      <c r="G2780" s="32">
        <f>IF(C2780&lt;&gt;"Venta","",D2780*IFERROR(INDEX(Productos!$E$2:$E$501,MATCH(B2780,Productos!$A$2:$A$501,0)),0))</f>
        <v/>
      </c>
      <c r="H2780" s="33">
        <f>IF(A2780="","",MONTH(A2780))</f>
        <v/>
      </c>
      <c r="I2780" s="33">
        <f>IF(A2780="","",YEAR(A2780))</f>
        <v/>
      </c>
    </row>
    <row r="2781" ht="15" customHeight="1" s="21">
      <c r="A2781" s="34" t="n"/>
      <c r="B2781" s="30" t="n"/>
      <c r="C2781" s="30" t="n"/>
      <c r="D2781" s="30" t="n"/>
      <c r="E2781" s="33">
        <f>IF(B2781="","",IFERROR(INDEX(Productos!$B$2:$B$501,MATCH(B2781,Productos!$A$2:$A$501,0)),"¿Código?"))</f>
        <v/>
      </c>
      <c r="F2781" s="32">
        <f>IF(C2781&lt;&gt;"Venta","",D2781*IFERROR(INDEX(Productos!$D$2:$D$501,MATCH(B2781,Productos!$A$2:$A$501,0)),0))</f>
        <v/>
      </c>
      <c r="G2781" s="32">
        <f>IF(C2781&lt;&gt;"Venta","",D2781*IFERROR(INDEX(Productos!$E$2:$E$501,MATCH(B2781,Productos!$A$2:$A$501,0)),0))</f>
        <v/>
      </c>
      <c r="H2781" s="33">
        <f>IF(A2781="","",MONTH(A2781))</f>
        <v/>
      </c>
      <c r="I2781" s="33">
        <f>IF(A2781="","",YEAR(A2781))</f>
        <v/>
      </c>
    </row>
    <row r="2782" ht="15" customHeight="1" s="21">
      <c r="A2782" s="34" t="n"/>
      <c r="B2782" s="30" t="n"/>
      <c r="C2782" s="30" t="n"/>
      <c r="D2782" s="30" t="n"/>
      <c r="E2782" s="33">
        <f>IF(B2782="","",IFERROR(INDEX(Productos!$B$2:$B$501,MATCH(B2782,Productos!$A$2:$A$501,0)),"¿Código?"))</f>
        <v/>
      </c>
      <c r="F2782" s="32">
        <f>IF(C2782&lt;&gt;"Venta","",D2782*IFERROR(INDEX(Productos!$D$2:$D$501,MATCH(B2782,Productos!$A$2:$A$501,0)),0))</f>
        <v/>
      </c>
      <c r="G2782" s="32">
        <f>IF(C2782&lt;&gt;"Venta","",D2782*IFERROR(INDEX(Productos!$E$2:$E$501,MATCH(B2782,Productos!$A$2:$A$501,0)),0))</f>
        <v/>
      </c>
      <c r="H2782" s="33">
        <f>IF(A2782="","",MONTH(A2782))</f>
        <v/>
      </c>
      <c r="I2782" s="33">
        <f>IF(A2782="","",YEAR(A2782))</f>
        <v/>
      </c>
    </row>
    <row r="2783" ht="15" customHeight="1" s="21">
      <c r="A2783" s="34" t="n"/>
      <c r="B2783" s="30" t="n"/>
      <c r="C2783" s="30" t="n"/>
      <c r="D2783" s="30" t="n"/>
      <c r="E2783" s="33">
        <f>IF(B2783="","",IFERROR(INDEX(Productos!$B$2:$B$501,MATCH(B2783,Productos!$A$2:$A$501,0)),"¿Código?"))</f>
        <v/>
      </c>
      <c r="F2783" s="32">
        <f>IF(C2783&lt;&gt;"Venta","",D2783*IFERROR(INDEX(Productos!$D$2:$D$501,MATCH(B2783,Productos!$A$2:$A$501,0)),0))</f>
        <v/>
      </c>
      <c r="G2783" s="32">
        <f>IF(C2783&lt;&gt;"Venta","",D2783*IFERROR(INDEX(Productos!$E$2:$E$501,MATCH(B2783,Productos!$A$2:$A$501,0)),0))</f>
        <v/>
      </c>
      <c r="H2783" s="33">
        <f>IF(A2783="","",MONTH(A2783))</f>
        <v/>
      </c>
      <c r="I2783" s="33">
        <f>IF(A2783="","",YEAR(A2783))</f>
        <v/>
      </c>
    </row>
    <row r="2784" ht="15" customHeight="1" s="21">
      <c r="A2784" s="34" t="n"/>
      <c r="B2784" s="30" t="n"/>
      <c r="C2784" s="30" t="n"/>
      <c r="D2784" s="30" t="n"/>
      <c r="E2784" s="33">
        <f>IF(B2784="","",IFERROR(INDEX(Productos!$B$2:$B$501,MATCH(B2784,Productos!$A$2:$A$501,0)),"¿Código?"))</f>
        <v/>
      </c>
      <c r="F2784" s="32">
        <f>IF(C2784&lt;&gt;"Venta","",D2784*IFERROR(INDEX(Productos!$D$2:$D$501,MATCH(B2784,Productos!$A$2:$A$501,0)),0))</f>
        <v/>
      </c>
      <c r="G2784" s="32">
        <f>IF(C2784&lt;&gt;"Venta","",D2784*IFERROR(INDEX(Productos!$E$2:$E$501,MATCH(B2784,Productos!$A$2:$A$501,0)),0))</f>
        <v/>
      </c>
      <c r="H2784" s="33">
        <f>IF(A2784="","",MONTH(A2784))</f>
        <v/>
      </c>
      <c r="I2784" s="33">
        <f>IF(A2784="","",YEAR(A2784))</f>
        <v/>
      </c>
    </row>
    <row r="2785" ht="15" customHeight="1" s="21">
      <c r="A2785" s="34" t="n"/>
      <c r="B2785" s="30" t="n"/>
      <c r="C2785" s="30" t="n"/>
      <c r="D2785" s="30" t="n"/>
      <c r="E2785" s="33">
        <f>IF(B2785="","",IFERROR(INDEX(Productos!$B$2:$B$501,MATCH(B2785,Productos!$A$2:$A$501,0)),"¿Código?"))</f>
        <v/>
      </c>
      <c r="F2785" s="32">
        <f>IF(C2785&lt;&gt;"Venta","",D2785*IFERROR(INDEX(Productos!$D$2:$D$501,MATCH(B2785,Productos!$A$2:$A$501,0)),0))</f>
        <v/>
      </c>
      <c r="G2785" s="32">
        <f>IF(C2785&lt;&gt;"Venta","",D2785*IFERROR(INDEX(Productos!$E$2:$E$501,MATCH(B2785,Productos!$A$2:$A$501,0)),0))</f>
        <v/>
      </c>
      <c r="H2785" s="33">
        <f>IF(A2785="","",MONTH(A2785))</f>
        <v/>
      </c>
      <c r="I2785" s="33">
        <f>IF(A2785="","",YEAR(A2785))</f>
        <v/>
      </c>
    </row>
    <row r="2786" ht="15" customHeight="1" s="21">
      <c r="A2786" s="34" t="n"/>
      <c r="B2786" s="30" t="n"/>
      <c r="C2786" s="30" t="n"/>
      <c r="D2786" s="30" t="n"/>
      <c r="E2786" s="33">
        <f>IF(B2786="","",IFERROR(INDEX(Productos!$B$2:$B$501,MATCH(B2786,Productos!$A$2:$A$501,0)),"¿Código?"))</f>
        <v/>
      </c>
      <c r="F2786" s="32">
        <f>IF(C2786&lt;&gt;"Venta","",D2786*IFERROR(INDEX(Productos!$D$2:$D$501,MATCH(B2786,Productos!$A$2:$A$501,0)),0))</f>
        <v/>
      </c>
      <c r="G2786" s="32">
        <f>IF(C2786&lt;&gt;"Venta","",D2786*IFERROR(INDEX(Productos!$E$2:$E$501,MATCH(B2786,Productos!$A$2:$A$501,0)),0))</f>
        <v/>
      </c>
      <c r="H2786" s="33">
        <f>IF(A2786="","",MONTH(A2786))</f>
        <v/>
      </c>
      <c r="I2786" s="33">
        <f>IF(A2786="","",YEAR(A2786))</f>
        <v/>
      </c>
    </row>
    <row r="2787" ht="15" customHeight="1" s="21">
      <c r="A2787" s="34" t="n"/>
      <c r="B2787" s="30" t="n"/>
      <c r="C2787" s="30" t="n"/>
      <c r="D2787" s="30" t="n"/>
      <c r="E2787" s="33">
        <f>IF(B2787="","",IFERROR(INDEX(Productos!$B$2:$B$501,MATCH(B2787,Productos!$A$2:$A$501,0)),"¿Código?"))</f>
        <v/>
      </c>
      <c r="F2787" s="32">
        <f>IF(C2787&lt;&gt;"Venta","",D2787*IFERROR(INDEX(Productos!$D$2:$D$501,MATCH(B2787,Productos!$A$2:$A$501,0)),0))</f>
        <v/>
      </c>
      <c r="G2787" s="32">
        <f>IF(C2787&lt;&gt;"Venta","",D2787*IFERROR(INDEX(Productos!$E$2:$E$501,MATCH(B2787,Productos!$A$2:$A$501,0)),0))</f>
        <v/>
      </c>
      <c r="H2787" s="33">
        <f>IF(A2787="","",MONTH(A2787))</f>
        <v/>
      </c>
      <c r="I2787" s="33">
        <f>IF(A2787="","",YEAR(A2787))</f>
        <v/>
      </c>
    </row>
    <row r="2788" ht="15" customHeight="1" s="21">
      <c r="A2788" s="34" t="n"/>
      <c r="B2788" s="30" t="n"/>
      <c r="C2788" s="30" t="n"/>
      <c r="D2788" s="30" t="n"/>
      <c r="E2788" s="33">
        <f>IF(B2788="","",IFERROR(INDEX(Productos!$B$2:$B$501,MATCH(B2788,Productos!$A$2:$A$501,0)),"¿Código?"))</f>
        <v/>
      </c>
      <c r="F2788" s="32">
        <f>IF(C2788&lt;&gt;"Venta","",D2788*IFERROR(INDEX(Productos!$D$2:$D$501,MATCH(B2788,Productos!$A$2:$A$501,0)),0))</f>
        <v/>
      </c>
      <c r="G2788" s="32">
        <f>IF(C2788&lt;&gt;"Venta","",D2788*IFERROR(INDEX(Productos!$E$2:$E$501,MATCH(B2788,Productos!$A$2:$A$501,0)),0))</f>
        <v/>
      </c>
      <c r="H2788" s="33">
        <f>IF(A2788="","",MONTH(A2788))</f>
        <v/>
      </c>
      <c r="I2788" s="33">
        <f>IF(A2788="","",YEAR(A2788))</f>
        <v/>
      </c>
    </row>
    <row r="2789" ht="15" customHeight="1" s="21">
      <c r="A2789" s="34" t="n"/>
      <c r="B2789" s="30" t="n"/>
      <c r="C2789" s="30" t="n"/>
      <c r="D2789" s="30" t="n"/>
      <c r="E2789" s="33">
        <f>IF(B2789="","",IFERROR(INDEX(Productos!$B$2:$B$501,MATCH(B2789,Productos!$A$2:$A$501,0)),"¿Código?"))</f>
        <v/>
      </c>
      <c r="F2789" s="32">
        <f>IF(C2789&lt;&gt;"Venta","",D2789*IFERROR(INDEX(Productos!$D$2:$D$501,MATCH(B2789,Productos!$A$2:$A$501,0)),0))</f>
        <v/>
      </c>
      <c r="G2789" s="32">
        <f>IF(C2789&lt;&gt;"Venta","",D2789*IFERROR(INDEX(Productos!$E$2:$E$501,MATCH(B2789,Productos!$A$2:$A$501,0)),0))</f>
        <v/>
      </c>
      <c r="H2789" s="33">
        <f>IF(A2789="","",MONTH(A2789))</f>
        <v/>
      </c>
      <c r="I2789" s="33">
        <f>IF(A2789="","",YEAR(A2789))</f>
        <v/>
      </c>
    </row>
    <row r="2790" ht="15" customHeight="1" s="21">
      <c r="A2790" s="34" t="n"/>
      <c r="B2790" s="30" t="n"/>
      <c r="C2790" s="30" t="n"/>
      <c r="D2790" s="30" t="n"/>
      <c r="E2790" s="33">
        <f>IF(B2790="","",IFERROR(INDEX(Productos!$B$2:$B$501,MATCH(B2790,Productos!$A$2:$A$501,0)),"¿Código?"))</f>
        <v/>
      </c>
      <c r="F2790" s="32">
        <f>IF(C2790&lt;&gt;"Venta","",D2790*IFERROR(INDEX(Productos!$D$2:$D$501,MATCH(B2790,Productos!$A$2:$A$501,0)),0))</f>
        <v/>
      </c>
      <c r="G2790" s="32">
        <f>IF(C2790&lt;&gt;"Venta","",D2790*IFERROR(INDEX(Productos!$E$2:$E$501,MATCH(B2790,Productos!$A$2:$A$501,0)),0))</f>
        <v/>
      </c>
      <c r="H2790" s="33">
        <f>IF(A2790="","",MONTH(A2790))</f>
        <v/>
      </c>
      <c r="I2790" s="33">
        <f>IF(A2790="","",YEAR(A2790))</f>
        <v/>
      </c>
    </row>
    <row r="2791" ht="15" customHeight="1" s="21">
      <c r="A2791" s="34" t="n"/>
      <c r="B2791" s="30" t="n"/>
      <c r="C2791" s="30" t="n"/>
      <c r="D2791" s="30" t="n"/>
      <c r="E2791" s="33">
        <f>IF(B2791="","",IFERROR(INDEX(Productos!$B$2:$B$501,MATCH(B2791,Productos!$A$2:$A$501,0)),"¿Código?"))</f>
        <v/>
      </c>
      <c r="F2791" s="32">
        <f>IF(C2791&lt;&gt;"Venta","",D2791*IFERROR(INDEX(Productos!$D$2:$D$501,MATCH(B2791,Productos!$A$2:$A$501,0)),0))</f>
        <v/>
      </c>
      <c r="G2791" s="32">
        <f>IF(C2791&lt;&gt;"Venta","",D2791*IFERROR(INDEX(Productos!$E$2:$E$501,MATCH(B2791,Productos!$A$2:$A$501,0)),0))</f>
        <v/>
      </c>
      <c r="H2791" s="33">
        <f>IF(A2791="","",MONTH(A2791))</f>
        <v/>
      </c>
      <c r="I2791" s="33">
        <f>IF(A2791="","",YEAR(A2791))</f>
        <v/>
      </c>
    </row>
    <row r="2792" ht="15" customHeight="1" s="21">
      <c r="A2792" s="34" t="n"/>
      <c r="B2792" s="30" t="n"/>
      <c r="C2792" s="30" t="n"/>
      <c r="D2792" s="30" t="n"/>
      <c r="E2792" s="33">
        <f>IF(B2792="","",IFERROR(INDEX(Productos!$B$2:$B$501,MATCH(B2792,Productos!$A$2:$A$501,0)),"¿Código?"))</f>
        <v/>
      </c>
      <c r="F2792" s="32">
        <f>IF(C2792&lt;&gt;"Venta","",D2792*IFERROR(INDEX(Productos!$D$2:$D$501,MATCH(B2792,Productos!$A$2:$A$501,0)),0))</f>
        <v/>
      </c>
      <c r="G2792" s="32">
        <f>IF(C2792&lt;&gt;"Venta","",D2792*IFERROR(INDEX(Productos!$E$2:$E$501,MATCH(B2792,Productos!$A$2:$A$501,0)),0))</f>
        <v/>
      </c>
      <c r="H2792" s="33">
        <f>IF(A2792="","",MONTH(A2792))</f>
        <v/>
      </c>
      <c r="I2792" s="33">
        <f>IF(A2792="","",YEAR(A2792))</f>
        <v/>
      </c>
    </row>
    <row r="2793" ht="15" customHeight="1" s="21">
      <c r="A2793" s="34" t="n"/>
      <c r="B2793" s="30" t="n"/>
      <c r="C2793" s="30" t="n"/>
      <c r="D2793" s="30" t="n"/>
      <c r="E2793" s="33">
        <f>IF(B2793="","",IFERROR(INDEX(Productos!$B$2:$B$501,MATCH(B2793,Productos!$A$2:$A$501,0)),"¿Código?"))</f>
        <v/>
      </c>
      <c r="F2793" s="32">
        <f>IF(C2793&lt;&gt;"Venta","",D2793*IFERROR(INDEX(Productos!$D$2:$D$501,MATCH(B2793,Productos!$A$2:$A$501,0)),0))</f>
        <v/>
      </c>
      <c r="G2793" s="32">
        <f>IF(C2793&lt;&gt;"Venta","",D2793*IFERROR(INDEX(Productos!$E$2:$E$501,MATCH(B2793,Productos!$A$2:$A$501,0)),0))</f>
        <v/>
      </c>
      <c r="H2793" s="33">
        <f>IF(A2793="","",MONTH(A2793))</f>
        <v/>
      </c>
      <c r="I2793" s="33">
        <f>IF(A2793="","",YEAR(A2793))</f>
        <v/>
      </c>
    </row>
    <row r="2794" ht="15" customHeight="1" s="21">
      <c r="A2794" s="34" t="n"/>
      <c r="B2794" s="30" t="n"/>
      <c r="C2794" s="30" t="n"/>
      <c r="D2794" s="30" t="n"/>
      <c r="E2794" s="33">
        <f>IF(B2794="","",IFERROR(INDEX(Productos!$B$2:$B$501,MATCH(B2794,Productos!$A$2:$A$501,0)),"¿Código?"))</f>
        <v/>
      </c>
      <c r="F2794" s="32">
        <f>IF(C2794&lt;&gt;"Venta","",D2794*IFERROR(INDEX(Productos!$D$2:$D$501,MATCH(B2794,Productos!$A$2:$A$501,0)),0))</f>
        <v/>
      </c>
      <c r="G2794" s="32">
        <f>IF(C2794&lt;&gt;"Venta","",D2794*IFERROR(INDEX(Productos!$E$2:$E$501,MATCH(B2794,Productos!$A$2:$A$501,0)),0))</f>
        <v/>
      </c>
      <c r="H2794" s="33">
        <f>IF(A2794="","",MONTH(A2794))</f>
        <v/>
      </c>
      <c r="I2794" s="33">
        <f>IF(A2794="","",YEAR(A2794))</f>
        <v/>
      </c>
    </row>
    <row r="2795" ht="15" customHeight="1" s="21">
      <c r="A2795" s="34" t="n"/>
      <c r="B2795" s="30" t="n"/>
      <c r="C2795" s="30" t="n"/>
      <c r="D2795" s="30" t="n"/>
      <c r="E2795" s="33">
        <f>IF(B2795="","",IFERROR(INDEX(Productos!$B$2:$B$501,MATCH(B2795,Productos!$A$2:$A$501,0)),"¿Código?"))</f>
        <v/>
      </c>
      <c r="F2795" s="32">
        <f>IF(C2795&lt;&gt;"Venta","",D2795*IFERROR(INDEX(Productos!$D$2:$D$501,MATCH(B2795,Productos!$A$2:$A$501,0)),0))</f>
        <v/>
      </c>
      <c r="G2795" s="32">
        <f>IF(C2795&lt;&gt;"Venta","",D2795*IFERROR(INDEX(Productos!$E$2:$E$501,MATCH(B2795,Productos!$A$2:$A$501,0)),0))</f>
        <v/>
      </c>
      <c r="H2795" s="33">
        <f>IF(A2795="","",MONTH(A2795))</f>
        <v/>
      </c>
      <c r="I2795" s="33">
        <f>IF(A2795="","",YEAR(A2795))</f>
        <v/>
      </c>
    </row>
    <row r="2796" ht="15" customHeight="1" s="21">
      <c r="A2796" s="34" t="n"/>
      <c r="B2796" s="30" t="n"/>
      <c r="C2796" s="30" t="n"/>
      <c r="D2796" s="30" t="n"/>
      <c r="E2796" s="33">
        <f>IF(B2796="","",IFERROR(INDEX(Productos!$B$2:$B$501,MATCH(B2796,Productos!$A$2:$A$501,0)),"¿Código?"))</f>
        <v/>
      </c>
      <c r="F2796" s="32">
        <f>IF(C2796&lt;&gt;"Venta","",D2796*IFERROR(INDEX(Productos!$D$2:$D$501,MATCH(B2796,Productos!$A$2:$A$501,0)),0))</f>
        <v/>
      </c>
      <c r="G2796" s="32">
        <f>IF(C2796&lt;&gt;"Venta","",D2796*IFERROR(INDEX(Productos!$E$2:$E$501,MATCH(B2796,Productos!$A$2:$A$501,0)),0))</f>
        <v/>
      </c>
      <c r="H2796" s="33">
        <f>IF(A2796="","",MONTH(A2796))</f>
        <v/>
      </c>
      <c r="I2796" s="33">
        <f>IF(A2796="","",YEAR(A2796))</f>
        <v/>
      </c>
    </row>
    <row r="2797" ht="15" customHeight="1" s="21">
      <c r="A2797" s="34" t="n"/>
      <c r="B2797" s="30" t="n"/>
      <c r="C2797" s="30" t="n"/>
      <c r="D2797" s="30" t="n"/>
      <c r="E2797" s="33">
        <f>IF(B2797="","",IFERROR(INDEX(Productos!$B$2:$B$501,MATCH(B2797,Productos!$A$2:$A$501,0)),"¿Código?"))</f>
        <v/>
      </c>
      <c r="F2797" s="32">
        <f>IF(C2797&lt;&gt;"Venta","",D2797*IFERROR(INDEX(Productos!$D$2:$D$501,MATCH(B2797,Productos!$A$2:$A$501,0)),0))</f>
        <v/>
      </c>
      <c r="G2797" s="32">
        <f>IF(C2797&lt;&gt;"Venta","",D2797*IFERROR(INDEX(Productos!$E$2:$E$501,MATCH(B2797,Productos!$A$2:$A$501,0)),0))</f>
        <v/>
      </c>
      <c r="H2797" s="33">
        <f>IF(A2797="","",MONTH(A2797))</f>
        <v/>
      </c>
      <c r="I2797" s="33">
        <f>IF(A2797="","",YEAR(A2797))</f>
        <v/>
      </c>
    </row>
    <row r="2798" ht="15" customHeight="1" s="21">
      <c r="A2798" s="34" t="n"/>
      <c r="B2798" s="30" t="n"/>
      <c r="C2798" s="30" t="n"/>
      <c r="D2798" s="30" t="n"/>
      <c r="E2798" s="33">
        <f>IF(B2798="","",IFERROR(INDEX(Productos!$B$2:$B$501,MATCH(B2798,Productos!$A$2:$A$501,0)),"¿Código?"))</f>
        <v/>
      </c>
      <c r="F2798" s="32">
        <f>IF(C2798&lt;&gt;"Venta","",D2798*IFERROR(INDEX(Productos!$D$2:$D$501,MATCH(B2798,Productos!$A$2:$A$501,0)),0))</f>
        <v/>
      </c>
      <c r="G2798" s="32">
        <f>IF(C2798&lt;&gt;"Venta","",D2798*IFERROR(INDEX(Productos!$E$2:$E$501,MATCH(B2798,Productos!$A$2:$A$501,0)),0))</f>
        <v/>
      </c>
      <c r="H2798" s="33">
        <f>IF(A2798="","",MONTH(A2798))</f>
        <v/>
      </c>
      <c r="I2798" s="33">
        <f>IF(A2798="","",YEAR(A2798))</f>
        <v/>
      </c>
    </row>
    <row r="2799" ht="15" customHeight="1" s="21">
      <c r="A2799" s="34" t="n"/>
      <c r="B2799" s="30" t="n"/>
      <c r="C2799" s="30" t="n"/>
      <c r="D2799" s="30" t="n"/>
      <c r="E2799" s="33">
        <f>IF(B2799="","",IFERROR(INDEX(Productos!$B$2:$B$501,MATCH(B2799,Productos!$A$2:$A$501,0)),"¿Código?"))</f>
        <v/>
      </c>
      <c r="F2799" s="32">
        <f>IF(C2799&lt;&gt;"Venta","",D2799*IFERROR(INDEX(Productos!$D$2:$D$501,MATCH(B2799,Productos!$A$2:$A$501,0)),0))</f>
        <v/>
      </c>
      <c r="G2799" s="32">
        <f>IF(C2799&lt;&gt;"Venta","",D2799*IFERROR(INDEX(Productos!$E$2:$E$501,MATCH(B2799,Productos!$A$2:$A$501,0)),0))</f>
        <v/>
      </c>
      <c r="H2799" s="33">
        <f>IF(A2799="","",MONTH(A2799))</f>
        <v/>
      </c>
      <c r="I2799" s="33">
        <f>IF(A2799="","",YEAR(A2799))</f>
        <v/>
      </c>
    </row>
    <row r="2800" ht="15" customHeight="1" s="21">
      <c r="A2800" s="34" t="n"/>
      <c r="B2800" s="30" t="n"/>
      <c r="C2800" s="30" t="n"/>
      <c r="D2800" s="30" t="n"/>
      <c r="E2800" s="33">
        <f>IF(B2800="","",IFERROR(INDEX(Productos!$B$2:$B$501,MATCH(B2800,Productos!$A$2:$A$501,0)),"¿Código?"))</f>
        <v/>
      </c>
      <c r="F2800" s="32">
        <f>IF(C2800&lt;&gt;"Venta","",D2800*IFERROR(INDEX(Productos!$D$2:$D$501,MATCH(B2800,Productos!$A$2:$A$501,0)),0))</f>
        <v/>
      </c>
      <c r="G2800" s="32">
        <f>IF(C2800&lt;&gt;"Venta","",D2800*IFERROR(INDEX(Productos!$E$2:$E$501,MATCH(B2800,Productos!$A$2:$A$501,0)),0))</f>
        <v/>
      </c>
      <c r="H2800" s="33">
        <f>IF(A2800="","",MONTH(A2800))</f>
        <v/>
      </c>
      <c r="I2800" s="33">
        <f>IF(A2800="","",YEAR(A2800))</f>
        <v/>
      </c>
    </row>
    <row r="2801" ht="15" customHeight="1" s="21">
      <c r="A2801" s="34" t="n"/>
      <c r="B2801" s="30" t="n"/>
      <c r="C2801" s="30" t="n"/>
      <c r="D2801" s="30" t="n"/>
      <c r="E2801" s="33">
        <f>IF(B2801="","",IFERROR(INDEX(Productos!$B$2:$B$501,MATCH(B2801,Productos!$A$2:$A$501,0)),"¿Código?"))</f>
        <v/>
      </c>
      <c r="F2801" s="32">
        <f>IF(C2801&lt;&gt;"Venta","",D2801*IFERROR(INDEX(Productos!$D$2:$D$501,MATCH(B2801,Productos!$A$2:$A$501,0)),0))</f>
        <v/>
      </c>
      <c r="G2801" s="32">
        <f>IF(C2801&lt;&gt;"Venta","",D2801*IFERROR(INDEX(Productos!$E$2:$E$501,MATCH(B2801,Productos!$A$2:$A$501,0)),0))</f>
        <v/>
      </c>
      <c r="H2801" s="33">
        <f>IF(A2801="","",MONTH(A2801))</f>
        <v/>
      </c>
      <c r="I2801" s="33">
        <f>IF(A2801="","",YEAR(A2801))</f>
        <v/>
      </c>
    </row>
    <row r="2802" ht="15" customHeight="1" s="21">
      <c r="A2802" s="34" t="n"/>
      <c r="B2802" s="30" t="n"/>
      <c r="C2802" s="30" t="n"/>
      <c r="D2802" s="30" t="n"/>
      <c r="E2802" s="33">
        <f>IF(B2802="","",IFERROR(INDEX(Productos!$B$2:$B$501,MATCH(B2802,Productos!$A$2:$A$501,0)),"¿Código?"))</f>
        <v/>
      </c>
      <c r="F2802" s="32">
        <f>IF(C2802&lt;&gt;"Venta","",D2802*IFERROR(INDEX(Productos!$D$2:$D$501,MATCH(B2802,Productos!$A$2:$A$501,0)),0))</f>
        <v/>
      </c>
      <c r="G2802" s="32">
        <f>IF(C2802&lt;&gt;"Venta","",D2802*IFERROR(INDEX(Productos!$E$2:$E$501,MATCH(B2802,Productos!$A$2:$A$501,0)),0))</f>
        <v/>
      </c>
      <c r="H2802" s="33">
        <f>IF(A2802="","",MONTH(A2802))</f>
        <v/>
      </c>
      <c r="I2802" s="33">
        <f>IF(A2802="","",YEAR(A2802))</f>
        <v/>
      </c>
    </row>
    <row r="2803" ht="15" customHeight="1" s="21">
      <c r="A2803" s="34" t="n"/>
      <c r="B2803" s="30" t="n"/>
      <c r="C2803" s="30" t="n"/>
      <c r="D2803" s="30" t="n"/>
      <c r="E2803" s="33">
        <f>IF(B2803="","",IFERROR(INDEX(Productos!$B$2:$B$501,MATCH(B2803,Productos!$A$2:$A$501,0)),"¿Código?"))</f>
        <v/>
      </c>
      <c r="F2803" s="32">
        <f>IF(C2803&lt;&gt;"Venta","",D2803*IFERROR(INDEX(Productos!$D$2:$D$501,MATCH(B2803,Productos!$A$2:$A$501,0)),0))</f>
        <v/>
      </c>
      <c r="G2803" s="32">
        <f>IF(C2803&lt;&gt;"Venta","",D2803*IFERROR(INDEX(Productos!$E$2:$E$501,MATCH(B2803,Productos!$A$2:$A$501,0)),0))</f>
        <v/>
      </c>
      <c r="H2803" s="33">
        <f>IF(A2803="","",MONTH(A2803))</f>
        <v/>
      </c>
      <c r="I2803" s="33">
        <f>IF(A2803="","",YEAR(A2803))</f>
        <v/>
      </c>
    </row>
    <row r="2804" ht="15" customHeight="1" s="21">
      <c r="A2804" s="34" t="n"/>
      <c r="B2804" s="30" t="n"/>
      <c r="C2804" s="30" t="n"/>
      <c r="D2804" s="30" t="n"/>
      <c r="E2804" s="33">
        <f>IF(B2804="","",IFERROR(INDEX(Productos!$B$2:$B$501,MATCH(B2804,Productos!$A$2:$A$501,0)),"¿Código?"))</f>
        <v/>
      </c>
      <c r="F2804" s="32">
        <f>IF(C2804&lt;&gt;"Venta","",D2804*IFERROR(INDEX(Productos!$D$2:$D$501,MATCH(B2804,Productos!$A$2:$A$501,0)),0))</f>
        <v/>
      </c>
      <c r="G2804" s="32">
        <f>IF(C2804&lt;&gt;"Venta","",D2804*IFERROR(INDEX(Productos!$E$2:$E$501,MATCH(B2804,Productos!$A$2:$A$501,0)),0))</f>
        <v/>
      </c>
      <c r="H2804" s="33">
        <f>IF(A2804="","",MONTH(A2804))</f>
        <v/>
      </c>
      <c r="I2804" s="33">
        <f>IF(A2804="","",YEAR(A2804))</f>
        <v/>
      </c>
    </row>
    <row r="2805" ht="15" customHeight="1" s="21">
      <c r="A2805" s="34" t="n"/>
      <c r="B2805" s="30" t="n"/>
      <c r="C2805" s="30" t="n"/>
      <c r="D2805" s="30" t="n"/>
      <c r="E2805" s="33">
        <f>IF(B2805="","",IFERROR(INDEX(Productos!$B$2:$B$501,MATCH(B2805,Productos!$A$2:$A$501,0)),"¿Código?"))</f>
        <v/>
      </c>
      <c r="F2805" s="32">
        <f>IF(C2805&lt;&gt;"Venta","",D2805*IFERROR(INDEX(Productos!$D$2:$D$501,MATCH(B2805,Productos!$A$2:$A$501,0)),0))</f>
        <v/>
      </c>
      <c r="G2805" s="32">
        <f>IF(C2805&lt;&gt;"Venta","",D2805*IFERROR(INDEX(Productos!$E$2:$E$501,MATCH(B2805,Productos!$A$2:$A$501,0)),0))</f>
        <v/>
      </c>
      <c r="H2805" s="33">
        <f>IF(A2805="","",MONTH(A2805))</f>
        <v/>
      </c>
      <c r="I2805" s="33">
        <f>IF(A2805="","",YEAR(A2805))</f>
        <v/>
      </c>
    </row>
    <row r="2806" ht="15" customHeight="1" s="21">
      <c r="A2806" s="34" t="n"/>
      <c r="B2806" s="30" t="n"/>
      <c r="C2806" s="30" t="n"/>
      <c r="D2806" s="30" t="n"/>
      <c r="E2806" s="33">
        <f>IF(B2806="","",IFERROR(INDEX(Productos!$B$2:$B$501,MATCH(B2806,Productos!$A$2:$A$501,0)),"¿Código?"))</f>
        <v/>
      </c>
      <c r="F2806" s="32">
        <f>IF(C2806&lt;&gt;"Venta","",D2806*IFERROR(INDEX(Productos!$D$2:$D$501,MATCH(B2806,Productos!$A$2:$A$501,0)),0))</f>
        <v/>
      </c>
      <c r="G2806" s="32">
        <f>IF(C2806&lt;&gt;"Venta","",D2806*IFERROR(INDEX(Productos!$E$2:$E$501,MATCH(B2806,Productos!$A$2:$A$501,0)),0))</f>
        <v/>
      </c>
      <c r="H2806" s="33">
        <f>IF(A2806="","",MONTH(A2806))</f>
        <v/>
      </c>
      <c r="I2806" s="33">
        <f>IF(A2806="","",YEAR(A2806))</f>
        <v/>
      </c>
    </row>
    <row r="2807" ht="15" customHeight="1" s="21">
      <c r="A2807" s="34" t="n"/>
      <c r="B2807" s="30" t="n"/>
      <c r="C2807" s="30" t="n"/>
      <c r="D2807" s="30" t="n"/>
      <c r="E2807" s="33">
        <f>IF(B2807="","",IFERROR(INDEX(Productos!$B$2:$B$501,MATCH(B2807,Productos!$A$2:$A$501,0)),"¿Código?"))</f>
        <v/>
      </c>
      <c r="F2807" s="32">
        <f>IF(C2807&lt;&gt;"Venta","",D2807*IFERROR(INDEX(Productos!$D$2:$D$501,MATCH(B2807,Productos!$A$2:$A$501,0)),0))</f>
        <v/>
      </c>
      <c r="G2807" s="32">
        <f>IF(C2807&lt;&gt;"Venta","",D2807*IFERROR(INDEX(Productos!$E$2:$E$501,MATCH(B2807,Productos!$A$2:$A$501,0)),0))</f>
        <v/>
      </c>
      <c r="H2807" s="33">
        <f>IF(A2807="","",MONTH(A2807))</f>
        <v/>
      </c>
      <c r="I2807" s="33">
        <f>IF(A2807="","",YEAR(A2807))</f>
        <v/>
      </c>
    </row>
    <row r="2808" ht="15" customHeight="1" s="21">
      <c r="A2808" s="34" t="n"/>
      <c r="B2808" s="30" t="n"/>
      <c r="C2808" s="30" t="n"/>
      <c r="D2808" s="30" t="n"/>
      <c r="E2808" s="33">
        <f>IF(B2808="","",IFERROR(INDEX(Productos!$B$2:$B$501,MATCH(B2808,Productos!$A$2:$A$501,0)),"¿Código?"))</f>
        <v/>
      </c>
      <c r="F2808" s="32">
        <f>IF(C2808&lt;&gt;"Venta","",D2808*IFERROR(INDEX(Productos!$D$2:$D$501,MATCH(B2808,Productos!$A$2:$A$501,0)),0))</f>
        <v/>
      </c>
      <c r="G2808" s="32">
        <f>IF(C2808&lt;&gt;"Venta","",D2808*IFERROR(INDEX(Productos!$E$2:$E$501,MATCH(B2808,Productos!$A$2:$A$501,0)),0))</f>
        <v/>
      </c>
      <c r="H2808" s="33">
        <f>IF(A2808="","",MONTH(A2808))</f>
        <v/>
      </c>
      <c r="I2808" s="33">
        <f>IF(A2808="","",YEAR(A2808))</f>
        <v/>
      </c>
    </row>
    <row r="2809" ht="15" customHeight="1" s="21">
      <c r="A2809" s="34" t="n"/>
      <c r="B2809" s="30" t="n"/>
      <c r="C2809" s="30" t="n"/>
      <c r="D2809" s="30" t="n"/>
      <c r="E2809" s="33">
        <f>IF(B2809="","",IFERROR(INDEX(Productos!$B$2:$B$501,MATCH(B2809,Productos!$A$2:$A$501,0)),"¿Código?"))</f>
        <v/>
      </c>
      <c r="F2809" s="32">
        <f>IF(C2809&lt;&gt;"Venta","",D2809*IFERROR(INDEX(Productos!$D$2:$D$501,MATCH(B2809,Productos!$A$2:$A$501,0)),0))</f>
        <v/>
      </c>
      <c r="G2809" s="32">
        <f>IF(C2809&lt;&gt;"Venta","",D2809*IFERROR(INDEX(Productos!$E$2:$E$501,MATCH(B2809,Productos!$A$2:$A$501,0)),0))</f>
        <v/>
      </c>
      <c r="H2809" s="33">
        <f>IF(A2809="","",MONTH(A2809))</f>
        <v/>
      </c>
      <c r="I2809" s="33">
        <f>IF(A2809="","",YEAR(A2809))</f>
        <v/>
      </c>
    </row>
    <row r="2810" ht="15" customHeight="1" s="21">
      <c r="A2810" s="34" t="n"/>
      <c r="B2810" s="30" t="n"/>
      <c r="C2810" s="30" t="n"/>
      <c r="D2810" s="30" t="n"/>
      <c r="E2810" s="33">
        <f>IF(B2810="","",IFERROR(INDEX(Productos!$B$2:$B$501,MATCH(B2810,Productos!$A$2:$A$501,0)),"¿Código?"))</f>
        <v/>
      </c>
      <c r="F2810" s="32">
        <f>IF(C2810&lt;&gt;"Venta","",D2810*IFERROR(INDEX(Productos!$D$2:$D$501,MATCH(B2810,Productos!$A$2:$A$501,0)),0))</f>
        <v/>
      </c>
      <c r="G2810" s="32">
        <f>IF(C2810&lt;&gt;"Venta","",D2810*IFERROR(INDEX(Productos!$E$2:$E$501,MATCH(B2810,Productos!$A$2:$A$501,0)),0))</f>
        <v/>
      </c>
      <c r="H2810" s="33">
        <f>IF(A2810="","",MONTH(A2810))</f>
        <v/>
      </c>
      <c r="I2810" s="33">
        <f>IF(A2810="","",YEAR(A2810))</f>
        <v/>
      </c>
    </row>
    <row r="2811" ht="15" customHeight="1" s="21">
      <c r="A2811" s="34" t="n"/>
      <c r="B2811" s="30" t="n"/>
      <c r="C2811" s="30" t="n"/>
      <c r="D2811" s="30" t="n"/>
      <c r="E2811" s="33">
        <f>IF(B2811="","",IFERROR(INDEX(Productos!$B$2:$B$501,MATCH(B2811,Productos!$A$2:$A$501,0)),"¿Código?"))</f>
        <v/>
      </c>
      <c r="F2811" s="32">
        <f>IF(C2811&lt;&gt;"Venta","",D2811*IFERROR(INDEX(Productos!$D$2:$D$501,MATCH(B2811,Productos!$A$2:$A$501,0)),0))</f>
        <v/>
      </c>
      <c r="G2811" s="32">
        <f>IF(C2811&lt;&gt;"Venta","",D2811*IFERROR(INDEX(Productos!$E$2:$E$501,MATCH(B2811,Productos!$A$2:$A$501,0)),0))</f>
        <v/>
      </c>
      <c r="H2811" s="33">
        <f>IF(A2811="","",MONTH(A2811))</f>
        <v/>
      </c>
      <c r="I2811" s="33">
        <f>IF(A2811="","",YEAR(A2811))</f>
        <v/>
      </c>
    </row>
    <row r="2812" ht="15" customHeight="1" s="21">
      <c r="A2812" s="34" t="n"/>
      <c r="B2812" s="30" t="n"/>
      <c r="C2812" s="30" t="n"/>
      <c r="D2812" s="30" t="n"/>
      <c r="E2812" s="33">
        <f>IF(B2812="","",IFERROR(INDEX(Productos!$B$2:$B$501,MATCH(B2812,Productos!$A$2:$A$501,0)),"¿Código?"))</f>
        <v/>
      </c>
      <c r="F2812" s="32">
        <f>IF(C2812&lt;&gt;"Venta","",D2812*IFERROR(INDEX(Productos!$D$2:$D$501,MATCH(B2812,Productos!$A$2:$A$501,0)),0))</f>
        <v/>
      </c>
      <c r="G2812" s="32">
        <f>IF(C2812&lt;&gt;"Venta","",D2812*IFERROR(INDEX(Productos!$E$2:$E$501,MATCH(B2812,Productos!$A$2:$A$501,0)),0))</f>
        <v/>
      </c>
      <c r="H2812" s="33">
        <f>IF(A2812="","",MONTH(A2812))</f>
        <v/>
      </c>
      <c r="I2812" s="33">
        <f>IF(A2812="","",YEAR(A2812))</f>
        <v/>
      </c>
    </row>
    <row r="2813" ht="15" customHeight="1" s="21">
      <c r="A2813" s="34" t="n"/>
      <c r="B2813" s="30" t="n"/>
      <c r="C2813" s="30" t="n"/>
      <c r="D2813" s="30" t="n"/>
      <c r="E2813" s="33">
        <f>IF(B2813="","",IFERROR(INDEX(Productos!$B$2:$B$501,MATCH(B2813,Productos!$A$2:$A$501,0)),"¿Código?"))</f>
        <v/>
      </c>
      <c r="F2813" s="32">
        <f>IF(C2813&lt;&gt;"Venta","",D2813*IFERROR(INDEX(Productos!$D$2:$D$501,MATCH(B2813,Productos!$A$2:$A$501,0)),0))</f>
        <v/>
      </c>
      <c r="G2813" s="32">
        <f>IF(C2813&lt;&gt;"Venta","",D2813*IFERROR(INDEX(Productos!$E$2:$E$501,MATCH(B2813,Productos!$A$2:$A$501,0)),0))</f>
        <v/>
      </c>
      <c r="H2813" s="33">
        <f>IF(A2813="","",MONTH(A2813))</f>
        <v/>
      </c>
      <c r="I2813" s="33">
        <f>IF(A2813="","",YEAR(A2813))</f>
        <v/>
      </c>
    </row>
    <row r="2814" ht="15" customHeight="1" s="21">
      <c r="A2814" s="34" t="n"/>
      <c r="B2814" s="30" t="n"/>
      <c r="C2814" s="30" t="n"/>
      <c r="D2814" s="30" t="n"/>
      <c r="E2814" s="33">
        <f>IF(B2814="","",IFERROR(INDEX(Productos!$B$2:$B$501,MATCH(B2814,Productos!$A$2:$A$501,0)),"¿Código?"))</f>
        <v/>
      </c>
      <c r="F2814" s="32">
        <f>IF(C2814&lt;&gt;"Venta","",D2814*IFERROR(INDEX(Productos!$D$2:$D$501,MATCH(B2814,Productos!$A$2:$A$501,0)),0))</f>
        <v/>
      </c>
      <c r="G2814" s="32">
        <f>IF(C2814&lt;&gt;"Venta","",D2814*IFERROR(INDEX(Productos!$E$2:$E$501,MATCH(B2814,Productos!$A$2:$A$501,0)),0))</f>
        <v/>
      </c>
      <c r="H2814" s="33">
        <f>IF(A2814="","",MONTH(A2814))</f>
        <v/>
      </c>
      <c r="I2814" s="33">
        <f>IF(A2814="","",YEAR(A2814))</f>
        <v/>
      </c>
    </row>
    <row r="2815" ht="15" customHeight="1" s="21">
      <c r="A2815" s="34" t="n"/>
      <c r="B2815" s="30" t="n"/>
      <c r="C2815" s="30" t="n"/>
      <c r="D2815" s="30" t="n"/>
      <c r="E2815" s="33">
        <f>IF(B2815="","",IFERROR(INDEX(Productos!$B$2:$B$501,MATCH(B2815,Productos!$A$2:$A$501,0)),"¿Código?"))</f>
        <v/>
      </c>
      <c r="F2815" s="32">
        <f>IF(C2815&lt;&gt;"Venta","",D2815*IFERROR(INDEX(Productos!$D$2:$D$501,MATCH(B2815,Productos!$A$2:$A$501,0)),0))</f>
        <v/>
      </c>
      <c r="G2815" s="32">
        <f>IF(C2815&lt;&gt;"Venta","",D2815*IFERROR(INDEX(Productos!$E$2:$E$501,MATCH(B2815,Productos!$A$2:$A$501,0)),0))</f>
        <v/>
      </c>
      <c r="H2815" s="33">
        <f>IF(A2815="","",MONTH(A2815))</f>
        <v/>
      </c>
      <c r="I2815" s="33">
        <f>IF(A2815="","",YEAR(A2815))</f>
        <v/>
      </c>
    </row>
    <row r="2816" ht="15" customHeight="1" s="21">
      <c r="A2816" s="34" t="n"/>
      <c r="B2816" s="30" t="n"/>
      <c r="C2816" s="30" t="n"/>
      <c r="D2816" s="30" t="n"/>
      <c r="E2816" s="33">
        <f>IF(B2816="","",IFERROR(INDEX(Productos!$B$2:$B$501,MATCH(B2816,Productos!$A$2:$A$501,0)),"¿Código?"))</f>
        <v/>
      </c>
      <c r="F2816" s="32">
        <f>IF(C2816&lt;&gt;"Venta","",D2816*IFERROR(INDEX(Productos!$D$2:$D$501,MATCH(B2816,Productos!$A$2:$A$501,0)),0))</f>
        <v/>
      </c>
      <c r="G2816" s="32">
        <f>IF(C2816&lt;&gt;"Venta","",D2816*IFERROR(INDEX(Productos!$E$2:$E$501,MATCH(B2816,Productos!$A$2:$A$501,0)),0))</f>
        <v/>
      </c>
      <c r="H2816" s="33">
        <f>IF(A2816="","",MONTH(A2816))</f>
        <v/>
      </c>
      <c r="I2816" s="33">
        <f>IF(A2816="","",YEAR(A2816))</f>
        <v/>
      </c>
    </row>
    <row r="2817" ht="15" customHeight="1" s="21">
      <c r="A2817" s="34" t="n"/>
      <c r="B2817" s="30" t="n"/>
      <c r="C2817" s="30" t="n"/>
      <c r="D2817" s="30" t="n"/>
      <c r="E2817" s="33">
        <f>IF(B2817="","",IFERROR(INDEX(Productos!$B$2:$B$501,MATCH(B2817,Productos!$A$2:$A$501,0)),"¿Código?"))</f>
        <v/>
      </c>
      <c r="F2817" s="32">
        <f>IF(C2817&lt;&gt;"Venta","",D2817*IFERROR(INDEX(Productos!$D$2:$D$501,MATCH(B2817,Productos!$A$2:$A$501,0)),0))</f>
        <v/>
      </c>
      <c r="G2817" s="32">
        <f>IF(C2817&lt;&gt;"Venta","",D2817*IFERROR(INDEX(Productos!$E$2:$E$501,MATCH(B2817,Productos!$A$2:$A$501,0)),0))</f>
        <v/>
      </c>
      <c r="H2817" s="33">
        <f>IF(A2817="","",MONTH(A2817))</f>
        <v/>
      </c>
      <c r="I2817" s="33">
        <f>IF(A2817="","",YEAR(A2817))</f>
        <v/>
      </c>
    </row>
    <row r="2818" ht="15" customHeight="1" s="21">
      <c r="A2818" s="34" t="n"/>
      <c r="B2818" s="30" t="n"/>
      <c r="C2818" s="30" t="n"/>
      <c r="D2818" s="30" t="n"/>
      <c r="E2818" s="33">
        <f>IF(B2818="","",IFERROR(INDEX(Productos!$B$2:$B$501,MATCH(B2818,Productos!$A$2:$A$501,0)),"¿Código?"))</f>
        <v/>
      </c>
      <c r="F2818" s="32">
        <f>IF(C2818&lt;&gt;"Venta","",D2818*IFERROR(INDEX(Productos!$D$2:$D$501,MATCH(B2818,Productos!$A$2:$A$501,0)),0))</f>
        <v/>
      </c>
      <c r="G2818" s="32">
        <f>IF(C2818&lt;&gt;"Venta","",D2818*IFERROR(INDEX(Productos!$E$2:$E$501,MATCH(B2818,Productos!$A$2:$A$501,0)),0))</f>
        <v/>
      </c>
      <c r="H2818" s="33">
        <f>IF(A2818="","",MONTH(A2818))</f>
        <v/>
      </c>
      <c r="I2818" s="33">
        <f>IF(A2818="","",YEAR(A2818))</f>
        <v/>
      </c>
    </row>
    <row r="2819" ht="15" customHeight="1" s="21">
      <c r="A2819" s="34" t="n"/>
      <c r="B2819" s="30" t="n"/>
      <c r="C2819" s="30" t="n"/>
      <c r="D2819" s="30" t="n"/>
      <c r="E2819" s="33">
        <f>IF(B2819="","",IFERROR(INDEX(Productos!$B$2:$B$501,MATCH(B2819,Productos!$A$2:$A$501,0)),"¿Código?"))</f>
        <v/>
      </c>
      <c r="F2819" s="32">
        <f>IF(C2819&lt;&gt;"Venta","",D2819*IFERROR(INDEX(Productos!$D$2:$D$501,MATCH(B2819,Productos!$A$2:$A$501,0)),0))</f>
        <v/>
      </c>
      <c r="G2819" s="32">
        <f>IF(C2819&lt;&gt;"Venta","",D2819*IFERROR(INDEX(Productos!$E$2:$E$501,MATCH(B2819,Productos!$A$2:$A$501,0)),0))</f>
        <v/>
      </c>
      <c r="H2819" s="33">
        <f>IF(A2819="","",MONTH(A2819))</f>
        <v/>
      </c>
      <c r="I2819" s="33">
        <f>IF(A2819="","",YEAR(A2819))</f>
        <v/>
      </c>
    </row>
    <row r="2820" ht="15" customHeight="1" s="21">
      <c r="A2820" s="34" t="n"/>
      <c r="B2820" s="30" t="n"/>
      <c r="C2820" s="30" t="n"/>
      <c r="D2820" s="30" t="n"/>
      <c r="E2820" s="33">
        <f>IF(B2820="","",IFERROR(INDEX(Productos!$B$2:$B$501,MATCH(B2820,Productos!$A$2:$A$501,0)),"¿Código?"))</f>
        <v/>
      </c>
      <c r="F2820" s="32">
        <f>IF(C2820&lt;&gt;"Venta","",D2820*IFERROR(INDEX(Productos!$D$2:$D$501,MATCH(B2820,Productos!$A$2:$A$501,0)),0))</f>
        <v/>
      </c>
      <c r="G2820" s="32">
        <f>IF(C2820&lt;&gt;"Venta","",D2820*IFERROR(INDEX(Productos!$E$2:$E$501,MATCH(B2820,Productos!$A$2:$A$501,0)),0))</f>
        <v/>
      </c>
      <c r="H2820" s="33">
        <f>IF(A2820="","",MONTH(A2820))</f>
        <v/>
      </c>
      <c r="I2820" s="33">
        <f>IF(A2820="","",YEAR(A2820))</f>
        <v/>
      </c>
    </row>
    <row r="2821" ht="15" customHeight="1" s="21">
      <c r="A2821" s="34" t="n"/>
      <c r="B2821" s="30" t="n"/>
      <c r="C2821" s="30" t="n"/>
      <c r="D2821" s="30" t="n"/>
      <c r="E2821" s="33">
        <f>IF(B2821="","",IFERROR(INDEX(Productos!$B$2:$B$501,MATCH(B2821,Productos!$A$2:$A$501,0)),"¿Código?"))</f>
        <v/>
      </c>
      <c r="F2821" s="32">
        <f>IF(C2821&lt;&gt;"Venta","",D2821*IFERROR(INDEX(Productos!$D$2:$D$501,MATCH(B2821,Productos!$A$2:$A$501,0)),0))</f>
        <v/>
      </c>
      <c r="G2821" s="32">
        <f>IF(C2821&lt;&gt;"Venta","",D2821*IFERROR(INDEX(Productos!$E$2:$E$501,MATCH(B2821,Productos!$A$2:$A$501,0)),0))</f>
        <v/>
      </c>
      <c r="H2821" s="33">
        <f>IF(A2821="","",MONTH(A2821))</f>
        <v/>
      </c>
      <c r="I2821" s="33">
        <f>IF(A2821="","",YEAR(A2821))</f>
        <v/>
      </c>
    </row>
    <row r="2822" ht="15" customHeight="1" s="21">
      <c r="A2822" s="34" t="n"/>
      <c r="B2822" s="30" t="n"/>
      <c r="C2822" s="30" t="n"/>
      <c r="D2822" s="30" t="n"/>
      <c r="E2822" s="33">
        <f>IF(B2822="","",IFERROR(INDEX(Productos!$B$2:$B$501,MATCH(B2822,Productos!$A$2:$A$501,0)),"¿Código?"))</f>
        <v/>
      </c>
      <c r="F2822" s="32">
        <f>IF(C2822&lt;&gt;"Venta","",D2822*IFERROR(INDEX(Productos!$D$2:$D$501,MATCH(B2822,Productos!$A$2:$A$501,0)),0))</f>
        <v/>
      </c>
      <c r="G2822" s="32">
        <f>IF(C2822&lt;&gt;"Venta","",D2822*IFERROR(INDEX(Productos!$E$2:$E$501,MATCH(B2822,Productos!$A$2:$A$501,0)),0))</f>
        <v/>
      </c>
      <c r="H2822" s="33">
        <f>IF(A2822="","",MONTH(A2822))</f>
        <v/>
      </c>
      <c r="I2822" s="33">
        <f>IF(A2822="","",YEAR(A2822))</f>
        <v/>
      </c>
    </row>
    <row r="2823" ht="15" customHeight="1" s="21">
      <c r="A2823" s="34" t="n"/>
      <c r="B2823" s="30" t="n"/>
      <c r="C2823" s="30" t="n"/>
      <c r="D2823" s="30" t="n"/>
      <c r="E2823" s="33">
        <f>IF(B2823="","",IFERROR(INDEX(Productos!$B$2:$B$501,MATCH(B2823,Productos!$A$2:$A$501,0)),"¿Código?"))</f>
        <v/>
      </c>
      <c r="F2823" s="32">
        <f>IF(C2823&lt;&gt;"Venta","",D2823*IFERROR(INDEX(Productos!$D$2:$D$501,MATCH(B2823,Productos!$A$2:$A$501,0)),0))</f>
        <v/>
      </c>
      <c r="G2823" s="32">
        <f>IF(C2823&lt;&gt;"Venta","",D2823*IFERROR(INDEX(Productos!$E$2:$E$501,MATCH(B2823,Productos!$A$2:$A$501,0)),0))</f>
        <v/>
      </c>
      <c r="H2823" s="33">
        <f>IF(A2823="","",MONTH(A2823))</f>
        <v/>
      </c>
      <c r="I2823" s="33">
        <f>IF(A2823="","",YEAR(A2823))</f>
        <v/>
      </c>
    </row>
    <row r="2824" ht="15" customHeight="1" s="21">
      <c r="A2824" s="34" t="n"/>
      <c r="B2824" s="30" t="n"/>
      <c r="C2824" s="30" t="n"/>
      <c r="D2824" s="30" t="n"/>
      <c r="E2824" s="33">
        <f>IF(B2824="","",IFERROR(INDEX(Productos!$B$2:$B$501,MATCH(B2824,Productos!$A$2:$A$501,0)),"¿Código?"))</f>
        <v/>
      </c>
      <c r="F2824" s="32">
        <f>IF(C2824&lt;&gt;"Venta","",D2824*IFERROR(INDEX(Productos!$D$2:$D$501,MATCH(B2824,Productos!$A$2:$A$501,0)),0))</f>
        <v/>
      </c>
      <c r="G2824" s="32">
        <f>IF(C2824&lt;&gt;"Venta","",D2824*IFERROR(INDEX(Productos!$E$2:$E$501,MATCH(B2824,Productos!$A$2:$A$501,0)),0))</f>
        <v/>
      </c>
      <c r="H2824" s="33">
        <f>IF(A2824="","",MONTH(A2824))</f>
        <v/>
      </c>
      <c r="I2824" s="33">
        <f>IF(A2824="","",YEAR(A2824))</f>
        <v/>
      </c>
    </row>
    <row r="2825" ht="15" customHeight="1" s="21">
      <c r="A2825" s="34" t="n"/>
      <c r="B2825" s="30" t="n"/>
      <c r="C2825" s="30" t="n"/>
      <c r="D2825" s="30" t="n"/>
      <c r="E2825" s="33">
        <f>IF(B2825="","",IFERROR(INDEX(Productos!$B$2:$B$501,MATCH(B2825,Productos!$A$2:$A$501,0)),"¿Código?"))</f>
        <v/>
      </c>
      <c r="F2825" s="32">
        <f>IF(C2825&lt;&gt;"Venta","",D2825*IFERROR(INDEX(Productos!$D$2:$D$501,MATCH(B2825,Productos!$A$2:$A$501,0)),0))</f>
        <v/>
      </c>
      <c r="G2825" s="32">
        <f>IF(C2825&lt;&gt;"Venta","",D2825*IFERROR(INDEX(Productos!$E$2:$E$501,MATCH(B2825,Productos!$A$2:$A$501,0)),0))</f>
        <v/>
      </c>
      <c r="H2825" s="33">
        <f>IF(A2825="","",MONTH(A2825))</f>
        <v/>
      </c>
      <c r="I2825" s="33">
        <f>IF(A2825="","",YEAR(A2825))</f>
        <v/>
      </c>
    </row>
    <row r="2826" ht="15" customHeight="1" s="21">
      <c r="A2826" s="34" t="n"/>
      <c r="B2826" s="30" t="n"/>
      <c r="C2826" s="30" t="n"/>
      <c r="D2826" s="30" t="n"/>
      <c r="E2826" s="33">
        <f>IF(B2826="","",IFERROR(INDEX(Productos!$B$2:$B$501,MATCH(B2826,Productos!$A$2:$A$501,0)),"¿Código?"))</f>
        <v/>
      </c>
      <c r="F2826" s="32">
        <f>IF(C2826&lt;&gt;"Venta","",D2826*IFERROR(INDEX(Productos!$D$2:$D$501,MATCH(B2826,Productos!$A$2:$A$501,0)),0))</f>
        <v/>
      </c>
      <c r="G2826" s="32">
        <f>IF(C2826&lt;&gt;"Venta","",D2826*IFERROR(INDEX(Productos!$E$2:$E$501,MATCH(B2826,Productos!$A$2:$A$501,0)),0))</f>
        <v/>
      </c>
      <c r="H2826" s="33">
        <f>IF(A2826="","",MONTH(A2826))</f>
        <v/>
      </c>
      <c r="I2826" s="33">
        <f>IF(A2826="","",YEAR(A2826))</f>
        <v/>
      </c>
    </row>
    <row r="2827" ht="15" customHeight="1" s="21">
      <c r="A2827" s="34" t="n"/>
      <c r="B2827" s="30" t="n"/>
      <c r="C2827" s="30" t="n"/>
      <c r="D2827" s="30" t="n"/>
      <c r="E2827" s="33">
        <f>IF(B2827="","",IFERROR(INDEX(Productos!$B$2:$B$501,MATCH(B2827,Productos!$A$2:$A$501,0)),"¿Código?"))</f>
        <v/>
      </c>
      <c r="F2827" s="32">
        <f>IF(C2827&lt;&gt;"Venta","",D2827*IFERROR(INDEX(Productos!$D$2:$D$501,MATCH(B2827,Productos!$A$2:$A$501,0)),0))</f>
        <v/>
      </c>
      <c r="G2827" s="32">
        <f>IF(C2827&lt;&gt;"Venta","",D2827*IFERROR(INDEX(Productos!$E$2:$E$501,MATCH(B2827,Productos!$A$2:$A$501,0)),0))</f>
        <v/>
      </c>
      <c r="H2827" s="33">
        <f>IF(A2827="","",MONTH(A2827))</f>
        <v/>
      </c>
      <c r="I2827" s="33">
        <f>IF(A2827="","",YEAR(A2827))</f>
        <v/>
      </c>
    </row>
    <row r="2828" ht="15" customHeight="1" s="21">
      <c r="A2828" s="34" t="n"/>
      <c r="B2828" s="30" t="n"/>
      <c r="C2828" s="30" t="n"/>
      <c r="D2828" s="30" t="n"/>
      <c r="E2828" s="33">
        <f>IF(B2828="","",IFERROR(INDEX(Productos!$B$2:$B$501,MATCH(B2828,Productos!$A$2:$A$501,0)),"¿Código?"))</f>
        <v/>
      </c>
      <c r="F2828" s="32">
        <f>IF(C2828&lt;&gt;"Venta","",D2828*IFERROR(INDEX(Productos!$D$2:$D$501,MATCH(B2828,Productos!$A$2:$A$501,0)),0))</f>
        <v/>
      </c>
      <c r="G2828" s="32">
        <f>IF(C2828&lt;&gt;"Venta","",D2828*IFERROR(INDEX(Productos!$E$2:$E$501,MATCH(B2828,Productos!$A$2:$A$501,0)),0))</f>
        <v/>
      </c>
      <c r="H2828" s="33">
        <f>IF(A2828="","",MONTH(A2828))</f>
        <v/>
      </c>
      <c r="I2828" s="33">
        <f>IF(A2828="","",YEAR(A2828))</f>
        <v/>
      </c>
    </row>
    <row r="2829" ht="15" customHeight="1" s="21">
      <c r="A2829" s="34" t="n"/>
      <c r="B2829" s="30" t="n"/>
      <c r="C2829" s="30" t="n"/>
      <c r="D2829" s="30" t="n"/>
      <c r="E2829" s="33">
        <f>IF(B2829="","",IFERROR(INDEX(Productos!$B$2:$B$501,MATCH(B2829,Productos!$A$2:$A$501,0)),"¿Código?"))</f>
        <v/>
      </c>
      <c r="F2829" s="32">
        <f>IF(C2829&lt;&gt;"Venta","",D2829*IFERROR(INDEX(Productos!$D$2:$D$501,MATCH(B2829,Productos!$A$2:$A$501,0)),0))</f>
        <v/>
      </c>
      <c r="G2829" s="32">
        <f>IF(C2829&lt;&gt;"Venta","",D2829*IFERROR(INDEX(Productos!$E$2:$E$501,MATCH(B2829,Productos!$A$2:$A$501,0)),0))</f>
        <v/>
      </c>
      <c r="H2829" s="33">
        <f>IF(A2829="","",MONTH(A2829))</f>
        <v/>
      </c>
      <c r="I2829" s="33">
        <f>IF(A2829="","",YEAR(A2829))</f>
        <v/>
      </c>
    </row>
    <row r="2830" ht="15" customHeight="1" s="21">
      <c r="A2830" s="34" t="n"/>
      <c r="B2830" s="30" t="n"/>
      <c r="C2830" s="30" t="n"/>
      <c r="D2830" s="30" t="n"/>
      <c r="E2830" s="33">
        <f>IF(B2830="","",IFERROR(INDEX(Productos!$B$2:$B$501,MATCH(B2830,Productos!$A$2:$A$501,0)),"¿Código?"))</f>
        <v/>
      </c>
      <c r="F2830" s="32">
        <f>IF(C2830&lt;&gt;"Venta","",D2830*IFERROR(INDEX(Productos!$D$2:$D$501,MATCH(B2830,Productos!$A$2:$A$501,0)),0))</f>
        <v/>
      </c>
      <c r="G2830" s="32">
        <f>IF(C2830&lt;&gt;"Venta","",D2830*IFERROR(INDEX(Productos!$E$2:$E$501,MATCH(B2830,Productos!$A$2:$A$501,0)),0))</f>
        <v/>
      </c>
      <c r="H2830" s="33">
        <f>IF(A2830="","",MONTH(A2830))</f>
        <v/>
      </c>
      <c r="I2830" s="33">
        <f>IF(A2830="","",YEAR(A2830))</f>
        <v/>
      </c>
    </row>
    <row r="2831" ht="15" customHeight="1" s="21">
      <c r="A2831" s="34" t="n"/>
      <c r="B2831" s="30" t="n"/>
      <c r="C2831" s="30" t="n"/>
      <c r="D2831" s="30" t="n"/>
      <c r="E2831" s="33">
        <f>IF(B2831="","",IFERROR(INDEX(Productos!$B$2:$B$501,MATCH(B2831,Productos!$A$2:$A$501,0)),"¿Código?"))</f>
        <v/>
      </c>
      <c r="F2831" s="32">
        <f>IF(C2831&lt;&gt;"Venta","",D2831*IFERROR(INDEX(Productos!$D$2:$D$501,MATCH(B2831,Productos!$A$2:$A$501,0)),0))</f>
        <v/>
      </c>
      <c r="G2831" s="32">
        <f>IF(C2831&lt;&gt;"Venta","",D2831*IFERROR(INDEX(Productos!$E$2:$E$501,MATCH(B2831,Productos!$A$2:$A$501,0)),0))</f>
        <v/>
      </c>
      <c r="H2831" s="33">
        <f>IF(A2831="","",MONTH(A2831))</f>
        <v/>
      </c>
      <c r="I2831" s="33">
        <f>IF(A2831="","",YEAR(A2831))</f>
        <v/>
      </c>
    </row>
    <row r="2832" ht="15" customHeight="1" s="21">
      <c r="A2832" s="34" t="n"/>
      <c r="B2832" s="30" t="n"/>
      <c r="C2832" s="30" t="n"/>
      <c r="D2832" s="30" t="n"/>
      <c r="E2832" s="33">
        <f>IF(B2832="","",IFERROR(INDEX(Productos!$B$2:$B$501,MATCH(B2832,Productos!$A$2:$A$501,0)),"¿Código?"))</f>
        <v/>
      </c>
      <c r="F2832" s="32">
        <f>IF(C2832&lt;&gt;"Venta","",D2832*IFERROR(INDEX(Productos!$D$2:$D$501,MATCH(B2832,Productos!$A$2:$A$501,0)),0))</f>
        <v/>
      </c>
      <c r="G2832" s="32">
        <f>IF(C2832&lt;&gt;"Venta","",D2832*IFERROR(INDEX(Productos!$E$2:$E$501,MATCH(B2832,Productos!$A$2:$A$501,0)),0))</f>
        <v/>
      </c>
      <c r="H2832" s="33">
        <f>IF(A2832="","",MONTH(A2832))</f>
        <v/>
      </c>
      <c r="I2832" s="33">
        <f>IF(A2832="","",YEAR(A2832))</f>
        <v/>
      </c>
    </row>
    <row r="2833" ht="15" customHeight="1" s="21">
      <c r="A2833" s="34" t="n"/>
      <c r="B2833" s="30" t="n"/>
      <c r="C2833" s="30" t="n"/>
      <c r="D2833" s="30" t="n"/>
      <c r="E2833" s="33">
        <f>IF(B2833="","",IFERROR(INDEX(Productos!$B$2:$B$501,MATCH(B2833,Productos!$A$2:$A$501,0)),"¿Código?"))</f>
        <v/>
      </c>
      <c r="F2833" s="32">
        <f>IF(C2833&lt;&gt;"Venta","",D2833*IFERROR(INDEX(Productos!$D$2:$D$501,MATCH(B2833,Productos!$A$2:$A$501,0)),0))</f>
        <v/>
      </c>
      <c r="G2833" s="32">
        <f>IF(C2833&lt;&gt;"Venta","",D2833*IFERROR(INDEX(Productos!$E$2:$E$501,MATCH(B2833,Productos!$A$2:$A$501,0)),0))</f>
        <v/>
      </c>
      <c r="H2833" s="33">
        <f>IF(A2833="","",MONTH(A2833))</f>
        <v/>
      </c>
      <c r="I2833" s="33">
        <f>IF(A2833="","",YEAR(A2833))</f>
        <v/>
      </c>
    </row>
    <row r="2834" ht="15" customHeight="1" s="21">
      <c r="A2834" s="34" t="n"/>
      <c r="B2834" s="30" t="n"/>
      <c r="C2834" s="30" t="n"/>
      <c r="D2834" s="30" t="n"/>
      <c r="E2834" s="33">
        <f>IF(B2834="","",IFERROR(INDEX(Productos!$B$2:$B$501,MATCH(B2834,Productos!$A$2:$A$501,0)),"¿Código?"))</f>
        <v/>
      </c>
      <c r="F2834" s="32">
        <f>IF(C2834&lt;&gt;"Venta","",D2834*IFERROR(INDEX(Productos!$D$2:$D$501,MATCH(B2834,Productos!$A$2:$A$501,0)),0))</f>
        <v/>
      </c>
      <c r="G2834" s="32">
        <f>IF(C2834&lt;&gt;"Venta","",D2834*IFERROR(INDEX(Productos!$E$2:$E$501,MATCH(B2834,Productos!$A$2:$A$501,0)),0))</f>
        <v/>
      </c>
      <c r="H2834" s="33">
        <f>IF(A2834="","",MONTH(A2834))</f>
        <v/>
      </c>
      <c r="I2834" s="33">
        <f>IF(A2834="","",YEAR(A2834))</f>
        <v/>
      </c>
    </row>
    <row r="2835" ht="15" customHeight="1" s="21">
      <c r="A2835" s="34" t="n"/>
      <c r="B2835" s="30" t="n"/>
      <c r="C2835" s="30" t="n"/>
      <c r="D2835" s="30" t="n"/>
      <c r="E2835" s="33">
        <f>IF(B2835="","",IFERROR(INDEX(Productos!$B$2:$B$501,MATCH(B2835,Productos!$A$2:$A$501,0)),"¿Código?"))</f>
        <v/>
      </c>
      <c r="F2835" s="32">
        <f>IF(C2835&lt;&gt;"Venta","",D2835*IFERROR(INDEX(Productos!$D$2:$D$501,MATCH(B2835,Productos!$A$2:$A$501,0)),0))</f>
        <v/>
      </c>
      <c r="G2835" s="32">
        <f>IF(C2835&lt;&gt;"Venta","",D2835*IFERROR(INDEX(Productos!$E$2:$E$501,MATCH(B2835,Productos!$A$2:$A$501,0)),0))</f>
        <v/>
      </c>
      <c r="H2835" s="33">
        <f>IF(A2835="","",MONTH(A2835))</f>
        <v/>
      </c>
      <c r="I2835" s="33">
        <f>IF(A2835="","",YEAR(A2835))</f>
        <v/>
      </c>
    </row>
    <row r="2836" ht="15" customHeight="1" s="21">
      <c r="A2836" s="34" t="n"/>
      <c r="B2836" s="30" t="n"/>
      <c r="C2836" s="30" t="n"/>
      <c r="D2836" s="30" t="n"/>
      <c r="E2836" s="33">
        <f>IF(B2836="","",IFERROR(INDEX(Productos!$B$2:$B$501,MATCH(B2836,Productos!$A$2:$A$501,0)),"¿Código?"))</f>
        <v/>
      </c>
      <c r="F2836" s="32">
        <f>IF(C2836&lt;&gt;"Venta","",D2836*IFERROR(INDEX(Productos!$D$2:$D$501,MATCH(B2836,Productos!$A$2:$A$501,0)),0))</f>
        <v/>
      </c>
      <c r="G2836" s="32">
        <f>IF(C2836&lt;&gt;"Venta","",D2836*IFERROR(INDEX(Productos!$E$2:$E$501,MATCH(B2836,Productos!$A$2:$A$501,0)),0))</f>
        <v/>
      </c>
      <c r="H2836" s="33">
        <f>IF(A2836="","",MONTH(A2836))</f>
        <v/>
      </c>
      <c r="I2836" s="33">
        <f>IF(A2836="","",YEAR(A2836))</f>
        <v/>
      </c>
    </row>
    <row r="2837" ht="15" customHeight="1" s="21">
      <c r="A2837" s="34" t="n"/>
      <c r="B2837" s="30" t="n"/>
      <c r="C2837" s="30" t="n"/>
      <c r="D2837" s="30" t="n"/>
      <c r="E2837" s="33">
        <f>IF(B2837="","",IFERROR(INDEX(Productos!$B$2:$B$501,MATCH(B2837,Productos!$A$2:$A$501,0)),"¿Código?"))</f>
        <v/>
      </c>
      <c r="F2837" s="32">
        <f>IF(C2837&lt;&gt;"Venta","",D2837*IFERROR(INDEX(Productos!$D$2:$D$501,MATCH(B2837,Productos!$A$2:$A$501,0)),0))</f>
        <v/>
      </c>
      <c r="G2837" s="32">
        <f>IF(C2837&lt;&gt;"Venta","",D2837*IFERROR(INDEX(Productos!$E$2:$E$501,MATCH(B2837,Productos!$A$2:$A$501,0)),0))</f>
        <v/>
      </c>
      <c r="H2837" s="33">
        <f>IF(A2837="","",MONTH(A2837))</f>
        <v/>
      </c>
      <c r="I2837" s="33">
        <f>IF(A2837="","",YEAR(A2837))</f>
        <v/>
      </c>
    </row>
    <row r="2838" ht="15" customHeight="1" s="21">
      <c r="A2838" s="34" t="n"/>
      <c r="B2838" s="30" t="n"/>
      <c r="C2838" s="30" t="n"/>
      <c r="D2838" s="30" t="n"/>
      <c r="E2838" s="33">
        <f>IF(B2838="","",IFERROR(INDEX(Productos!$B$2:$B$501,MATCH(B2838,Productos!$A$2:$A$501,0)),"¿Código?"))</f>
        <v/>
      </c>
      <c r="F2838" s="32">
        <f>IF(C2838&lt;&gt;"Venta","",D2838*IFERROR(INDEX(Productos!$D$2:$D$501,MATCH(B2838,Productos!$A$2:$A$501,0)),0))</f>
        <v/>
      </c>
      <c r="G2838" s="32">
        <f>IF(C2838&lt;&gt;"Venta","",D2838*IFERROR(INDEX(Productos!$E$2:$E$501,MATCH(B2838,Productos!$A$2:$A$501,0)),0))</f>
        <v/>
      </c>
      <c r="H2838" s="33">
        <f>IF(A2838="","",MONTH(A2838))</f>
        <v/>
      </c>
      <c r="I2838" s="33">
        <f>IF(A2838="","",YEAR(A2838))</f>
        <v/>
      </c>
    </row>
    <row r="2839" ht="15" customHeight="1" s="21">
      <c r="A2839" s="34" t="n"/>
      <c r="B2839" s="30" t="n"/>
      <c r="C2839" s="30" t="n"/>
      <c r="D2839" s="30" t="n"/>
      <c r="E2839" s="33">
        <f>IF(B2839="","",IFERROR(INDEX(Productos!$B$2:$B$501,MATCH(B2839,Productos!$A$2:$A$501,0)),"¿Código?"))</f>
        <v/>
      </c>
      <c r="F2839" s="32">
        <f>IF(C2839&lt;&gt;"Venta","",D2839*IFERROR(INDEX(Productos!$D$2:$D$501,MATCH(B2839,Productos!$A$2:$A$501,0)),0))</f>
        <v/>
      </c>
      <c r="G2839" s="32">
        <f>IF(C2839&lt;&gt;"Venta","",D2839*IFERROR(INDEX(Productos!$E$2:$E$501,MATCH(B2839,Productos!$A$2:$A$501,0)),0))</f>
        <v/>
      </c>
      <c r="H2839" s="33">
        <f>IF(A2839="","",MONTH(A2839))</f>
        <v/>
      </c>
      <c r="I2839" s="33">
        <f>IF(A2839="","",YEAR(A2839))</f>
        <v/>
      </c>
    </row>
    <row r="2840" ht="15" customHeight="1" s="21">
      <c r="A2840" s="34" t="n"/>
      <c r="B2840" s="30" t="n"/>
      <c r="C2840" s="30" t="n"/>
      <c r="D2840" s="30" t="n"/>
      <c r="E2840" s="33">
        <f>IF(B2840="","",IFERROR(INDEX(Productos!$B$2:$B$501,MATCH(B2840,Productos!$A$2:$A$501,0)),"¿Código?"))</f>
        <v/>
      </c>
      <c r="F2840" s="32">
        <f>IF(C2840&lt;&gt;"Venta","",D2840*IFERROR(INDEX(Productos!$D$2:$D$501,MATCH(B2840,Productos!$A$2:$A$501,0)),0))</f>
        <v/>
      </c>
      <c r="G2840" s="32">
        <f>IF(C2840&lt;&gt;"Venta","",D2840*IFERROR(INDEX(Productos!$E$2:$E$501,MATCH(B2840,Productos!$A$2:$A$501,0)),0))</f>
        <v/>
      </c>
      <c r="H2840" s="33">
        <f>IF(A2840="","",MONTH(A2840))</f>
        <v/>
      </c>
      <c r="I2840" s="33">
        <f>IF(A2840="","",YEAR(A2840))</f>
        <v/>
      </c>
    </row>
    <row r="2841" ht="15" customHeight="1" s="21">
      <c r="A2841" s="34" t="n"/>
      <c r="B2841" s="30" t="n"/>
      <c r="C2841" s="30" t="n"/>
      <c r="D2841" s="30" t="n"/>
      <c r="E2841" s="33">
        <f>IF(B2841="","",IFERROR(INDEX(Productos!$B$2:$B$501,MATCH(B2841,Productos!$A$2:$A$501,0)),"¿Código?"))</f>
        <v/>
      </c>
      <c r="F2841" s="32">
        <f>IF(C2841&lt;&gt;"Venta","",D2841*IFERROR(INDEX(Productos!$D$2:$D$501,MATCH(B2841,Productos!$A$2:$A$501,0)),0))</f>
        <v/>
      </c>
      <c r="G2841" s="32">
        <f>IF(C2841&lt;&gt;"Venta","",D2841*IFERROR(INDEX(Productos!$E$2:$E$501,MATCH(B2841,Productos!$A$2:$A$501,0)),0))</f>
        <v/>
      </c>
      <c r="H2841" s="33">
        <f>IF(A2841="","",MONTH(A2841))</f>
        <v/>
      </c>
      <c r="I2841" s="33">
        <f>IF(A2841="","",YEAR(A2841))</f>
        <v/>
      </c>
    </row>
    <row r="2842" ht="15" customHeight="1" s="21">
      <c r="A2842" s="34" t="n"/>
      <c r="B2842" s="30" t="n"/>
      <c r="C2842" s="30" t="n"/>
      <c r="D2842" s="30" t="n"/>
      <c r="E2842" s="33">
        <f>IF(B2842="","",IFERROR(INDEX(Productos!$B$2:$B$501,MATCH(B2842,Productos!$A$2:$A$501,0)),"¿Código?"))</f>
        <v/>
      </c>
      <c r="F2842" s="32">
        <f>IF(C2842&lt;&gt;"Venta","",D2842*IFERROR(INDEX(Productos!$D$2:$D$501,MATCH(B2842,Productos!$A$2:$A$501,0)),0))</f>
        <v/>
      </c>
      <c r="G2842" s="32">
        <f>IF(C2842&lt;&gt;"Venta","",D2842*IFERROR(INDEX(Productos!$E$2:$E$501,MATCH(B2842,Productos!$A$2:$A$501,0)),0))</f>
        <v/>
      </c>
      <c r="H2842" s="33">
        <f>IF(A2842="","",MONTH(A2842))</f>
        <v/>
      </c>
      <c r="I2842" s="33">
        <f>IF(A2842="","",YEAR(A2842))</f>
        <v/>
      </c>
    </row>
    <row r="2843" ht="15" customHeight="1" s="21">
      <c r="A2843" s="34" t="n"/>
      <c r="B2843" s="30" t="n"/>
      <c r="C2843" s="30" t="n"/>
      <c r="D2843" s="30" t="n"/>
      <c r="E2843" s="33">
        <f>IF(B2843="","",IFERROR(INDEX(Productos!$B$2:$B$501,MATCH(B2843,Productos!$A$2:$A$501,0)),"¿Código?"))</f>
        <v/>
      </c>
      <c r="F2843" s="32">
        <f>IF(C2843&lt;&gt;"Venta","",D2843*IFERROR(INDEX(Productos!$D$2:$D$501,MATCH(B2843,Productos!$A$2:$A$501,0)),0))</f>
        <v/>
      </c>
      <c r="G2843" s="32">
        <f>IF(C2843&lt;&gt;"Venta","",D2843*IFERROR(INDEX(Productos!$E$2:$E$501,MATCH(B2843,Productos!$A$2:$A$501,0)),0))</f>
        <v/>
      </c>
      <c r="H2843" s="33">
        <f>IF(A2843="","",MONTH(A2843))</f>
        <v/>
      </c>
      <c r="I2843" s="33">
        <f>IF(A2843="","",YEAR(A2843))</f>
        <v/>
      </c>
    </row>
    <row r="2844" ht="15" customHeight="1" s="21">
      <c r="A2844" s="34" t="n"/>
      <c r="B2844" s="30" t="n"/>
      <c r="C2844" s="30" t="n"/>
      <c r="D2844" s="30" t="n"/>
      <c r="E2844" s="33">
        <f>IF(B2844="","",IFERROR(INDEX(Productos!$B$2:$B$501,MATCH(B2844,Productos!$A$2:$A$501,0)),"¿Código?"))</f>
        <v/>
      </c>
      <c r="F2844" s="32">
        <f>IF(C2844&lt;&gt;"Venta","",D2844*IFERROR(INDEX(Productos!$D$2:$D$501,MATCH(B2844,Productos!$A$2:$A$501,0)),0))</f>
        <v/>
      </c>
      <c r="G2844" s="32">
        <f>IF(C2844&lt;&gt;"Venta","",D2844*IFERROR(INDEX(Productos!$E$2:$E$501,MATCH(B2844,Productos!$A$2:$A$501,0)),0))</f>
        <v/>
      </c>
      <c r="H2844" s="33">
        <f>IF(A2844="","",MONTH(A2844))</f>
        <v/>
      </c>
      <c r="I2844" s="33">
        <f>IF(A2844="","",YEAR(A2844))</f>
        <v/>
      </c>
    </row>
    <row r="2845" ht="15" customHeight="1" s="21">
      <c r="A2845" s="34" t="n"/>
      <c r="B2845" s="30" t="n"/>
      <c r="C2845" s="30" t="n"/>
      <c r="D2845" s="30" t="n"/>
      <c r="E2845" s="33">
        <f>IF(B2845="","",IFERROR(INDEX(Productos!$B$2:$B$501,MATCH(B2845,Productos!$A$2:$A$501,0)),"¿Código?"))</f>
        <v/>
      </c>
      <c r="F2845" s="32">
        <f>IF(C2845&lt;&gt;"Venta","",D2845*IFERROR(INDEX(Productos!$D$2:$D$501,MATCH(B2845,Productos!$A$2:$A$501,0)),0))</f>
        <v/>
      </c>
      <c r="G2845" s="32">
        <f>IF(C2845&lt;&gt;"Venta","",D2845*IFERROR(INDEX(Productos!$E$2:$E$501,MATCH(B2845,Productos!$A$2:$A$501,0)),0))</f>
        <v/>
      </c>
      <c r="H2845" s="33">
        <f>IF(A2845="","",MONTH(A2845))</f>
        <v/>
      </c>
      <c r="I2845" s="33">
        <f>IF(A2845="","",YEAR(A2845))</f>
        <v/>
      </c>
    </row>
    <row r="2846" ht="15" customHeight="1" s="21">
      <c r="A2846" s="34" t="n"/>
      <c r="B2846" s="30" t="n"/>
      <c r="C2846" s="30" t="n"/>
      <c r="D2846" s="30" t="n"/>
      <c r="E2846" s="33">
        <f>IF(B2846="","",IFERROR(INDEX(Productos!$B$2:$B$501,MATCH(B2846,Productos!$A$2:$A$501,0)),"¿Código?"))</f>
        <v/>
      </c>
      <c r="F2846" s="32">
        <f>IF(C2846&lt;&gt;"Venta","",D2846*IFERROR(INDEX(Productos!$D$2:$D$501,MATCH(B2846,Productos!$A$2:$A$501,0)),0))</f>
        <v/>
      </c>
      <c r="G2846" s="32">
        <f>IF(C2846&lt;&gt;"Venta","",D2846*IFERROR(INDEX(Productos!$E$2:$E$501,MATCH(B2846,Productos!$A$2:$A$501,0)),0))</f>
        <v/>
      </c>
      <c r="H2846" s="33">
        <f>IF(A2846="","",MONTH(A2846))</f>
        <v/>
      </c>
      <c r="I2846" s="33">
        <f>IF(A2846="","",YEAR(A2846))</f>
        <v/>
      </c>
    </row>
    <row r="2847" ht="15" customHeight="1" s="21">
      <c r="A2847" s="34" t="n"/>
      <c r="B2847" s="30" t="n"/>
      <c r="C2847" s="30" t="n"/>
      <c r="D2847" s="30" t="n"/>
      <c r="E2847" s="33">
        <f>IF(B2847="","",IFERROR(INDEX(Productos!$B$2:$B$501,MATCH(B2847,Productos!$A$2:$A$501,0)),"¿Código?"))</f>
        <v/>
      </c>
      <c r="F2847" s="32">
        <f>IF(C2847&lt;&gt;"Venta","",D2847*IFERROR(INDEX(Productos!$D$2:$D$501,MATCH(B2847,Productos!$A$2:$A$501,0)),0))</f>
        <v/>
      </c>
      <c r="G2847" s="32">
        <f>IF(C2847&lt;&gt;"Venta","",D2847*IFERROR(INDEX(Productos!$E$2:$E$501,MATCH(B2847,Productos!$A$2:$A$501,0)),0))</f>
        <v/>
      </c>
      <c r="H2847" s="33">
        <f>IF(A2847="","",MONTH(A2847))</f>
        <v/>
      </c>
      <c r="I2847" s="33">
        <f>IF(A2847="","",YEAR(A2847))</f>
        <v/>
      </c>
    </row>
    <row r="2848" ht="15" customHeight="1" s="21">
      <c r="A2848" s="34" t="n"/>
      <c r="B2848" s="30" t="n"/>
      <c r="C2848" s="30" t="n"/>
      <c r="D2848" s="30" t="n"/>
      <c r="E2848" s="33">
        <f>IF(B2848="","",IFERROR(INDEX(Productos!$B$2:$B$501,MATCH(B2848,Productos!$A$2:$A$501,0)),"¿Código?"))</f>
        <v/>
      </c>
      <c r="F2848" s="32">
        <f>IF(C2848&lt;&gt;"Venta","",D2848*IFERROR(INDEX(Productos!$D$2:$D$501,MATCH(B2848,Productos!$A$2:$A$501,0)),0))</f>
        <v/>
      </c>
      <c r="G2848" s="32">
        <f>IF(C2848&lt;&gt;"Venta","",D2848*IFERROR(INDEX(Productos!$E$2:$E$501,MATCH(B2848,Productos!$A$2:$A$501,0)),0))</f>
        <v/>
      </c>
      <c r="H2848" s="33">
        <f>IF(A2848="","",MONTH(A2848))</f>
        <v/>
      </c>
      <c r="I2848" s="33">
        <f>IF(A2848="","",YEAR(A2848))</f>
        <v/>
      </c>
    </row>
    <row r="2849" ht="15" customHeight="1" s="21">
      <c r="A2849" s="34" t="n"/>
      <c r="B2849" s="30" t="n"/>
      <c r="C2849" s="30" t="n"/>
      <c r="D2849" s="30" t="n"/>
      <c r="E2849" s="33">
        <f>IF(B2849="","",IFERROR(INDEX(Productos!$B$2:$B$501,MATCH(B2849,Productos!$A$2:$A$501,0)),"¿Código?"))</f>
        <v/>
      </c>
      <c r="F2849" s="32">
        <f>IF(C2849&lt;&gt;"Venta","",D2849*IFERROR(INDEX(Productos!$D$2:$D$501,MATCH(B2849,Productos!$A$2:$A$501,0)),0))</f>
        <v/>
      </c>
      <c r="G2849" s="32">
        <f>IF(C2849&lt;&gt;"Venta","",D2849*IFERROR(INDEX(Productos!$E$2:$E$501,MATCH(B2849,Productos!$A$2:$A$501,0)),0))</f>
        <v/>
      </c>
      <c r="H2849" s="33">
        <f>IF(A2849="","",MONTH(A2849))</f>
        <v/>
      </c>
      <c r="I2849" s="33">
        <f>IF(A2849="","",YEAR(A2849))</f>
        <v/>
      </c>
    </row>
    <row r="2850" ht="15" customHeight="1" s="21">
      <c r="A2850" s="34" t="n"/>
      <c r="B2850" s="30" t="n"/>
      <c r="C2850" s="30" t="n"/>
      <c r="D2850" s="30" t="n"/>
      <c r="E2850" s="33">
        <f>IF(B2850="","",IFERROR(INDEX(Productos!$B$2:$B$501,MATCH(B2850,Productos!$A$2:$A$501,0)),"¿Código?"))</f>
        <v/>
      </c>
      <c r="F2850" s="32">
        <f>IF(C2850&lt;&gt;"Venta","",D2850*IFERROR(INDEX(Productos!$D$2:$D$501,MATCH(B2850,Productos!$A$2:$A$501,0)),0))</f>
        <v/>
      </c>
      <c r="G2850" s="32">
        <f>IF(C2850&lt;&gt;"Venta","",D2850*IFERROR(INDEX(Productos!$E$2:$E$501,MATCH(B2850,Productos!$A$2:$A$501,0)),0))</f>
        <v/>
      </c>
      <c r="H2850" s="33">
        <f>IF(A2850="","",MONTH(A2850))</f>
        <v/>
      </c>
      <c r="I2850" s="33">
        <f>IF(A2850="","",YEAR(A2850))</f>
        <v/>
      </c>
    </row>
    <row r="2851" ht="15" customHeight="1" s="21">
      <c r="A2851" s="34" t="n"/>
      <c r="B2851" s="30" t="n"/>
      <c r="C2851" s="30" t="n"/>
      <c r="D2851" s="30" t="n"/>
      <c r="E2851" s="33">
        <f>IF(B2851="","",IFERROR(INDEX(Productos!$B$2:$B$501,MATCH(B2851,Productos!$A$2:$A$501,0)),"¿Código?"))</f>
        <v/>
      </c>
      <c r="F2851" s="32">
        <f>IF(C2851&lt;&gt;"Venta","",D2851*IFERROR(INDEX(Productos!$D$2:$D$501,MATCH(B2851,Productos!$A$2:$A$501,0)),0))</f>
        <v/>
      </c>
      <c r="G2851" s="32">
        <f>IF(C2851&lt;&gt;"Venta","",D2851*IFERROR(INDEX(Productos!$E$2:$E$501,MATCH(B2851,Productos!$A$2:$A$501,0)),0))</f>
        <v/>
      </c>
      <c r="H2851" s="33">
        <f>IF(A2851="","",MONTH(A2851))</f>
        <v/>
      </c>
      <c r="I2851" s="33">
        <f>IF(A2851="","",YEAR(A2851))</f>
        <v/>
      </c>
    </row>
    <row r="2852" ht="15" customHeight="1" s="21">
      <c r="A2852" s="34" t="n"/>
      <c r="B2852" s="30" t="n"/>
      <c r="C2852" s="30" t="n"/>
      <c r="D2852" s="30" t="n"/>
      <c r="E2852" s="33">
        <f>IF(B2852="","",IFERROR(INDEX(Productos!$B$2:$B$501,MATCH(B2852,Productos!$A$2:$A$501,0)),"¿Código?"))</f>
        <v/>
      </c>
      <c r="F2852" s="32">
        <f>IF(C2852&lt;&gt;"Venta","",D2852*IFERROR(INDEX(Productos!$D$2:$D$501,MATCH(B2852,Productos!$A$2:$A$501,0)),0))</f>
        <v/>
      </c>
      <c r="G2852" s="32">
        <f>IF(C2852&lt;&gt;"Venta","",D2852*IFERROR(INDEX(Productos!$E$2:$E$501,MATCH(B2852,Productos!$A$2:$A$501,0)),0))</f>
        <v/>
      </c>
      <c r="H2852" s="33">
        <f>IF(A2852="","",MONTH(A2852))</f>
        <v/>
      </c>
      <c r="I2852" s="33">
        <f>IF(A2852="","",YEAR(A2852))</f>
        <v/>
      </c>
    </row>
    <row r="2853" ht="15" customHeight="1" s="21">
      <c r="A2853" s="34" t="n"/>
      <c r="B2853" s="30" t="n"/>
      <c r="C2853" s="30" t="n"/>
      <c r="D2853" s="30" t="n"/>
      <c r="E2853" s="33">
        <f>IF(B2853="","",IFERROR(INDEX(Productos!$B$2:$B$501,MATCH(B2853,Productos!$A$2:$A$501,0)),"¿Código?"))</f>
        <v/>
      </c>
      <c r="F2853" s="32">
        <f>IF(C2853&lt;&gt;"Venta","",D2853*IFERROR(INDEX(Productos!$D$2:$D$501,MATCH(B2853,Productos!$A$2:$A$501,0)),0))</f>
        <v/>
      </c>
      <c r="G2853" s="32">
        <f>IF(C2853&lt;&gt;"Venta","",D2853*IFERROR(INDEX(Productos!$E$2:$E$501,MATCH(B2853,Productos!$A$2:$A$501,0)),0))</f>
        <v/>
      </c>
      <c r="H2853" s="33">
        <f>IF(A2853="","",MONTH(A2853))</f>
        <v/>
      </c>
      <c r="I2853" s="33">
        <f>IF(A2853="","",YEAR(A2853))</f>
        <v/>
      </c>
    </row>
    <row r="2854" ht="15" customHeight="1" s="21">
      <c r="A2854" s="34" t="n"/>
      <c r="B2854" s="30" t="n"/>
      <c r="C2854" s="30" t="n"/>
      <c r="D2854" s="30" t="n"/>
      <c r="E2854" s="33">
        <f>IF(B2854="","",IFERROR(INDEX(Productos!$B$2:$B$501,MATCH(B2854,Productos!$A$2:$A$501,0)),"¿Código?"))</f>
        <v/>
      </c>
      <c r="F2854" s="32">
        <f>IF(C2854&lt;&gt;"Venta","",D2854*IFERROR(INDEX(Productos!$D$2:$D$501,MATCH(B2854,Productos!$A$2:$A$501,0)),0))</f>
        <v/>
      </c>
      <c r="G2854" s="32">
        <f>IF(C2854&lt;&gt;"Venta","",D2854*IFERROR(INDEX(Productos!$E$2:$E$501,MATCH(B2854,Productos!$A$2:$A$501,0)),0))</f>
        <v/>
      </c>
      <c r="H2854" s="33">
        <f>IF(A2854="","",MONTH(A2854))</f>
        <v/>
      </c>
      <c r="I2854" s="33">
        <f>IF(A2854="","",YEAR(A2854))</f>
        <v/>
      </c>
    </row>
    <row r="2855" ht="15" customHeight="1" s="21">
      <c r="A2855" s="34" t="n"/>
      <c r="B2855" s="30" t="n"/>
      <c r="C2855" s="30" t="n"/>
      <c r="D2855" s="30" t="n"/>
      <c r="E2855" s="33">
        <f>IF(B2855="","",IFERROR(INDEX(Productos!$B$2:$B$501,MATCH(B2855,Productos!$A$2:$A$501,0)),"¿Código?"))</f>
        <v/>
      </c>
      <c r="F2855" s="32">
        <f>IF(C2855&lt;&gt;"Venta","",D2855*IFERROR(INDEX(Productos!$D$2:$D$501,MATCH(B2855,Productos!$A$2:$A$501,0)),0))</f>
        <v/>
      </c>
      <c r="G2855" s="32">
        <f>IF(C2855&lt;&gt;"Venta","",D2855*IFERROR(INDEX(Productos!$E$2:$E$501,MATCH(B2855,Productos!$A$2:$A$501,0)),0))</f>
        <v/>
      </c>
      <c r="H2855" s="33">
        <f>IF(A2855="","",MONTH(A2855))</f>
        <v/>
      </c>
      <c r="I2855" s="33">
        <f>IF(A2855="","",YEAR(A2855))</f>
        <v/>
      </c>
    </row>
    <row r="2856" ht="15" customHeight="1" s="21">
      <c r="A2856" s="34" t="n"/>
      <c r="B2856" s="30" t="n"/>
      <c r="C2856" s="30" t="n"/>
      <c r="D2856" s="30" t="n"/>
      <c r="E2856" s="33">
        <f>IF(B2856="","",IFERROR(INDEX(Productos!$B$2:$B$501,MATCH(B2856,Productos!$A$2:$A$501,0)),"¿Código?"))</f>
        <v/>
      </c>
      <c r="F2856" s="32">
        <f>IF(C2856&lt;&gt;"Venta","",D2856*IFERROR(INDEX(Productos!$D$2:$D$501,MATCH(B2856,Productos!$A$2:$A$501,0)),0))</f>
        <v/>
      </c>
      <c r="G2856" s="32">
        <f>IF(C2856&lt;&gt;"Venta","",D2856*IFERROR(INDEX(Productos!$E$2:$E$501,MATCH(B2856,Productos!$A$2:$A$501,0)),0))</f>
        <v/>
      </c>
      <c r="H2856" s="33">
        <f>IF(A2856="","",MONTH(A2856))</f>
        <v/>
      </c>
      <c r="I2856" s="33">
        <f>IF(A2856="","",YEAR(A2856))</f>
        <v/>
      </c>
    </row>
    <row r="2857" ht="15" customHeight="1" s="21">
      <c r="A2857" s="34" t="n"/>
      <c r="B2857" s="30" t="n"/>
      <c r="C2857" s="30" t="n"/>
      <c r="D2857" s="30" t="n"/>
      <c r="E2857" s="33">
        <f>IF(B2857="","",IFERROR(INDEX(Productos!$B$2:$B$501,MATCH(B2857,Productos!$A$2:$A$501,0)),"¿Código?"))</f>
        <v/>
      </c>
      <c r="F2857" s="32">
        <f>IF(C2857&lt;&gt;"Venta","",D2857*IFERROR(INDEX(Productos!$D$2:$D$501,MATCH(B2857,Productos!$A$2:$A$501,0)),0))</f>
        <v/>
      </c>
      <c r="G2857" s="32">
        <f>IF(C2857&lt;&gt;"Venta","",D2857*IFERROR(INDEX(Productos!$E$2:$E$501,MATCH(B2857,Productos!$A$2:$A$501,0)),0))</f>
        <v/>
      </c>
      <c r="H2857" s="33">
        <f>IF(A2857="","",MONTH(A2857))</f>
        <v/>
      </c>
      <c r="I2857" s="33">
        <f>IF(A2857="","",YEAR(A2857))</f>
        <v/>
      </c>
    </row>
    <row r="2858" ht="15" customHeight="1" s="21">
      <c r="A2858" s="34" t="n"/>
      <c r="B2858" s="30" t="n"/>
      <c r="C2858" s="30" t="n"/>
      <c r="D2858" s="30" t="n"/>
      <c r="E2858" s="33">
        <f>IF(B2858="","",IFERROR(INDEX(Productos!$B$2:$B$501,MATCH(B2858,Productos!$A$2:$A$501,0)),"¿Código?"))</f>
        <v/>
      </c>
      <c r="F2858" s="32">
        <f>IF(C2858&lt;&gt;"Venta","",D2858*IFERROR(INDEX(Productos!$D$2:$D$501,MATCH(B2858,Productos!$A$2:$A$501,0)),0))</f>
        <v/>
      </c>
      <c r="G2858" s="32">
        <f>IF(C2858&lt;&gt;"Venta","",D2858*IFERROR(INDEX(Productos!$E$2:$E$501,MATCH(B2858,Productos!$A$2:$A$501,0)),0))</f>
        <v/>
      </c>
      <c r="H2858" s="33">
        <f>IF(A2858="","",MONTH(A2858))</f>
        <v/>
      </c>
      <c r="I2858" s="33">
        <f>IF(A2858="","",YEAR(A2858))</f>
        <v/>
      </c>
    </row>
    <row r="2859" ht="15" customHeight="1" s="21">
      <c r="A2859" s="34" t="n"/>
      <c r="B2859" s="30" t="n"/>
      <c r="C2859" s="30" t="n"/>
      <c r="D2859" s="30" t="n"/>
      <c r="E2859" s="33">
        <f>IF(B2859="","",IFERROR(INDEX(Productos!$B$2:$B$501,MATCH(B2859,Productos!$A$2:$A$501,0)),"¿Código?"))</f>
        <v/>
      </c>
      <c r="F2859" s="32">
        <f>IF(C2859&lt;&gt;"Venta","",D2859*IFERROR(INDEX(Productos!$D$2:$D$501,MATCH(B2859,Productos!$A$2:$A$501,0)),0))</f>
        <v/>
      </c>
      <c r="G2859" s="32">
        <f>IF(C2859&lt;&gt;"Venta","",D2859*IFERROR(INDEX(Productos!$E$2:$E$501,MATCH(B2859,Productos!$A$2:$A$501,0)),0))</f>
        <v/>
      </c>
      <c r="H2859" s="33">
        <f>IF(A2859="","",MONTH(A2859))</f>
        <v/>
      </c>
      <c r="I2859" s="33">
        <f>IF(A2859="","",YEAR(A2859))</f>
        <v/>
      </c>
    </row>
    <row r="2860" ht="15" customHeight="1" s="21">
      <c r="A2860" s="34" t="n"/>
      <c r="B2860" s="30" t="n"/>
      <c r="C2860" s="30" t="n"/>
      <c r="D2860" s="30" t="n"/>
      <c r="E2860" s="33">
        <f>IF(B2860="","",IFERROR(INDEX(Productos!$B$2:$B$501,MATCH(B2860,Productos!$A$2:$A$501,0)),"¿Código?"))</f>
        <v/>
      </c>
      <c r="F2860" s="32">
        <f>IF(C2860&lt;&gt;"Venta","",D2860*IFERROR(INDEX(Productos!$D$2:$D$501,MATCH(B2860,Productos!$A$2:$A$501,0)),0))</f>
        <v/>
      </c>
      <c r="G2860" s="32">
        <f>IF(C2860&lt;&gt;"Venta","",D2860*IFERROR(INDEX(Productos!$E$2:$E$501,MATCH(B2860,Productos!$A$2:$A$501,0)),0))</f>
        <v/>
      </c>
      <c r="H2860" s="33">
        <f>IF(A2860="","",MONTH(A2860))</f>
        <v/>
      </c>
      <c r="I2860" s="33">
        <f>IF(A2860="","",YEAR(A2860))</f>
        <v/>
      </c>
    </row>
    <row r="2861" ht="15" customHeight="1" s="21">
      <c r="A2861" s="34" t="n"/>
      <c r="B2861" s="30" t="n"/>
      <c r="C2861" s="30" t="n"/>
      <c r="D2861" s="30" t="n"/>
      <c r="E2861" s="33">
        <f>IF(B2861="","",IFERROR(INDEX(Productos!$B$2:$B$501,MATCH(B2861,Productos!$A$2:$A$501,0)),"¿Código?"))</f>
        <v/>
      </c>
      <c r="F2861" s="32">
        <f>IF(C2861&lt;&gt;"Venta","",D2861*IFERROR(INDEX(Productos!$D$2:$D$501,MATCH(B2861,Productos!$A$2:$A$501,0)),0))</f>
        <v/>
      </c>
      <c r="G2861" s="32">
        <f>IF(C2861&lt;&gt;"Venta","",D2861*IFERROR(INDEX(Productos!$E$2:$E$501,MATCH(B2861,Productos!$A$2:$A$501,0)),0))</f>
        <v/>
      </c>
      <c r="H2861" s="33">
        <f>IF(A2861="","",MONTH(A2861))</f>
        <v/>
      </c>
      <c r="I2861" s="33">
        <f>IF(A2861="","",YEAR(A2861))</f>
        <v/>
      </c>
    </row>
    <row r="2862" ht="15" customHeight="1" s="21">
      <c r="A2862" s="34" t="n"/>
      <c r="B2862" s="30" t="n"/>
      <c r="C2862" s="30" t="n"/>
      <c r="D2862" s="30" t="n"/>
      <c r="E2862" s="33">
        <f>IF(B2862="","",IFERROR(INDEX(Productos!$B$2:$B$501,MATCH(B2862,Productos!$A$2:$A$501,0)),"¿Código?"))</f>
        <v/>
      </c>
      <c r="F2862" s="32">
        <f>IF(C2862&lt;&gt;"Venta","",D2862*IFERROR(INDEX(Productos!$D$2:$D$501,MATCH(B2862,Productos!$A$2:$A$501,0)),0))</f>
        <v/>
      </c>
      <c r="G2862" s="32">
        <f>IF(C2862&lt;&gt;"Venta","",D2862*IFERROR(INDEX(Productos!$E$2:$E$501,MATCH(B2862,Productos!$A$2:$A$501,0)),0))</f>
        <v/>
      </c>
      <c r="H2862" s="33">
        <f>IF(A2862="","",MONTH(A2862))</f>
        <v/>
      </c>
      <c r="I2862" s="33">
        <f>IF(A2862="","",YEAR(A2862))</f>
        <v/>
      </c>
    </row>
    <row r="2863" ht="15" customHeight="1" s="21">
      <c r="A2863" s="34" t="n"/>
      <c r="B2863" s="30" t="n"/>
      <c r="C2863" s="30" t="n"/>
      <c r="D2863" s="30" t="n"/>
      <c r="E2863" s="33">
        <f>IF(B2863="","",IFERROR(INDEX(Productos!$B$2:$B$501,MATCH(B2863,Productos!$A$2:$A$501,0)),"¿Código?"))</f>
        <v/>
      </c>
      <c r="F2863" s="32">
        <f>IF(C2863&lt;&gt;"Venta","",D2863*IFERROR(INDEX(Productos!$D$2:$D$501,MATCH(B2863,Productos!$A$2:$A$501,0)),0))</f>
        <v/>
      </c>
      <c r="G2863" s="32">
        <f>IF(C2863&lt;&gt;"Venta","",D2863*IFERROR(INDEX(Productos!$E$2:$E$501,MATCH(B2863,Productos!$A$2:$A$501,0)),0))</f>
        <v/>
      </c>
      <c r="H2863" s="33">
        <f>IF(A2863="","",MONTH(A2863))</f>
        <v/>
      </c>
      <c r="I2863" s="33">
        <f>IF(A2863="","",YEAR(A2863))</f>
        <v/>
      </c>
    </row>
    <row r="2864" ht="15" customHeight="1" s="21">
      <c r="A2864" s="34" t="n"/>
      <c r="B2864" s="30" t="n"/>
      <c r="C2864" s="30" t="n"/>
      <c r="D2864" s="30" t="n"/>
      <c r="E2864" s="33">
        <f>IF(B2864="","",IFERROR(INDEX(Productos!$B$2:$B$501,MATCH(B2864,Productos!$A$2:$A$501,0)),"¿Código?"))</f>
        <v/>
      </c>
      <c r="F2864" s="32">
        <f>IF(C2864&lt;&gt;"Venta","",D2864*IFERROR(INDEX(Productos!$D$2:$D$501,MATCH(B2864,Productos!$A$2:$A$501,0)),0))</f>
        <v/>
      </c>
      <c r="G2864" s="32">
        <f>IF(C2864&lt;&gt;"Venta","",D2864*IFERROR(INDEX(Productos!$E$2:$E$501,MATCH(B2864,Productos!$A$2:$A$501,0)),0))</f>
        <v/>
      </c>
      <c r="H2864" s="33">
        <f>IF(A2864="","",MONTH(A2864))</f>
        <v/>
      </c>
      <c r="I2864" s="33">
        <f>IF(A2864="","",YEAR(A2864))</f>
        <v/>
      </c>
    </row>
    <row r="2865" ht="15" customHeight="1" s="21">
      <c r="A2865" s="34" t="n"/>
      <c r="B2865" s="30" t="n"/>
      <c r="C2865" s="30" t="n"/>
      <c r="D2865" s="30" t="n"/>
      <c r="E2865" s="33">
        <f>IF(B2865="","",IFERROR(INDEX(Productos!$B$2:$B$501,MATCH(B2865,Productos!$A$2:$A$501,0)),"¿Código?"))</f>
        <v/>
      </c>
      <c r="F2865" s="32">
        <f>IF(C2865&lt;&gt;"Venta","",D2865*IFERROR(INDEX(Productos!$D$2:$D$501,MATCH(B2865,Productos!$A$2:$A$501,0)),0))</f>
        <v/>
      </c>
      <c r="G2865" s="32">
        <f>IF(C2865&lt;&gt;"Venta","",D2865*IFERROR(INDEX(Productos!$E$2:$E$501,MATCH(B2865,Productos!$A$2:$A$501,0)),0))</f>
        <v/>
      </c>
      <c r="H2865" s="33">
        <f>IF(A2865="","",MONTH(A2865))</f>
        <v/>
      </c>
      <c r="I2865" s="33">
        <f>IF(A2865="","",YEAR(A2865))</f>
        <v/>
      </c>
    </row>
    <row r="2866" ht="15" customHeight="1" s="21">
      <c r="A2866" s="34" t="n"/>
      <c r="B2866" s="30" t="n"/>
      <c r="C2866" s="30" t="n"/>
      <c r="D2866" s="30" t="n"/>
      <c r="E2866" s="33">
        <f>IF(B2866="","",IFERROR(INDEX(Productos!$B$2:$B$501,MATCH(B2866,Productos!$A$2:$A$501,0)),"¿Código?"))</f>
        <v/>
      </c>
      <c r="F2866" s="32">
        <f>IF(C2866&lt;&gt;"Venta","",D2866*IFERROR(INDEX(Productos!$D$2:$D$501,MATCH(B2866,Productos!$A$2:$A$501,0)),0))</f>
        <v/>
      </c>
      <c r="G2866" s="32">
        <f>IF(C2866&lt;&gt;"Venta","",D2866*IFERROR(INDEX(Productos!$E$2:$E$501,MATCH(B2866,Productos!$A$2:$A$501,0)),0))</f>
        <v/>
      </c>
      <c r="H2866" s="33">
        <f>IF(A2866="","",MONTH(A2866))</f>
        <v/>
      </c>
      <c r="I2866" s="33">
        <f>IF(A2866="","",YEAR(A2866))</f>
        <v/>
      </c>
    </row>
    <row r="2867" ht="15" customHeight="1" s="21">
      <c r="A2867" s="34" t="n"/>
      <c r="B2867" s="30" t="n"/>
      <c r="C2867" s="30" t="n"/>
      <c r="D2867" s="30" t="n"/>
      <c r="E2867" s="33">
        <f>IF(B2867="","",IFERROR(INDEX(Productos!$B$2:$B$501,MATCH(B2867,Productos!$A$2:$A$501,0)),"¿Código?"))</f>
        <v/>
      </c>
      <c r="F2867" s="32">
        <f>IF(C2867&lt;&gt;"Venta","",D2867*IFERROR(INDEX(Productos!$D$2:$D$501,MATCH(B2867,Productos!$A$2:$A$501,0)),0))</f>
        <v/>
      </c>
      <c r="G2867" s="32">
        <f>IF(C2867&lt;&gt;"Venta","",D2867*IFERROR(INDEX(Productos!$E$2:$E$501,MATCH(B2867,Productos!$A$2:$A$501,0)),0))</f>
        <v/>
      </c>
      <c r="H2867" s="33">
        <f>IF(A2867="","",MONTH(A2867))</f>
        <v/>
      </c>
      <c r="I2867" s="33">
        <f>IF(A2867="","",YEAR(A2867))</f>
        <v/>
      </c>
    </row>
    <row r="2868" ht="15" customHeight="1" s="21">
      <c r="A2868" s="34" t="n"/>
      <c r="B2868" s="30" t="n"/>
      <c r="C2868" s="30" t="n"/>
      <c r="D2868" s="30" t="n"/>
      <c r="E2868" s="33">
        <f>IF(B2868="","",IFERROR(INDEX(Productos!$B$2:$B$501,MATCH(B2868,Productos!$A$2:$A$501,0)),"¿Código?"))</f>
        <v/>
      </c>
      <c r="F2868" s="32">
        <f>IF(C2868&lt;&gt;"Venta","",D2868*IFERROR(INDEX(Productos!$D$2:$D$501,MATCH(B2868,Productos!$A$2:$A$501,0)),0))</f>
        <v/>
      </c>
      <c r="G2868" s="32">
        <f>IF(C2868&lt;&gt;"Venta","",D2868*IFERROR(INDEX(Productos!$E$2:$E$501,MATCH(B2868,Productos!$A$2:$A$501,0)),0))</f>
        <v/>
      </c>
      <c r="H2868" s="33">
        <f>IF(A2868="","",MONTH(A2868))</f>
        <v/>
      </c>
      <c r="I2868" s="33">
        <f>IF(A2868="","",YEAR(A2868))</f>
        <v/>
      </c>
    </row>
    <row r="2869" ht="15" customHeight="1" s="21">
      <c r="A2869" s="34" t="n"/>
      <c r="B2869" s="30" t="n"/>
      <c r="C2869" s="30" t="n"/>
      <c r="D2869" s="30" t="n"/>
      <c r="E2869" s="33">
        <f>IF(B2869="","",IFERROR(INDEX(Productos!$B$2:$B$501,MATCH(B2869,Productos!$A$2:$A$501,0)),"¿Código?"))</f>
        <v/>
      </c>
      <c r="F2869" s="32">
        <f>IF(C2869&lt;&gt;"Venta","",D2869*IFERROR(INDEX(Productos!$D$2:$D$501,MATCH(B2869,Productos!$A$2:$A$501,0)),0))</f>
        <v/>
      </c>
      <c r="G2869" s="32">
        <f>IF(C2869&lt;&gt;"Venta","",D2869*IFERROR(INDEX(Productos!$E$2:$E$501,MATCH(B2869,Productos!$A$2:$A$501,0)),0))</f>
        <v/>
      </c>
      <c r="H2869" s="33">
        <f>IF(A2869="","",MONTH(A2869))</f>
        <v/>
      </c>
      <c r="I2869" s="33">
        <f>IF(A2869="","",YEAR(A2869))</f>
        <v/>
      </c>
    </row>
    <row r="2870" ht="15" customHeight="1" s="21">
      <c r="A2870" s="34" t="n"/>
      <c r="B2870" s="30" t="n"/>
      <c r="C2870" s="30" t="n"/>
      <c r="D2870" s="30" t="n"/>
      <c r="E2870" s="33">
        <f>IF(B2870="","",IFERROR(INDEX(Productos!$B$2:$B$501,MATCH(B2870,Productos!$A$2:$A$501,0)),"¿Código?"))</f>
        <v/>
      </c>
      <c r="F2870" s="32">
        <f>IF(C2870&lt;&gt;"Venta","",D2870*IFERROR(INDEX(Productos!$D$2:$D$501,MATCH(B2870,Productos!$A$2:$A$501,0)),0))</f>
        <v/>
      </c>
      <c r="G2870" s="32">
        <f>IF(C2870&lt;&gt;"Venta","",D2870*IFERROR(INDEX(Productos!$E$2:$E$501,MATCH(B2870,Productos!$A$2:$A$501,0)),0))</f>
        <v/>
      </c>
      <c r="H2870" s="33">
        <f>IF(A2870="","",MONTH(A2870))</f>
        <v/>
      </c>
      <c r="I2870" s="33">
        <f>IF(A2870="","",YEAR(A2870))</f>
        <v/>
      </c>
    </row>
    <row r="2871" ht="15" customHeight="1" s="21">
      <c r="A2871" s="34" t="n"/>
      <c r="B2871" s="30" t="n"/>
      <c r="C2871" s="30" t="n"/>
      <c r="D2871" s="30" t="n"/>
      <c r="E2871" s="33">
        <f>IF(B2871="","",IFERROR(INDEX(Productos!$B$2:$B$501,MATCH(B2871,Productos!$A$2:$A$501,0)),"¿Código?"))</f>
        <v/>
      </c>
      <c r="F2871" s="32">
        <f>IF(C2871&lt;&gt;"Venta","",D2871*IFERROR(INDEX(Productos!$D$2:$D$501,MATCH(B2871,Productos!$A$2:$A$501,0)),0))</f>
        <v/>
      </c>
      <c r="G2871" s="32">
        <f>IF(C2871&lt;&gt;"Venta","",D2871*IFERROR(INDEX(Productos!$E$2:$E$501,MATCH(B2871,Productos!$A$2:$A$501,0)),0))</f>
        <v/>
      </c>
      <c r="H2871" s="33">
        <f>IF(A2871="","",MONTH(A2871))</f>
        <v/>
      </c>
      <c r="I2871" s="33">
        <f>IF(A2871="","",YEAR(A2871))</f>
        <v/>
      </c>
    </row>
    <row r="2872" ht="15" customHeight="1" s="21">
      <c r="A2872" s="34" t="n"/>
      <c r="B2872" s="30" t="n"/>
      <c r="C2872" s="30" t="n"/>
      <c r="D2872" s="30" t="n"/>
      <c r="E2872" s="33">
        <f>IF(B2872="","",IFERROR(INDEX(Productos!$B$2:$B$501,MATCH(B2872,Productos!$A$2:$A$501,0)),"¿Código?"))</f>
        <v/>
      </c>
      <c r="F2872" s="32">
        <f>IF(C2872&lt;&gt;"Venta","",D2872*IFERROR(INDEX(Productos!$D$2:$D$501,MATCH(B2872,Productos!$A$2:$A$501,0)),0))</f>
        <v/>
      </c>
      <c r="G2872" s="32">
        <f>IF(C2872&lt;&gt;"Venta","",D2872*IFERROR(INDEX(Productos!$E$2:$E$501,MATCH(B2872,Productos!$A$2:$A$501,0)),0))</f>
        <v/>
      </c>
      <c r="H2872" s="33">
        <f>IF(A2872="","",MONTH(A2872))</f>
        <v/>
      </c>
      <c r="I2872" s="33">
        <f>IF(A2872="","",YEAR(A2872))</f>
        <v/>
      </c>
    </row>
    <row r="2873" ht="15" customHeight="1" s="21">
      <c r="A2873" s="34" t="n"/>
      <c r="B2873" s="30" t="n"/>
      <c r="C2873" s="30" t="n"/>
      <c r="D2873" s="30" t="n"/>
      <c r="E2873" s="33">
        <f>IF(B2873="","",IFERROR(INDEX(Productos!$B$2:$B$501,MATCH(B2873,Productos!$A$2:$A$501,0)),"¿Código?"))</f>
        <v/>
      </c>
      <c r="F2873" s="32">
        <f>IF(C2873&lt;&gt;"Venta","",D2873*IFERROR(INDEX(Productos!$D$2:$D$501,MATCH(B2873,Productos!$A$2:$A$501,0)),0))</f>
        <v/>
      </c>
      <c r="G2873" s="32">
        <f>IF(C2873&lt;&gt;"Venta","",D2873*IFERROR(INDEX(Productos!$E$2:$E$501,MATCH(B2873,Productos!$A$2:$A$501,0)),0))</f>
        <v/>
      </c>
      <c r="H2873" s="33">
        <f>IF(A2873="","",MONTH(A2873))</f>
        <v/>
      </c>
      <c r="I2873" s="33">
        <f>IF(A2873="","",YEAR(A2873))</f>
        <v/>
      </c>
    </row>
    <row r="2874" ht="15" customHeight="1" s="21">
      <c r="A2874" s="34" t="n"/>
      <c r="B2874" s="30" t="n"/>
      <c r="C2874" s="30" t="n"/>
      <c r="D2874" s="30" t="n"/>
      <c r="E2874" s="33">
        <f>IF(B2874="","",IFERROR(INDEX(Productos!$B$2:$B$501,MATCH(B2874,Productos!$A$2:$A$501,0)),"¿Código?"))</f>
        <v/>
      </c>
      <c r="F2874" s="32">
        <f>IF(C2874&lt;&gt;"Venta","",D2874*IFERROR(INDEX(Productos!$D$2:$D$501,MATCH(B2874,Productos!$A$2:$A$501,0)),0))</f>
        <v/>
      </c>
      <c r="G2874" s="32">
        <f>IF(C2874&lt;&gt;"Venta","",D2874*IFERROR(INDEX(Productos!$E$2:$E$501,MATCH(B2874,Productos!$A$2:$A$501,0)),0))</f>
        <v/>
      </c>
      <c r="H2874" s="33">
        <f>IF(A2874="","",MONTH(A2874))</f>
        <v/>
      </c>
      <c r="I2874" s="33">
        <f>IF(A2874="","",YEAR(A2874))</f>
        <v/>
      </c>
    </row>
    <row r="2875" ht="15" customHeight="1" s="21">
      <c r="A2875" s="34" t="n"/>
      <c r="B2875" s="30" t="n"/>
      <c r="C2875" s="30" t="n"/>
      <c r="D2875" s="30" t="n"/>
      <c r="E2875" s="33">
        <f>IF(B2875="","",IFERROR(INDEX(Productos!$B$2:$B$501,MATCH(B2875,Productos!$A$2:$A$501,0)),"¿Código?"))</f>
        <v/>
      </c>
      <c r="F2875" s="32">
        <f>IF(C2875&lt;&gt;"Venta","",D2875*IFERROR(INDEX(Productos!$D$2:$D$501,MATCH(B2875,Productos!$A$2:$A$501,0)),0))</f>
        <v/>
      </c>
      <c r="G2875" s="32">
        <f>IF(C2875&lt;&gt;"Venta","",D2875*IFERROR(INDEX(Productos!$E$2:$E$501,MATCH(B2875,Productos!$A$2:$A$501,0)),0))</f>
        <v/>
      </c>
      <c r="H2875" s="33">
        <f>IF(A2875="","",MONTH(A2875))</f>
        <v/>
      </c>
      <c r="I2875" s="33">
        <f>IF(A2875="","",YEAR(A2875))</f>
        <v/>
      </c>
    </row>
    <row r="2876" ht="15" customHeight="1" s="21">
      <c r="A2876" s="34" t="n"/>
      <c r="B2876" s="30" t="n"/>
      <c r="C2876" s="30" t="n"/>
      <c r="D2876" s="30" t="n"/>
      <c r="E2876" s="33">
        <f>IF(B2876="","",IFERROR(INDEX(Productos!$B$2:$B$501,MATCH(B2876,Productos!$A$2:$A$501,0)),"¿Código?"))</f>
        <v/>
      </c>
      <c r="F2876" s="32">
        <f>IF(C2876&lt;&gt;"Venta","",D2876*IFERROR(INDEX(Productos!$D$2:$D$501,MATCH(B2876,Productos!$A$2:$A$501,0)),0))</f>
        <v/>
      </c>
      <c r="G2876" s="32">
        <f>IF(C2876&lt;&gt;"Venta","",D2876*IFERROR(INDEX(Productos!$E$2:$E$501,MATCH(B2876,Productos!$A$2:$A$501,0)),0))</f>
        <v/>
      </c>
      <c r="H2876" s="33">
        <f>IF(A2876="","",MONTH(A2876))</f>
        <v/>
      </c>
      <c r="I2876" s="33">
        <f>IF(A2876="","",YEAR(A2876))</f>
        <v/>
      </c>
    </row>
    <row r="2877" ht="15" customHeight="1" s="21">
      <c r="A2877" s="34" t="n"/>
      <c r="B2877" s="30" t="n"/>
      <c r="C2877" s="30" t="n"/>
      <c r="D2877" s="30" t="n"/>
      <c r="E2877" s="33">
        <f>IF(B2877="","",IFERROR(INDEX(Productos!$B$2:$B$501,MATCH(B2877,Productos!$A$2:$A$501,0)),"¿Código?"))</f>
        <v/>
      </c>
      <c r="F2877" s="32">
        <f>IF(C2877&lt;&gt;"Venta","",D2877*IFERROR(INDEX(Productos!$D$2:$D$501,MATCH(B2877,Productos!$A$2:$A$501,0)),0))</f>
        <v/>
      </c>
      <c r="G2877" s="32">
        <f>IF(C2877&lt;&gt;"Venta","",D2877*IFERROR(INDEX(Productos!$E$2:$E$501,MATCH(B2877,Productos!$A$2:$A$501,0)),0))</f>
        <v/>
      </c>
      <c r="H2877" s="33">
        <f>IF(A2877="","",MONTH(A2877))</f>
        <v/>
      </c>
      <c r="I2877" s="33">
        <f>IF(A2877="","",YEAR(A2877))</f>
        <v/>
      </c>
    </row>
    <row r="2878" ht="15" customHeight="1" s="21">
      <c r="A2878" s="34" t="n"/>
      <c r="B2878" s="30" t="n"/>
      <c r="C2878" s="30" t="n"/>
      <c r="D2878" s="30" t="n"/>
      <c r="E2878" s="33">
        <f>IF(B2878="","",IFERROR(INDEX(Productos!$B$2:$B$501,MATCH(B2878,Productos!$A$2:$A$501,0)),"¿Código?"))</f>
        <v/>
      </c>
      <c r="F2878" s="32">
        <f>IF(C2878&lt;&gt;"Venta","",D2878*IFERROR(INDEX(Productos!$D$2:$D$501,MATCH(B2878,Productos!$A$2:$A$501,0)),0))</f>
        <v/>
      </c>
      <c r="G2878" s="32">
        <f>IF(C2878&lt;&gt;"Venta","",D2878*IFERROR(INDEX(Productos!$E$2:$E$501,MATCH(B2878,Productos!$A$2:$A$501,0)),0))</f>
        <v/>
      </c>
      <c r="H2878" s="33">
        <f>IF(A2878="","",MONTH(A2878))</f>
        <v/>
      </c>
      <c r="I2878" s="33">
        <f>IF(A2878="","",YEAR(A2878))</f>
        <v/>
      </c>
    </row>
    <row r="2879" ht="15" customHeight="1" s="21">
      <c r="A2879" s="34" t="n"/>
      <c r="B2879" s="30" t="n"/>
      <c r="C2879" s="30" t="n"/>
      <c r="D2879" s="30" t="n"/>
      <c r="E2879" s="33">
        <f>IF(B2879="","",IFERROR(INDEX(Productos!$B$2:$B$501,MATCH(B2879,Productos!$A$2:$A$501,0)),"¿Código?"))</f>
        <v/>
      </c>
      <c r="F2879" s="32">
        <f>IF(C2879&lt;&gt;"Venta","",D2879*IFERROR(INDEX(Productos!$D$2:$D$501,MATCH(B2879,Productos!$A$2:$A$501,0)),0))</f>
        <v/>
      </c>
      <c r="G2879" s="32">
        <f>IF(C2879&lt;&gt;"Venta","",D2879*IFERROR(INDEX(Productos!$E$2:$E$501,MATCH(B2879,Productos!$A$2:$A$501,0)),0))</f>
        <v/>
      </c>
      <c r="H2879" s="33">
        <f>IF(A2879="","",MONTH(A2879))</f>
        <v/>
      </c>
      <c r="I2879" s="33">
        <f>IF(A2879="","",YEAR(A2879))</f>
        <v/>
      </c>
    </row>
    <row r="2880" ht="15" customHeight="1" s="21">
      <c r="A2880" s="34" t="n"/>
      <c r="B2880" s="30" t="n"/>
      <c r="C2880" s="30" t="n"/>
      <c r="D2880" s="30" t="n"/>
      <c r="E2880" s="33">
        <f>IF(B2880="","",IFERROR(INDEX(Productos!$B$2:$B$501,MATCH(B2880,Productos!$A$2:$A$501,0)),"¿Código?"))</f>
        <v/>
      </c>
      <c r="F2880" s="32">
        <f>IF(C2880&lt;&gt;"Venta","",D2880*IFERROR(INDEX(Productos!$D$2:$D$501,MATCH(B2880,Productos!$A$2:$A$501,0)),0))</f>
        <v/>
      </c>
      <c r="G2880" s="32">
        <f>IF(C2880&lt;&gt;"Venta","",D2880*IFERROR(INDEX(Productos!$E$2:$E$501,MATCH(B2880,Productos!$A$2:$A$501,0)),0))</f>
        <v/>
      </c>
      <c r="H2880" s="33">
        <f>IF(A2880="","",MONTH(A2880))</f>
        <v/>
      </c>
      <c r="I2880" s="33">
        <f>IF(A2880="","",YEAR(A2880))</f>
        <v/>
      </c>
    </row>
    <row r="2881" ht="15" customHeight="1" s="21">
      <c r="A2881" s="34" t="n"/>
      <c r="B2881" s="30" t="n"/>
      <c r="C2881" s="30" t="n"/>
      <c r="D2881" s="30" t="n"/>
      <c r="E2881" s="33">
        <f>IF(B2881="","",IFERROR(INDEX(Productos!$B$2:$B$501,MATCH(B2881,Productos!$A$2:$A$501,0)),"¿Código?"))</f>
        <v/>
      </c>
      <c r="F2881" s="32">
        <f>IF(C2881&lt;&gt;"Venta","",D2881*IFERROR(INDEX(Productos!$D$2:$D$501,MATCH(B2881,Productos!$A$2:$A$501,0)),0))</f>
        <v/>
      </c>
      <c r="G2881" s="32">
        <f>IF(C2881&lt;&gt;"Venta","",D2881*IFERROR(INDEX(Productos!$E$2:$E$501,MATCH(B2881,Productos!$A$2:$A$501,0)),0))</f>
        <v/>
      </c>
      <c r="H2881" s="33">
        <f>IF(A2881="","",MONTH(A2881))</f>
        <v/>
      </c>
      <c r="I2881" s="33">
        <f>IF(A2881="","",YEAR(A2881))</f>
        <v/>
      </c>
    </row>
    <row r="2882" ht="15" customHeight="1" s="21">
      <c r="A2882" s="34" t="n"/>
      <c r="B2882" s="30" t="n"/>
      <c r="C2882" s="30" t="n"/>
      <c r="D2882" s="30" t="n"/>
      <c r="E2882" s="33">
        <f>IF(B2882="","",IFERROR(INDEX(Productos!$B$2:$B$501,MATCH(B2882,Productos!$A$2:$A$501,0)),"¿Código?"))</f>
        <v/>
      </c>
      <c r="F2882" s="32">
        <f>IF(C2882&lt;&gt;"Venta","",D2882*IFERROR(INDEX(Productos!$D$2:$D$501,MATCH(B2882,Productos!$A$2:$A$501,0)),0))</f>
        <v/>
      </c>
      <c r="G2882" s="32">
        <f>IF(C2882&lt;&gt;"Venta","",D2882*IFERROR(INDEX(Productos!$E$2:$E$501,MATCH(B2882,Productos!$A$2:$A$501,0)),0))</f>
        <v/>
      </c>
      <c r="H2882" s="33">
        <f>IF(A2882="","",MONTH(A2882))</f>
        <v/>
      </c>
      <c r="I2882" s="33">
        <f>IF(A2882="","",YEAR(A2882))</f>
        <v/>
      </c>
    </row>
    <row r="2883" ht="15" customHeight="1" s="21">
      <c r="A2883" s="34" t="n"/>
      <c r="B2883" s="30" t="n"/>
      <c r="C2883" s="30" t="n"/>
      <c r="D2883" s="30" t="n"/>
      <c r="E2883" s="33">
        <f>IF(B2883="","",IFERROR(INDEX(Productos!$B$2:$B$501,MATCH(B2883,Productos!$A$2:$A$501,0)),"¿Código?"))</f>
        <v/>
      </c>
      <c r="F2883" s="32">
        <f>IF(C2883&lt;&gt;"Venta","",D2883*IFERROR(INDEX(Productos!$D$2:$D$501,MATCH(B2883,Productos!$A$2:$A$501,0)),0))</f>
        <v/>
      </c>
      <c r="G2883" s="32">
        <f>IF(C2883&lt;&gt;"Venta","",D2883*IFERROR(INDEX(Productos!$E$2:$E$501,MATCH(B2883,Productos!$A$2:$A$501,0)),0))</f>
        <v/>
      </c>
      <c r="H2883" s="33">
        <f>IF(A2883="","",MONTH(A2883))</f>
        <v/>
      </c>
      <c r="I2883" s="33">
        <f>IF(A2883="","",YEAR(A2883))</f>
        <v/>
      </c>
    </row>
    <row r="2884" ht="15" customHeight="1" s="21">
      <c r="A2884" s="34" t="n"/>
      <c r="B2884" s="30" t="n"/>
      <c r="C2884" s="30" t="n"/>
      <c r="D2884" s="30" t="n"/>
      <c r="E2884" s="33">
        <f>IF(B2884="","",IFERROR(INDEX(Productos!$B$2:$B$501,MATCH(B2884,Productos!$A$2:$A$501,0)),"¿Código?"))</f>
        <v/>
      </c>
      <c r="F2884" s="32">
        <f>IF(C2884&lt;&gt;"Venta","",D2884*IFERROR(INDEX(Productos!$D$2:$D$501,MATCH(B2884,Productos!$A$2:$A$501,0)),0))</f>
        <v/>
      </c>
      <c r="G2884" s="32">
        <f>IF(C2884&lt;&gt;"Venta","",D2884*IFERROR(INDEX(Productos!$E$2:$E$501,MATCH(B2884,Productos!$A$2:$A$501,0)),0))</f>
        <v/>
      </c>
      <c r="H2884" s="33">
        <f>IF(A2884="","",MONTH(A2884))</f>
        <v/>
      </c>
      <c r="I2884" s="33">
        <f>IF(A2884="","",YEAR(A2884))</f>
        <v/>
      </c>
    </row>
    <row r="2885" ht="15" customHeight="1" s="21">
      <c r="A2885" s="34" t="n"/>
      <c r="B2885" s="30" t="n"/>
      <c r="C2885" s="30" t="n"/>
      <c r="D2885" s="30" t="n"/>
      <c r="E2885" s="33">
        <f>IF(B2885="","",IFERROR(INDEX(Productos!$B$2:$B$501,MATCH(B2885,Productos!$A$2:$A$501,0)),"¿Código?"))</f>
        <v/>
      </c>
      <c r="F2885" s="32">
        <f>IF(C2885&lt;&gt;"Venta","",D2885*IFERROR(INDEX(Productos!$D$2:$D$501,MATCH(B2885,Productos!$A$2:$A$501,0)),0))</f>
        <v/>
      </c>
      <c r="G2885" s="32">
        <f>IF(C2885&lt;&gt;"Venta","",D2885*IFERROR(INDEX(Productos!$E$2:$E$501,MATCH(B2885,Productos!$A$2:$A$501,0)),0))</f>
        <v/>
      </c>
      <c r="H2885" s="33">
        <f>IF(A2885="","",MONTH(A2885))</f>
        <v/>
      </c>
      <c r="I2885" s="33">
        <f>IF(A2885="","",YEAR(A2885))</f>
        <v/>
      </c>
    </row>
    <row r="2886" ht="15" customHeight="1" s="21">
      <c r="A2886" s="34" t="n"/>
      <c r="B2886" s="30" t="n"/>
      <c r="C2886" s="30" t="n"/>
      <c r="D2886" s="30" t="n"/>
      <c r="E2886" s="33">
        <f>IF(B2886="","",IFERROR(INDEX(Productos!$B$2:$B$501,MATCH(B2886,Productos!$A$2:$A$501,0)),"¿Código?"))</f>
        <v/>
      </c>
      <c r="F2886" s="32">
        <f>IF(C2886&lt;&gt;"Venta","",D2886*IFERROR(INDEX(Productos!$D$2:$D$501,MATCH(B2886,Productos!$A$2:$A$501,0)),0))</f>
        <v/>
      </c>
      <c r="G2886" s="32">
        <f>IF(C2886&lt;&gt;"Venta","",D2886*IFERROR(INDEX(Productos!$E$2:$E$501,MATCH(B2886,Productos!$A$2:$A$501,0)),0))</f>
        <v/>
      </c>
      <c r="H2886" s="33">
        <f>IF(A2886="","",MONTH(A2886))</f>
        <v/>
      </c>
      <c r="I2886" s="33">
        <f>IF(A2886="","",YEAR(A2886))</f>
        <v/>
      </c>
    </row>
    <row r="2887" ht="15" customHeight="1" s="21">
      <c r="A2887" s="34" t="n"/>
      <c r="B2887" s="30" t="n"/>
      <c r="C2887" s="30" t="n"/>
      <c r="D2887" s="30" t="n"/>
      <c r="E2887" s="33">
        <f>IF(B2887="","",IFERROR(INDEX(Productos!$B$2:$B$501,MATCH(B2887,Productos!$A$2:$A$501,0)),"¿Código?"))</f>
        <v/>
      </c>
      <c r="F2887" s="32">
        <f>IF(C2887&lt;&gt;"Venta","",D2887*IFERROR(INDEX(Productos!$D$2:$D$501,MATCH(B2887,Productos!$A$2:$A$501,0)),0))</f>
        <v/>
      </c>
      <c r="G2887" s="32">
        <f>IF(C2887&lt;&gt;"Venta","",D2887*IFERROR(INDEX(Productos!$E$2:$E$501,MATCH(B2887,Productos!$A$2:$A$501,0)),0))</f>
        <v/>
      </c>
      <c r="H2887" s="33">
        <f>IF(A2887="","",MONTH(A2887))</f>
        <v/>
      </c>
      <c r="I2887" s="33">
        <f>IF(A2887="","",YEAR(A2887))</f>
        <v/>
      </c>
    </row>
    <row r="2888" ht="15" customHeight="1" s="21">
      <c r="A2888" s="34" t="n"/>
      <c r="B2888" s="30" t="n"/>
      <c r="C2888" s="30" t="n"/>
      <c r="D2888" s="30" t="n"/>
      <c r="E2888" s="33">
        <f>IF(B2888="","",IFERROR(INDEX(Productos!$B$2:$B$501,MATCH(B2888,Productos!$A$2:$A$501,0)),"¿Código?"))</f>
        <v/>
      </c>
      <c r="F2888" s="32">
        <f>IF(C2888&lt;&gt;"Venta","",D2888*IFERROR(INDEX(Productos!$D$2:$D$501,MATCH(B2888,Productos!$A$2:$A$501,0)),0))</f>
        <v/>
      </c>
      <c r="G2888" s="32">
        <f>IF(C2888&lt;&gt;"Venta","",D2888*IFERROR(INDEX(Productos!$E$2:$E$501,MATCH(B2888,Productos!$A$2:$A$501,0)),0))</f>
        <v/>
      </c>
      <c r="H2888" s="33">
        <f>IF(A2888="","",MONTH(A2888))</f>
        <v/>
      </c>
      <c r="I2888" s="33">
        <f>IF(A2888="","",YEAR(A2888))</f>
        <v/>
      </c>
    </row>
    <row r="2889" ht="15" customHeight="1" s="21">
      <c r="A2889" s="34" t="n"/>
      <c r="B2889" s="30" t="n"/>
      <c r="C2889" s="30" t="n"/>
      <c r="D2889" s="30" t="n"/>
      <c r="E2889" s="33">
        <f>IF(B2889="","",IFERROR(INDEX(Productos!$B$2:$B$501,MATCH(B2889,Productos!$A$2:$A$501,0)),"¿Código?"))</f>
        <v/>
      </c>
      <c r="F2889" s="32">
        <f>IF(C2889&lt;&gt;"Venta","",D2889*IFERROR(INDEX(Productos!$D$2:$D$501,MATCH(B2889,Productos!$A$2:$A$501,0)),0))</f>
        <v/>
      </c>
      <c r="G2889" s="32">
        <f>IF(C2889&lt;&gt;"Venta","",D2889*IFERROR(INDEX(Productos!$E$2:$E$501,MATCH(B2889,Productos!$A$2:$A$501,0)),0))</f>
        <v/>
      </c>
      <c r="H2889" s="33">
        <f>IF(A2889="","",MONTH(A2889))</f>
        <v/>
      </c>
      <c r="I2889" s="33">
        <f>IF(A2889="","",YEAR(A2889))</f>
        <v/>
      </c>
    </row>
    <row r="2890" ht="15" customHeight="1" s="21">
      <c r="A2890" s="34" t="n"/>
      <c r="B2890" s="30" t="n"/>
      <c r="C2890" s="30" t="n"/>
      <c r="D2890" s="30" t="n"/>
      <c r="E2890" s="33">
        <f>IF(B2890="","",IFERROR(INDEX(Productos!$B$2:$B$501,MATCH(B2890,Productos!$A$2:$A$501,0)),"¿Código?"))</f>
        <v/>
      </c>
      <c r="F2890" s="32">
        <f>IF(C2890&lt;&gt;"Venta","",D2890*IFERROR(INDEX(Productos!$D$2:$D$501,MATCH(B2890,Productos!$A$2:$A$501,0)),0))</f>
        <v/>
      </c>
      <c r="G2890" s="32">
        <f>IF(C2890&lt;&gt;"Venta","",D2890*IFERROR(INDEX(Productos!$E$2:$E$501,MATCH(B2890,Productos!$A$2:$A$501,0)),0))</f>
        <v/>
      </c>
      <c r="H2890" s="33">
        <f>IF(A2890="","",MONTH(A2890))</f>
        <v/>
      </c>
      <c r="I2890" s="33">
        <f>IF(A2890="","",YEAR(A2890))</f>
        <v/>
      </c>
    </row>
    <row r="2891" ht="15" customHeight="1" s="21">
      <c r="A2891" s="34" t="n"/>
      <c r="B2891" s="30" t="n"/>
      <c r="C2891" s="30" t="n"/>
      <c r="D2891" s="30" t="n"/>
      <c r="E2891" s="33">
        <f>IF(B2891="","",IFERROR(INDEX(Productos!$B$2:$B$501,MATCH(B2891,Productos!$A$2:$A$501,0)),"¿Código?"))</f>
        <v/>
      </c>
      <c r="F2891" s="32">
        <f>IF(C2891&lt;&gt;"Venta","",D2891*IFERROR(INDEX(Productos!$D$2:$D$501,MATCH(B2891,Productos!$A$2:$A$501,0)),0))</f>
        <v/>
      </c>
      <c r="G2891" s="32">
        <f>IF(C2891&lt;&gt;"Venta","",D2891*IFERROR(INDEX(Productos!$E$2:$E$501,MATCH(B2891,Productos!$A$2:$A$501,0)),0))</f>
        <v/>
      </c>
      <c r="H2891" s="33">
        <f>IF(A2891="","",MONTH(A2891))</f>
        <v/>
      </c>
      <c r="I2891" s="33">
        <f>IF(A2891="","",YEAR(A2891))</f>
        <v/>
      </c>
    </row>
    <row r="2892" ht="15" customHeight="1" s="21">
      <c r="A2892" s="34" t="n"/>
      <c r="B2892" s="30" t="n"/>
      <c r="C2892" s="30" t="n"/>
      <c r="D2892" s="30" t="n"/>
      <c r="E2892" s="33">
        <f>IF(B2892="","",IFERROR(INDEX(Productos!$B$2:$B$501,MATCH(B2892,Productos!$A$2:$A$501,0)),"¿Código?"))</f>
        <v/>
      </c>
      <c r="F2892" s="32">
        <f>IF(C2892&lt;&gt;"Venta","",D2892*IFERROR(INDEX(Productos!$D$2:$D$501,MATCH(B2892,Productos!$A$2:$A$501,0)),0))</f>
        <v/>
      </c>
      <c r="G2892" s="32">
        <f>IF(C2892&lt;&gt;"Venta","",D2892*IFERROR(INDEX(Productos!$E$2:$E$501,MATCH(B2892,Productos!$A$2:$A$501,0)),0))</f>
        <v/>
      </c>
      <c r="H2892" s="33">
        <f>IF(A2892="","",MONTH(A2892))</f>
        <v/>
      </c>
      <c r="I2892" s="33">
        <f>IF(A2892="","",YEAR(A2892))</f>
        <v/>
      </c>
    </row>
    <row r="2893" ht="15" customHeight="1" s="21">
      <c r="A2893" s="34" t="n"/>
      <c r="B2893" s="30" t="n"/>
      <c r="C2893" s="30" t="n"/>
      <c r="D2893" s="30" t="n"/>
      <c r="E2893" s="33">
        <f>IF(B2893="","",IFERROR(INDEX(Productos!$B$2:$B$501,MATCH(B2893,Productos!$A$2:$A$501,0)),"¿Código?"))</f>
        <v/>
      </c>
      <c r="F2893" s="32">
        <f>IF(C2893&lt;&gt;"Venta","",D2893*IFERROR(INDEX(Productos!$D$2:$D$501,MATCH(B2893,Productos!$A$2:$A$501,0)),0))</f>
        <v/>
      </c>
      <c r="G2893" s="32">
        <f>IF(C2893&lt;&gt;"Venta","",D2893*IFERROR(INDEX(Productos!$E$2:$E$501,MATCH(B2893,Productos!$A$2:$A$501,0)),0))</f>
        <v/>
      </c>
      <c r="H2893" s="33">
        <f>IF(A2893="","",MONTH(A2893))</f>
        <v/>
      </c>
      <c r="I2893" s="33">
        <f>IF(A2893="","",YEAR(A2893))</f>
        <v/>
      </c>
    </row>
    <row r="2894" ht="15" customHeight="1" s="21">
      <c r="A2894" s="34" t="n"/>
      <c r="B2894" s="30" t="n"/>
      <c r="C2894" s="30" t="n"/>
      <c r="D2894" s="30" t="n"/>
      <c r="E2894" s="33">
        <f>IF(B2894="","",IFERROR(INDEX(Productos!$B$2:$B$501,MATCH(B2894,Productos!$A$2:$A$501,0)),"¿Código?"))</f>
        <v/>
      </c>
      <c r="F2894" s="32">
        <f>IF(C2894&lt;&gt;"Venta","",D2894*IFERROR(INDEX(Productos!$D$2:$D$501,MATCH(B2894,Productos!$A$2:$A$501,0)),0))</f>
        <v/>
      </c>
      <c r="G2894" s="32">
        <f>IF(C2894&lt;&gt;"Venta","",D2894*IFERROR(INDEX(Productos!$E$2:$E$501,MATCH(B2894,Productos!$A$2:$A$501,0)),0))</f>
        <v/>
      </c>
      <c r="H2894" s="33">
        <f>IF(A2894="","",MONTH(A2894))</f>
        <v/>
      </c>
      <c r="I2894" s="33">
        <f>IF(A2894="","",YEAR(A2894))</f>
        <v/>
      </c>
    </row>
    <row r="2895" ht="15" customHeight="1" s="21">
      <c r="A2895" s="34" t="n"/>
      <c r="B2895" s="30" t="n"/>
      <c r="C2895" s="30" t="n"/>
      <c r="D2895" s="30" t="n"/>
      <c r="E2895" s="33">
        <f>IF(B2895="","",IFERROR(INDEX(Productos!$B$2:$B$501,MATCH(B2895,Productos!$A$2:$A$501,0)),"¿Código?"))</f>
        <v/>
      </c>
      <c r="F2895" s="32">
        <f>IF(C2895&lt;&gt;"Venta","",D2895*IFERROR(INDEX(Productos!$D$2:$D$501,MATCH(B2895,Productos!$A$2:$A$501,0)),0))</f>
        <v/>
      </c>
      <c r="G2895" s="32">
        <f>IF(C2895&lt;&gt;"Venta","",D2895*IFERROR(INDEX(Productos!$E$2:$E$501,MATCH(B2895,Productos!$A$2:$A$501,0)),0))</f>
        <v/>
      </c>
      <c r="H2895" s="33">
        <f>IF(A2895="","",MONTH(A2895))</f>
        <v/>
      </c>
      <c r="I2895" s="33">
        <f>IF(A2895="","",YEAR(A2895))</f>
        <v/>
      </c>
    </row>
    <row r="2896" ht="15" customHeight="1" s="21">
      <c r="A2896" s="34" t="n"/>
      <c r="B2896" s="30" t="n"/>
      <c r="C2896" s="30" t="n"/>
      <c r="D2896" s="30" t="n"/>
      <c r="E2896" s="33">
        <f>IF(B2896="","",IFERROR(INDEX(Productos!$B$2:$B$501,MATCH(B2896,Productos!$A$2:$A$501,0)),"¿Código?"))</f>
        <v/>
      </c>
      <c r="F2896" s="32">
        <f>IF(C2896&lt;&gt;"Venta","",D2896*IFERROR(INDEX(Productos!$D$2:$D$501,MATCH(B2896,Productos!$A$2:$A$501,0)),0))</f>
        <v/>
      </c>
      <c r="G2896" s="32">
        <f>IF(C2896&lt;&gt;"Venta","",D2896*IFERROR(INDEX(Productos!$E$2:$E$501,MATCH(B2896,Productos!$A$2:$A$501,0)),0))</f>
        <v/>
      </c>
      <c r="H2896" s="33">
        <f>IF(A2896="","",MONTH(A2896))</f>
        <v/>
      </c>
      <c r="I2896" s="33">
        <f>IF(A2896="","",YEAR(A2896))</f>
        <v/>
      </c>
    </row>
    <row r="2897" ht="15" customHeight="1" s="21">
      <c r="A2897" s="34" t="n"/>
      <c r="B2897" s="30" t="n"/>
      <c r="C2897" s="30" t="n"/>
      <c r="D2897" s="30" t="n"/>
      <c r="E2897" s="33">
        <f>IF(B2897="","",IFERROR(INDEX(Productos!$B$2:$B$501,MATCH(B2897,Productos!$A$2:$A$501,0)),"¿Código?"))</f>
        <v/>
      </c>
      <c r="F2897" s="32">
        <f>IF(C2897&lt;&gt;"Venta","",D2897*IFERROR(INDEX(Productos!$D$2:$D$501,MATCH(B2897,Productos!$A$2:$A$501,0)),0))</f>
        <v/>
      </c>
      <c r="G2897" s="32">
        <f>IF(C2897&lt;&gt;"Venta","",D2897*IFERROR(INDEX(Productos!$E$2:$E$501,MATCH(B2897,Productos!$A$2:$A$501,0)),0))</f>
        <v/>
      </c>
      <c r="H2897" s="33">
        <f>IF(A2897="","",MONTH(A2897))</f>
        <v/>
      </c>
      <c r="I2897" s="33">
        <f>IF(A2897="","",YEAR(A2897))</f>
        <v/>
      </c>
    </row>
    <row r="2898" ht="15" customHeight="1" s="21">
      <c r="A2898" s="34" t="n"/>
      <c r="B2898" s="30" t="n"/>
      <c r="C2898" s="30" t="n"/>
      <c r="D2898" s="30" t="n"/>
      <c r="E2898" s="33">
        <f>IF(B2898="","",IFERROR(INDEX(Productos!$B$2:$B$501,MATCH(B2898,Productos!$A$2:$A$501,0)),"¿Código?"))</f>
        <v/>
      </c>
      <c r="F2898" s="32">
        <f>IF(C2898&lt;&gt;"Venta","",D2898*IFERROR(INDEX(Productos!$D$2:$D$501,MATCH(B2898,Productos!$A$2:$A$501,0)),0))</f>
        <v/>
      </c>
      <c r="G2898" s="32">
        <f>IF(C2898&lt;&gt;"Venta","",D2898*IFERROR(INDEX(Productos!$E$2:$E$501,MATCH(B2898,Productos!$A$2:$A$501,0)),0))</f>
        <v/>
      </c>
      <c r="H2898" s="33">
        <f>IF(A2898="","",MONTH(A2898))</f>
        <v/>
      </c>
      <c r="I2898" s="33">
        <f>IF(A2898="","",YEAR(A2898))</f>
        <v/>
      </c>
    </row>
    <row r="2899" ht="15" customHeight="1" s="21">
      <c r="A2899" s="34" t="n"/>
      <c r="B2899" s="30" t="n"/>
      <c r="C2899" s="30" t="n"/>
      <c r="D2899" s="30" t="n"/>
      <c r="E2899" s="33">
        <f>IF(B2899="","",IFERROR(INDEX(Productos!$B$2:$B$501,MATCH(B2899,Productos!$A$2:$A$501,0)),"¿Código?"))</f>
        <v/>
      </c>
      <c r="F2899" s="32">
        <f>IF(C2899&lt;&gt;"Venta","",D2899*IFERROR(INDEX(Productos!$D$2:$D$501,MATCH(B2899,Productos!$A$2:$A$501,0)),0))</f>
        <v/>
      </c>
      <c r="G2899" s="32">
        <f>IF(C2899&lt;&gt;"Venta","",D2899*IFERROR(INDEX(Productos!$E$2:$E$501,MATCH(B2899,Productos!$A$2:$A$501,0)),0))</f>
        <v/>
      </c>
      <c r="H2899" s="33">
        <f>IF(A2899="","",MONTH(A2899))</f>
        <v/>
      </c>
      <c r="I2899" s="33">
        <f>IF(A2899="","",YEAR(A2899))</f>
        <v/>
      </c>
    </row>
    <row r="2900" ht="15" customHeight="1" s="21">
      <c r="A2900" s="34" t="n"/>
      <c r="B2900" s="30" t="n"/>
      <c r="C2900" s="30" t="n"/>
      <c r="D2900" s="30" t="n"/>
      <c r="E2900" s="33">
        <f>IF(B2900="","",IFERROR(INDEX(Productos!$B$2:$B$501,MATCH(B2900,Productos!$A$2:$A$501,0)),"¿Código?"))</f>
        <v/>
      </c>
      <c r="F2900" s="32">
        <f>IF(C2900&lt;&gt;"Venta","",D2900*IFERROR(INDEX(Productos!$D$2:$D$501,MATCH(B2900,Productos!$A$2:$A$501,0)),0))</f>
        <v/>
      </c>
      <c r="G2900" s="32">
        <f>IF(C2900&lt;&gt;"Venta","",D2900*IFERROR(INDEX(Productos!$E$2:$E$501,MATCH(B2900,Productos!$A$2:$A$501,0)),0))</f>
        <v/>
      </c>
      <c r="H2900" s="33">
        <f>IF(A2900="","",MONTH(A2900))</f>
        <v/>
      </c>
      <c r="I2900" s="33">
        <f>IF(A2900="","",YEAR(A2900))</f>
        <v/>
      </c>
    </row>
    <row r="2901" ht="15" customHeight="1" s="21">
      <c r="A2901" s="34" t="n"/>
      <c r="B2901" s="30" t="n"/>
      <c r="C2901" s="30" t="n"/>
      <c r="D2901" s="30" t="n"/>
      <c r="E2901" s="33">
        <f>IF(B2901="","",IFERROR(INDEX(Productos!$B$2:$B$501,MATCH(B2901,Productos!$A$2:$A$501,0)),"¿Código?"))</f>
        <v/>
      </c>
      <c r="F2901" s="32">
        <f>IF(C2901&lt;&gt;"Venta","",D2901*IFERROR(INDEX(Productos!$D$2:$D$501,MATCH(B2901,Productos!$A$2:$A$501,0)),0))</f>
        <v/>
      </c>
      <c r="G2901" s="32">
        <f>IF(C2901&lt;&gt;"Venta","",D2901*IFERROR(INDEX(Productos!$E$2:$E$501,MATCH(B2901,Productos!$A$2:$A$501,0)),0))</f>
        <v/>
      </c>
      <c r="H2901" s="33">
        <f>IF(A2901="","",MONTH(A2901))</f>
        <v/>
      </c>
      <c r="I2901" s="33">
        <f>IF(A2901="","",YEAR(A2901))</f>
        <v/>
      </c>
    </row>
    <row r="2902" ht="15" customHeight="1" s="21">
      <c r="A2902" s="34" t="n"/>
      <c r="B2902" s="30" t="n"/>
      <c r="C2902" s="30" t="n"/>
      <c r="D2902" s="30" t="n"/>
      <c r="E2902" s="33">
        <f>IF(B2902="","",IFERROR(INDEX(Productos!$B$2:$B$501,MATCH(B2902,Productos!$A$2:$A$501,0)),"¿Código?"))</f>
        <v/>
      </c>
      <c r="F2902" s="32">
        <f>IF(C2902&lt;&gt;"Venta","",D2902*IFERROR(INDEX(Productos!$D$2:$D$501,MATCH(B2902,Productos!$A$2:$A$501,0)),0))</f>
        <v/>
      </c>
      <c r="G2902" s="32">
        <f>IF(C2902&lt;&gt;"Venta","",D2902*IFERROR(INDEX(Productos!$E$2:$E$501,MATCH(B2902,Productos!$A$2:$A$501,0)),0))</f>
        <v/>
      </c>
      <c r="H2902" s="33">
        <f>IF(A2902="","",MONTH(A2902))</f>
        <v/>
      </c>
      <c r="I2902" s="33">
        <f>IF(A2902="","",YEAR(A2902))</f>
        <v/>
      </c>
    </row>
    <row r="2903" ht="15" customHeight="1" s="21">
      <c r="A2903" s="34" t="n"/>
      <c r="B2903" s="30" t="n"/>
      <c r="C2903" s="30" t="n"/>
      <c r="D2903" s="30" t="n"/>
      <c r="E2903" s="33">
        <f>IF(B2903="","",IFERROR(INDEX(Productos!$B$2:$B$501,MATCH(B2903,Productos!$A$2:$A$501,0)),"¿Código?"))</f>
        <v/>
      </c>
      <c r="F2903" s="32">
        <f>IF(C2903&lt;&gt;"Venta","",D2903*IFERROR(INDEX(Productos!$D$2:$D$501,MATCH(B2903,Productos!$A$2:$A$501,0)),0))</f>
        <v/>
      </c>
      <c r="G2903" s="32">
        <f>IF(C2903&lt;&gt;"Venta","",D2903*IFERROR(INDEX(Productos!$E$2:$E$501,MATCH(B2903,Productos!$A$2:$A$501,0)),0))</f>
        <v/>
      </c>
      <c r="H2903" s="33">
        <f>IF(A2903="","",MONTH(A2903))</f>
        <v/>
      </c>
      <c r="I2903" s="33">
        <f>IF(A2903="","",YEAR(A2903))</f>
        <v/>
      </c>
    </row>
    <row r="2904" ht="15" customHeight="1" s="21">
      <c r="A2904" s="34" t="n"/>
      <c r="B2904" s="30" t="n"/>
      <c r="C2904" s="30" t="n"/>
      <c r="D2904" s="30" t="n"/>
      <c r="E2904" s="33">
        <f>IF(B2904="","",IFERROR(INDEX(Productos!$B$2:$B$501,MATCH(B2904,Productos!$A$2:$A$501,0)),"¿Código?"))</f>
        <v/>
      </c>
      <c r="F2904" s="32">
        <f>IF(C2904&lt;&gt;"Venta","",D2904*IFERROR(INDEX(Productos!$D$2:$D$501,MATCH(B2904,Productos!$A$2:$A$501,0)),0))</f>
        <v/>
      </c>
      <c r="G2904" s="32">
        <f>IF(C2904&lt;&gt;"Venta","",D2904*IFERROR(INDEX(Productos!$E$2:$E$501,MATCH(B2904,Productos!$A$2:$A$501,0)),0))</f>
        <v/>
      </c>
      <c r="H2904" s="33">
        <f>IF(A2904="","",MONTH(A2904))</f>
        <v/>
      </c>
      <c r="I2904" s="33">
        <f>IF(A2904="","",YEAR(A2904))</f>
        <v/>
      </c>
    </row>
    <row r="2905" ht="15" customHeight="1" s="21">
      <c r="A2905" s="34" t="n"/>
      <c r="B2905" s="30" t="n"/>
      <c r="C2905" s="30" t="n"/>
      <c r="D2905" s="30" t="n"/>
      <c r="E2905" s="33">
        <f>IF(B2905="","",IFERROR(INDEX(Productos!$B$2:$B$501,MATCH(B2905,Productos!$A$2:$A$501,0)),"¿Código?"))</f>
        <v/>
      </c>
      <c r="F2905" s="32">
        <f>IF(C2905&lt;&gt;"Venta","",D2905*IFERROR(INDEX(Productos!$D$2:$D$501,MATCH(B2905,Productos!$A$2:$A$501,0)),0))</f>
        <v/>
      </c>
      <c r="G2905" s="32">
        <f>IF(C2905&lt;&gt;"Venta","",D2905*IFERROR(INDEX(Productos!$E$2:$E$501,MATCH(B2905,Productos!$A$2:$A$501,0)),0))</f>
        <v/>
      </c>
      <c r="H2905" s="33">
        <f>IF(A2905="","",MONTH(A2905))</f>
        <v/>
      </c>
      <c r="I2905" s="33">
        <f>IF(A2905="","",YEAR(A2905))</f>
        <v/>
      </c>
    </row>
    <row r="2906" ht="15" customHeight="1" s="21">
      <c r="A2906" s="34" t="n"/>
      <c r="B2906" s="30" t="n"/>
      <c r="C2906" s="30" t="n"/>
      <c r="D2906" s="30" t="n"/>
      <c r="E2906" s="33">
        <f>IF(B2906="","",IFERROR(INDEX(Productos!$B$2:$B$501,MATCH(B2906,Productos!$A$2:$A$501,0)),"¿Código?"))</f>
        <v/>
      </c>
      <c r="F2906" s="32">
        <f>IF(C2906&lt;&gt;"Venta","",D2906*IFERROR(INDEX(Productos!$D$2:$D$501,MATCH(B2906,Productos!$A$2:$A$501,0)),0))</f>
        <v/>
      </c>
      <c r="G2906" s="32">
        <f>IF(C2906&lt;&gt;"Venta","",D2906*IFERROR(INDEX(Productos!$E$2:$E$501,MATCH(B2906,Productos!$A$2:$A$501,0)),0))</f>
        <v/>
      </c>
      <c r="H2906" s="33">
        <f>IF(A2906="","",MONTH(A2906))</f>
        <v/>
      </c>
      <c r="I2906" s="33">
        <f>IF(A2906="","",YEAR(A2906))</f>
        <v/>
      </c>
    </row>
    <row r="2907" ht="15" customHeight="1" s="21">
      <c r="A2907" s="34" t="n"/>
      <c r="B2907" s="30" t="n"/>
      <c r="C2907" s="30" t="n"/>
      <c r="D2907" s="30" t="n"/>
      <c r="E2907" s="33">
        <f>IF(B2907="","",IFERROR(INDEX(Productos!$B$2:$B$501,MATCH(B2907,Productos!$A$2:$A$501,0)),"¿Código?"))</f>
        <v/>
      </c>
      <c r="F2907" s="32">
        <f>IF(C2907&lt;&gt;"Venta","",D2907*IFERROR(INDEX(Productos!$D$2:$D$501,MATCH(B2907,Productos!$A$2:$A$501,0)),0))</f>
        <v/>
      </c>
      <c r="G2907" s="32">
        <f>IF(C2907&lt;&gt;"Venta","",D2907*IFERROR(INDEX(Productos!$E$2:$E$501,MATCH(B2907,Productos!$A$2:$A$501,0)),0))</f>
        <v/>
      </c>
      <c r="H2907" s="33">
        <f>IF(A2907="","",MONTH(A2907))</f>
        <v/>
      </c>
      <c r="I2907" s="33">
        <f>IF(A2907="","",YEAR(A2907))</f>
        <v/>
      </c>
    </row>
    <row r="2908" ht="15" customHeight="1" s="21">
      <c r="A2908" s="34" t="n"/>
      <c r="B2908" s="30" t="n"/>
      <c r="C2908" s="30" t="n"/>
      <c r="D2908" s="30" t="n"/>
      <c r="E2908" s="33">
        <f>IF(B2908="","",IFERROR(INDEX(Productos!$B$2:$B$501,MATCH(B2908,Productos!$A$2:$A$501,0)),"¿Código?"))</f>
        <v/>
      </c>
      <c r="F2908" s="32">
        <f>IF(C2908&lt;&gt;"Venta","",D2908*IFERROR(INDEX(Productos!$D$2:$D$501,MATCH(B2908,Productos!$A$2:$A$501,0)),0))</f>
        <v/>
      </c>
      <c r="G2908" s="32">
        <f>IF(C2908&lt;&gt;"Venta","",D2908*IFERROR(INDEX(Productos!$E$2:$E$501,MATCH(B2908,Productos!$A$2:$A$501,0)),0))</f>
        <v/>
      </c>
      <c r="H2908" s="33">
        <f>IF(A2908="","",MONTH(A2908))</f>
        <v/>
      </c>
      <c r="I2908" s="33">
        <f>IF(A2908="","",YEAR(A2908))</f>
        <v/>
      </c>
    </row>
    <row r="2909" ht="15" customHeight="1" s="21">
      <c r="A2909" s="34" t="n"/>
      <c r="B2909" s="30" t="n"/>
      <c r="C2909" s="30" t="n"/>
      <c r="D2909" s="30" t="n"/>
      <c r="E2909" s="33">
        <f>IF(B2909="","",IFERROR(INDEX(Productos!$B$2:$B$501,MATCH(B2909,Productos!$A$2:$A$501,0)),"¿Código?"))</f>
        <v/>
      </c>
      <c r="F2909" s="32">
        <f>IF(C2909&lt;&gt;"Venta","",D2909*IFERROR(INDEX(Productos!$D$2:$D$501,MATCH(B2909,Productos!$A$2:$A$501,0)),0))</f>
        <v/>
      </c>
      <c r="G2909" s="32">
        <f>IF(C2909&lt;&gt;"Venta","",D2909*IFERROR(INDEX(Productos!$E$2:$E$501,MATCH(B2909,Productos!$A$2:$A$501,0)),0))</f>
        <v/>
      </c>
      <c r="H2909" s="33">
        <f>IF(A2909="","",MONTH(A2909))</f>
        <v/>
      </c>
      <c r="I2909" s="33">
        <f>IF(A2909="","",YEAR(A2909))</f>
        <v/>
      </c>
    </row>
    <row r="2910" ht="15" customHeight="1" s="21">
      <c r="A2910" s="34" t="n"/>
      <c r="B2910" s="30" t="n"/>
      <c r="C2910" s="30" t="n"/>
      <c r="D2910" s="30" t="n"/>
      <c r="E2910" s="33">
        <f>IF(B2910="","",IFERROR(INDEX(Productos!$B$2:$B$501,MATCH(B2910,Productos!$A$2:$A$501,0)),"¿Código?"))</f>
        <v/>
      </c>
      <c r="F2910" s="32">
        <f>IF(C2910&lt;&gt;"Venta","",D2910*IFERROR(INDEX(Productos!$D$2:$D$501,MATCH(B2910,Productos!$A$2:$A$501,0)),0))</f>
        <v/>
      </c>
      <c r="G2910" s="32">
        <f>IF(C2910&lt;&gt;"Venta","",D2910*IFERROR(INDEX(Productos!$E$2:$E$501,MATCH(B2910,Productos!$A$2:$A$501,0)),0))</f>
        <v/>
      </c>
      <c r="H2910" s="33">
        <f>IF(A2910="","",MONTH(A2910))</f>
        <v/>
      </c>
      <c r="I2910" s="33">
        <f>IF(A2910="","",YEAR(A2910))</f>
        <v/>
      </c>
    </row>
    <row r="2911" ht="15" customHeight="1" s="21">
      <c r="A2911" s="34" t="n"/>
      <c r="B2911" s="30" t="n"/>
      <c r="C2911" s="30" t="n"/>
      <c r="D2911" s="30" t="n"/>
      <c r="E2911" s="33">
        <f>IF(B2911="","",IFERROR(INDEX(Productos!$B$2:$B$501,MATCH(B2911,Productos!$A$2:$A$501,0)),"¿Código?"))</f>
        <v/>
      </c>
      <c r="F2911" s="32">
        <f>IF(C2911&lt;&gt;"Venta","",D2911*IFERROR(INDEX(Productos!$D$2:$D$501,MATCH(B2911,Productos!$A$2:$A$501,0)),0))</f>
        <v/>
      </c>
      <c r="G2911" s="32">
        <f>IF(C2911&lt;&gt;"Venta","",D2911*IFERROR(INDEX(Productos!$E$2:$E$501,MATCH(B2911,Productos!$A$2:$A$501,0)),0))</f>
        <v/>
      </c>
      <c r="H2911" s="33">
        <f>IF(A2911="","",MONTH(A2911))</f>
        <v/>
      </c>
      <c r="I2911" s="33">
        <f>IF(A2911="","",YEAR(A2911))</f>
        <v/>
      </c>
    </row>
    <row r="2912" ht="15" customHeight="1" s="21">
      <c r="A2912" s="34" t="n"/>
      <c r="B2912" s="30" t="n"/>
      <c r="C2912" s="30" t="n"/>
      <c r="D2912" s="30" t="n"/>
      <c r="E2912" s="33">
        <f>IF(B2912="","",IFERROR(INDEX(Productos!$B$2:$B$501,MATCH(B2912,Productos!$A$2:$A$501,0)),"¿Código?"))</f>
        <v/>
      </c>
      <c r="F2912" s="32">
        <f>IF(C2912&lt;&gt;"Venta","",D2912*IFERROR(INDEX(Productos!$D$2:$D$501,MATCH(B2912,Productos!$A$2:$A$501,0)),0))</f>
        <v/>
      </c>
      <c r="G2912" s="32">
        <f>IF(C2912&lt;&gt;"Venta","",D2912*IFERROR(INDEX(Productos!$E$2:$E$501,MATCH(B2912,Productos!$A$2:$A$501,0)),0))</f>
        <v/>
      </c>
      <c r="H2912" s="33">
        <f>IF(A2912="","",MONTH(A2912))</f>
        <v/>
      </c>
      <c r="I2912" s="33">
        <f>IF(A2912="","",YEAR(A2912))</f>
        <v/>
      </c>
    </row>
    <row r="2913" ht="15" customHeight="1" s="21">
      <c r="A2913" s="34" t="n"/>
      <c r="B2913" s="30" t="n"/>
      <c r="C2913" s="30" t="n"/>
      <c r="D2913" s="30" t="n"/>
      <c r="E2913" s="33">
        <f>IF(B2913="","",IFERROR(INDEX(Productos!$B$2:$B$501,MATCH(B2913,Productos!$A$2:$A$501,0)),"¿Código?"))</f>
        <v/>
      </c>
      <c r="F2913" s="32">
        <f>IF(C2913&lt;&gt;"Venta","",D2913*IFERROR(INDEX(Productos!$D$2:$D$501,MATCH(B2913,Productos!$A$2:$A$501,0)),0))</f>
        <v/>
      </c>
      <c r="G2913" s="32">
        <f>IF(C2913&lt;&gt;"Venta","",D2913*IFERROR(INDEX(Productos!$E$2:$E$501,MATCH(B2913,Productos!$A$2:$A$501,0)),0))</f>
        <v/>
      </c>
      <c r="H2913" s="33">
        <f>IF(A2913="","",MONTH(A2913))</f>
        <v/>
      </c>
      <c r="I2913" s="33">
        <f>IF(A2913="","",YEAR(A2913))</f>
        <v/>
      </c>
    </row>
    <row r="2914" ht="15" customHeight="1" s="21">
      <c r="A2914" s="34" t="n"/>
      <c r="B2914" s="30" t="n"/>
      <c r="C2914" s="30" t="n"/>
      <c r="D2914" s="30" t="n"/>
      <c r="E2914" s="33">
        <f>IF(B2914="","",IFERROR(INDEX(Productos!$B$2:$B$501,MATCH(B2914,Productos!$A$2:$A$501,0)),"¿Código?"))</f>
        <v/>
      </c>
      <c r="F2914" s="32">
        <f>IF(C2914&lt;&gt;"Venta","",D2914*IFERROR(INDEX(Productos!$D$2:$D$501,MATCH(B2914,Productos!$A$2:$A$501,0)),0))</f>
        <v/>
      </c>
      <c r="G2914" s="32">
        <f>IF(C2914&lt;&gt;"Venta","",D2914*IFERROR(INDEX(Productos!$E$2:$E$501,MATCH(B2914,Productos!$A$2:$A$501,0)),0))</f>
        <v/>
      </c>
      <c r="H2914" s="33">
        <f>IF(A2914="","",MONTH(A2914))</f>
        <v/>
      </c>
      <c r="I2914" s="33">
        <f>IF(A2914="","",YEAR(A2914))</f>
        <v/>
      </c>
    </row>
    <row r="2915" ht="15" customHeight="1" s="21">
      <c r="A2915" s="34" t="n"/>
      <c r="B2915" s="30" t="n"/>
      <c r="C2915" s="30" t="n"/>
      <c r="D2915" s="30" t="n"/>
      <c r="E2915" s="33">
        <f>IF(B2915="","",IFERROR(INDEX(Productos!$B$2:$B$501,MATCH(B2915,Productos!$A$2:$A$501,0)),"¿Código?"))</f>
        <v/>
      </c>
      <c r="F2915" s="32">
        <f>IF(C2915&lt;&gt;"Venta","",D2915*IFERROR(INDEX(Productos!$D$2:$D$501,MATCH(B2915,Productos!$A$2:$A$501,0)),0))</f>
        <v/>
      </c>
      <c r="G2915" s="32">
        <f>IF(C2915&lt;&gt;"Venta","",D2915*IFERROR(INDEX(Productos!$E$2:$E$501,MATCH(B2915,Productos!$A$2:$A$501,0)),0))</f>
        <v/>
      </c>
      <c r="H2915" s="33">
        <f>IF(A2915="","",MONTH(A2915))</f>
        <v/>
      </c>
      <c r="I2915" s="33">
        <f>IF(A2915="","",YEAR(A2915))</f>
        <v/>
      </c>
    </row>
    <row r="2916" ht="15" customHeight="1" s="21">
      <c r="A2916" s="34" t="n"/>
      <c r="B2916" s="30" t="n"/>
      <c r="C2916" s="30" t="n"/>
      <c r="D2916" s="30" t="n"/>
      <c r="E2916" s="33">
        <f>IF(B2916="","",IFERROR(INDEX(Productos!$B$2:$B$501,MATCH(B2916,Productos!$A$2:$A$501,0)),"¿Código?"))</f>
        <v/>
      </c>
      <c r="F2916" s="32">
        <f>IF(C2916&lt;&gt;"Venta","",D2916*IFERROR(INDEX(Productos!$D$2:$D$501,MATCH(B2916,Productos!$A$2:$A$501,0)),0))</f>
        <v/>
      </c>
      <c r="G2916" s="32">
        <f>IF(C2916&lt;&gt;"Venta","",D2916*IFERROR(INDEX(Productos!$E$2:$E$501,MATCH(B2916,Productos!$A$2:$A$501,0)),0))</f>
        <v/>
      </c>
      <c r="H2916" s="33">
        <f>IF(A2916="","",MONTH(A2916))</f>
        <v/>
      </c>
      <c r="I2916" s="33">
        <f>IF(A2916="","",YEAR(A2916))</f>
        <v/>
      </c>
    </row>
    <row r="2917" ht="15" customHeight="1" s="21">
      <c r="A2917" s="34" t="n"/>
      <c r="B2917" s="30" t="n"/>
      <c r="C2917" s="30" t="n"/>
      <c r="D2917" s="30" t="n"/>
      <c r="E2917" s="33">
        <f>IF(B2917="","",IFERROR(INDEX(Productos!$B$2:$B$501,MATCH(B2917,Productos!$A$2:$A$501,0)),"¿Código?"))</f>
        <v/>
      </c>
      <c r="F2917" s="32">
        <f>IF(C2917&lt;&gt;"Venta","",D2917*IFERROR(INDEX(Productos!$D$2:$D$501,MATCH(B2917,Productos!$A$2:$A$501,0)),0))</f>
        <v/>
      </c>
      <c r="G2917" s="32">
        <f>IF(C2917&lt;&gt;"Venta","",D2917*IFERROR(INDEX(Productos!$E$2:$E$501,MATCH(B2917,Productos!$A$2:$A$501,0)),0))</f>
        <v/>
      </c>
      <c r="H2917" s="33">
        <f>IF(A2917="","",MONTH(A2917))</f>
        <v/>
      </c>
      <c r="I2917" s="33">
        <f>IF(A2917="","",YEAR(A2917))</f>
        <v/>
      </c>
    </row>
    <row r="2918" ht="15" customHeight="1" s="21">
      <c r="A2918" s="34" t="n"/>
      <c r="B2918" s="30" t="n"/>
      <c r="C2918" s="30" t="n"/>
      <c r="D2918" s="30" t="n"/>
      <c r="E2918" s="33">
        <f>IF(B2918="","",IFERROR(INDEX(Productos!$B$2:$B$501,MATCH(B2918,Productos!$A$2:$A$501,0)),"¿Código?"))</f>
        <v/>
      </c>
      <c r="F2918" s="32">
        <f>IF(C2918&lt;&gt;"Venta","",D2918*IFERROR(INDEX(Productos!$D$2:$D$501,MATCH(B2918,Productos!$A$2:$A$501,0)),0))</f>
        <v/>
      </c>
      <c r="G2918" s="32">
        <f>IF(C2918&lt;&gt;"Venta","",D2918*IFERROR(INDEX(Productos!$E$2:$E$501,MATCH(B2918,Productos!$A$2:$A$501,0)),0))</f>
        <v/>
      </c>
      <c r="H2918" s="33">
        <f>IF(A2918="","",MONTH(A2918))</f>
        <v/>
      </c>
      <c r="I2918" s="33">
        <f>IF(A2918="","",YEAR(A2918))</f>
        <v/>
      </c>
    </row>
    <row r="2919" ht="15" customHeight="1" s="21">
      <c r="A2919" s="34" t="n"/>
      <c r="B2919" s="30" t="n"/>
      <c r="C2919" s="30" t="n"/>
      <c r="D2919" s="30" t="n"/>
      <c r="E2919" s="33">
        <f>IF(B2919="","",IFERROR(INDEX(Productos!$B$2:$B$501,MATCH(B2919,Productos!$A$2:$A$501,0)),"¿Código?"))</f>
        <v/>
      </c>
      <c r="F2919" s="32">
        <f>IF(C2919&lt;&gt;"Venta","",D2919*IFERROR(INDEX(Productos!$D$2:$D$501,MATCH(B2919,Productos!$A$2:$A$501,0)),0))</f>
        <v/>
      </c>
      <c r="G2919" s="32">
        <f>IF(C2919&lt;&gt;"Venta","",D2919*IFERROR(INDEX(Productos!$E$2:$E$501,MATCH(B2919,Productos!$A$2:$A$501,0)),0))</f>
        <v/>
      </c>
      <c r="H2919" s="33">
        <f>IF(A2919="","",MONTH(A2919))</f>
        <v/>
      </c>
      <c r="I2919" s="33">
        <f>IF(A2919="","",YEAR(A2919))</f>
        <v/>
      </c>
    </row>
    <row r="2920" ht="15" customHeight="1" s="21">
      <c r="A2920" s="34" t="n"/>
      <c r="B2920" s="30" t="n"/>
      <c r="C2920" s="30" t="n"/>
      <c r="D2920" s="30" t="n"/>
      <c r="E2920" s="33">
        <f>IF(B2920="","",IFERROR(INDEX(Productos!$B$2:$B$501,MATCH(B2920,Productos!$A$2:$A$501,0)),"¿Código?"))</f>
        <v/>
      </c>
      <c r="F2920" s="32">
        <f>IF(C2920&lt;&gt;"Venta","",D2920*IFERROR(INDEX(Productos!$D$2:$D$501,MATCH(B2920,Productos!$A$2:$A$501,0)),0))</f>
        <v/>
      </c>
      <c r="G2920" s="32">
        <f>IF(C2920&lt;&gt;"Venta","",D2920*IFERROR(INDEX(Productos!$E$2:$E$501,MATCH(B2920,Productos!$A$2:$A$501,0)),0))</f>
        <v/>
      </c>
      <c r="H2920" s="33">
        <f>IF(A2920="","",MONTH(A2920))</f>
        <v/>
      </c>
      <c r="I2920" s="33">
        <f>IF(A2920="","",YEAR(A2920))</f>
        <v/>
      </c>
    </row>
    <row r="2921" ht="15" customHeight="1" s="21">
      <c r="A2921" s="34" t="n"/>
      <c r="B2921" s="30" t="n"/>
      <c r="C2921" s="30" t="n"/>
      <c r="D2921" s="30" t="n"/>
      <c r="E2921" s="33">
        <f>IF(B2921="","",IFERROR(INDEX(Productos!$B$2:$B$501,MATCH(B2921,Productos!$A$2:$A$501,0)),"¿Código?"))</f>
        <v/>
      </c>
      <c r="F2921" s="32">
        <f>IF(C2921&lt;&gt;"Venta","",D2921*IFERROR(INDEX(Productos!$D$2:$D$501,MATCH(B2921,Productos!$A$2:$A$501,0)),0))</f>
        <v/>
      </c>
      <c r="G2921" s="32">
        <f>IF(C2921&lt;&gt;"Venta","",D2921*IFERROR(INDEX(Productos!$E$2:$E$501,MATCH(B2921,Productos!$A$2:$A$501,0)),0))</f>
        <v/>
      </c>
      <c r="H2921" s="33">
        <f>IF(A2921="","",MONTH(A2921))</f>
        <v/>
      </c>
      <c r="I2921" s="33">
        <f>IF(A2921="","",YEAR(A2921))</f>
        <v/>
      </c>
    </row>
    <row r="2922" ht="15" customHeight="1" s="21">
      <c r="A2922" s="34" t="n"/>
      <c r="B2922" s="30" t="n"/>
      <c r="C2922" s="30" t="n"/>
      <c r="D2922" s="30" t="n"/>
      <c r="E2922" s="33">
        <f>IF(B2922="","",IFERROR(INDEX(Productos!$B$2:$B$501,MATCH(B2922,Productos!$A$2:$A$501,0)),"¿Código?"))</f>
        <v/>
      </c>
      <c r="F2922" s="32">
        <f>IF(C2922&lt;&gt;"Venta","",D2922*IFERROR(INDEX(Productos!$D$2:$D$501,MATCH(B2922,Productos!$A$2:$A$501,0)),0))</f>
        <v/>
      </c>
      <c r="G2922" s="32">
        <f>IF(C2922&lt;&gt;"Venta","",D2922*IFERROR(INDEX(Productos!$E$2:$E$501,MATCH(B2922,Productos!$A$2:$A$501,0)),0))</f>
        <v/>
      </c>
      <c r="H2922" s="33">
        <f>IF(A2922="","",MONTH(A2922))</f>
        <v/>
      </c>
      <c r="I2922" s="33">
        <f>IF(A2922="","",YEAR(A2922))</f>
        <v/>
      </c>
    </row>
    <row r="2923" ht="15" customHeight="1" s="21">
      <c r="A2923" s="34" t="n"/>
      <c r="B2923" s="30" t="n"/>
      <c r="C2923" s="30" t="n"/>
      <c r="D2923" s="30" t="n"/>
      <c r="E2923" s="33">
        <f>IF(B2923="","",IFERROR(INDEX(Productos!$B$2:$B$501,MATCH(B2923,Productos!$A$2:$A$501,0)),"¿Código?"))</f>
        <v/>
      </c>
      <c r="F2923" s="32">
        <f>IF(C2923&lt;&gt;"Venta","",D2923*IFERROR(INDEX(Productos!$D$2:$D$501,MATCH(B2923,Productos!$A$2:$A$501,0)),0))</f>
        <v/>
      </c>
      <c r="G2923" s="32">
        <f>IF(C2923&lt;&gt;"Venta","",D2923*IFERROR(INDEX(Productos!$E$2:$E$501,MATCH(B2923,Productos!$A$2:$A$501,0)),0))</f>
        <v/>
      </c>
      <c r="H2923" s="33">
        <f>IF(A2923="","",MONTH(A2923))</f>
        <v/>
      </c>
      <c r="I2923" s="33">
        <f>IF(A2923="","",YEAR(A2923))</f>
        <v/>
      </c>
    </row>
    <row r="2924" ht="15" customHeight="1" s="21">
      <c r="A2924" s="34" t="n"/>
      <c r="B2924" s="30" t="n"/>
      <c r="C2924" s="30" t="n"/>
      <c r="D2924" s="30" t="n"/>
      <c r="E2924" s="33">
        <f>IF(B2924="","",IFERROR(INDEX(Productos!$B$2:$B$501,MATCH(B2924,Productos!$A$2:$A$501,0)),"¿Código?"))</f>
        <v/>
      </c>
      <c r="F2924" s="32">
        <f>IF(C2924&lt;&gt;"Venta","",D2924*IFERROR(INDEX(Productos!$D$2:$D$501,MATCH(B2924,Productos!$A$2:$A$501,0)),0))</f>
        <v/>
      </c>
      <c r="G2924" s="32">
        <f>IF(C2924&lt;&gt;"Venta","",D2924*IFERROR(INDEX(Productos!$E$2:$E$501,MATCH(B2924,Productos!$A$2:$A$501,0)),0))</f>
        <v/>
      </c>
      <c r="H2924" s="33">
        <f>IF(A2924="","",MONTH(A2924))</f>
        <v/>
      </c>
      <c r="I2924" s="33">
        <f>IF(A2924="","",YEAR(A2924))</f>
        <v/>
      </c>
    </row>
    <row r="2925" ht="15" customHeight="1" s="21">
      <c r="A2925" s="34" t="n"/>
      <c r="B2925" s="30" t="n"/>
      <c r="C2925" s="30" t="n"/>
      <c r="D2925" s="30" t="n"/>
      <c r="E2925" s="33">
        <f>IF(B2925="","",IFERROR(INDEX(Productos!$B$2:$B$501,MATCH(B2925,Productos!$A$2:$A$501,0)),"¿Código?"))</f>
        <v/>
      </c>
      <c r="F2925" s="32">
        <f>IF(C2925&lt;&gt;"Venta","",D2925*IFERROR(INDEX(Productos!$D$2:$D$501,MATCH(B2925,Productos!$A$2:$A$501,0)),0))</f>
        <v/>
      </c>
      <c r="G2925" s="32">
        <f>IF(C2925&lt;&gt;"Venta","",D2925*IFERROR(INDEX(Productos!$E$2:$E$501,MATCH(B2925,Productos!$A$2:$A$501,0)),0))</f>
        <v/>
      </c>
      <c r="H2925" s="33">
        <f>IF(A2925="","",MONTH(A2925))</f>
        <v/>
      </c>
      <c r="I2925" s="33">
        <f>IF(A2925="","",YEAR(A2925))</f>
        <v/>
      </c>
    </row>
    <row r="2926" ht="15" customHeight="1" s="21">
      <c r="A2926" s="34" t="n"/>
      <c r="B2926" s="30" t="n"/>
      <c r="C2926" s="30" t="n"/>
      <c r="D2926" s="30" t="n"/>
      <c r="E2926" s="33">
        <f>IF(B2926="","",IFERROR(INDEX(Productos!$B$2:$B$501,MATCH(B2926,Productos!$A$2:$A$501,0)),"¿Código?"))</f>
        <v/>
      </c>
      <c r="F2926" s="32">
        <f>IF(C2926&lt;&gt;"Venta","",D2926*IFERROR(INDEX(Productos!$D$2:$D$501,MATCH(B2926,Productos!$A$2:$A$501,0)),0))</f>
        <v/>
      </c>
      <c r="G2926" s="32">
        <f>IF(C2926&lt;&gt;"Venta","",D2926*IFERROR(INDEX(Productos!$E$2:$E$501,MATCH(B2926,Productos!$A$2:$A$501,0)),0))</f>
        <v/>
      </c>
      <c r="H2926" s="33">
        <f>IF(A2926="","",MONTH(A2926))</f>
        <v/>
      </c>
      <c r="I2926" s="33">
        <f>IF(A2926="","",YEAR(A2926))</f>
        <v/>
      </c>
    </row>
    <row r="2927" ht="15" customHeight="1" s="21">
      <c r="A2927" s="34" t="n"/>
      <c r="B2927" s="30" t="n"/>
      <c r="C2927" s="30" t="n"/>
      <c r="D2927" s="30" t="n"/>
      <c r="E2927" s="33">
        <f>IF(B2927="","",IFERROR(INDEX(Productos!$B$2:$B$501,MATCH(B2927,Productos!$A$2:$A$501,0)),"¿Código?"))</f>
        <v/>
      </c>
      <c r="F2927" s="32">
        <f>IF(C2927&lt;&gt;"Venta","",D2927*IFERROR(INDEX(Productos!$D$2:$D$501,MATCH(B2927,Productos!$A$2:$A$501,0)),0))</f>
        <v/>
      </c>
      <c r="G2927" s="32">
        <f>IF(C2927&lt;&gt;"Venta","",D2927*IFERROR(INDEX(Productos!$E$2:$E$501,MATCH(B2927,Productos!$A$2:$A$501,0)),0))</f>
        <v/>
      </c>
      <c r="H2927" s="33">
        <f>IF(A2927="","",MONTH(A2927))</f>
        <v/>
      </c>
      <c r="I2927" s="33">
        <f>IF(A2927="","",YEAR(A2927))</f>
        <v/>
      </c>
    </row>
    <row r="2928" ht="15" customHeight="1" s="21">
      <c r="A2928" s="34" t="n"/>
      <c r="B2928" s="30" t="n"/>
      <c r="C2928" s="30" t="n"/>
      <c r="D2928" s="30" t="n"/>
      <c r="E2928" s="33">
        <f>IF(B2928="","",IFERROR(INDEX(Productos!$B$2:$B$501,MATCH(B2928,Productos!$A$2:$A$501,0)),"¿Código?"))</f>
        <v/>
      </c>
      <c r="F2928" s="32">
        <f>IF(C2928&lt;&gt;"Venta","",D2928*IFERROR(INDEX(Productos!$D$2:$D$501,MATCH(B2928,Productos!$A$2:$A$501,0)),0))</f>
        <v/>
      </c>
      <c r="G2928" s="32">
        <f>IF(C2928&lt;&gt;"Venta","",D2928*IFERROR(INDEX(Productos!$E$2:$E$501,MATCH(B2928,Productos!$A$2:$A$501,0)),0))</f>
        <v/>
      </c>
      <c r="H2928" s="33">
        <f>IF(A2928="","",MONTH(A2928))</f>
        <v/>
      </c>
      <c r="I2928" s="33">
        <f>IF(A2928="","",YEAR(A2928))</f>
        <v/>
      </c>
    </row>
    <row r="2929" ht="15" customHeight="1" s="21">
      <c r="A2929" s="34" t="n"/>
      <c r="B2929" s="30" t="n"/>
      <c r="C2929" s="30" t="n"/>
      <c r="D2929" s="30" t="n"/>
      <c r="E2929" s="33">
        <f>IF(B2929="","",IFERROR(INDEX(Productos!$B$2:$B$501,MATCH(B2929,Productos!$A$2:$A$501,0)),"¿Código?"))</f>
        <v/>
      </c>
      <c r="F2929" s="32">
        <f>IF(C2929&lt;&gt;"Venta","",D2929*IFERROR(INDEX(Productos!$D$2:$D$501,MATCH(B2929,Productos!$A$2:$A$501,0)),0))</f>
        <v/>
      </c>
      <c r="G2929" s="32">
        <f>IF(C2929&lt;&gt;"Venta","",D2929*IFERROR(INDEX(Productos!$E$2:$E$501,MATCH(B2929,Productos!$A$2:$A$501,0)),0))</f>
        <v/>
      </c>
      <c r="H2929" s="33">
        <f>IF(A2929="","",MONTH(A2929))</f>
        <v/>
      </c>
      <c r="I2929" s="33">
        <f>IF(A2929="","",YEAR(A2929))</f>
        <v/>
      </c>
    </row>
    <row r="2930" ht="15" customHeight="1" s="21">
      <c r="A2930" s="34" t="n"/>
      <c r="B2930" s="30" t="n"/>
      <c r="C2930" s="30" t="n"/>
      <c r="D2930" s="30" t="n"/>
      <c r="E2930" s="33">
        <f>IF(B2930="","",IFERROR(INDEX(Productos!$B$2:$B$501,MATCH(B2930,Productos!$A$2:$A$501,0)),"¿Código?"))</f>
        <v/>
      </c>
      <c r="F2930" s="32">
        <f>IF(C2930&lt;&gt;"Venta","",D2930*IFERROR(INDEX(Productos!$D$2:$D$501,MATCH(B2930,Productos!$A$2:$A$501,0)),0))</f>
        <v/>
      </c>
      <c r="G2930" s="32">
        <f>IF(C2930&lt;&gt;"Venta","",D2930*IFERROR(INDEX(Productos!$E$2:$E$501,MATCH(B2930,Productos!$A$2:$A$501,0)),0))</f>
        <v/>
      </c>
      <c r="H2930" s="33">
        <f>IF(A2930="","",MONTH(A2930))</f>
        <v/>
      </c>
      <c r="I2930" s="33">
        <f>IF(A2930="","",YEAR(A2930))</f>
        <v/>
      </c>
    </row>
    <row r="2931" ht="15" customHeight="1" s="21">
      <c r="A2931" s="34" t="n"/>
      <c r="B2931" s="30" t="n"/>
      <c r="C2931" s="30" t="n"/>
      <c r="D2931" s="30" t="n"/>
      <c r="E2931" s="33">
        <f>IF(B2931="","",IFERROR(INDEX(Productos!$B$2:$B$501,MATCH(B2931,Productos!$A$2:$A$501,0)),"¿Código?"))</f>
        <v/>
      </c>
      <c r="F2931" s="32">
        <f>IF(C2931&lt;&gt;"Venta","",D2931*IFERROR(INDEX(Productos!$D$2:$D$501,MATCH(B2931,Productos!$A$2:$A$501,0)),0))</f>
        <v/>
      </c>
      <c r="G2931" s="32">
        <f>IF(C2931&lt;&gt;"Venta","",D2931*IFERROR(INDEX(Productos!$E$2:$E$501,MATCH(B2931,Productos!$A$2:$A$501,0)),0))</f>
        <v/>
      </c>
      <c r="H2931" s="33">
        <f>IF(A2931="","",MONTH(A2931))</f>
        <v/>
      </c>
      <c r="I2931" s="33">
        <f>IF(A2931="","",YEAR(A2931))</f>
        <v/>
      </c>
    </row>
    <row r="2932" ht="15" customHeight="1" s="21">
      <c r="A2932" s="34" t="n"/>
      <c r="B2932" s="30" t="n"/>
      <c r="C2932" s="30" t="n"/>
      <c r="D2932" s="30" t="n"/>
      <c r="E2932" s="33">
        <f>IF(B2932="","",IFERROR(INDEX(Productos!$B$2:$B$501,MATCH(B2932,Productos!$A$2:$A$501,0)),"¿Código?"))</f>
        <v/>
      </c>
      <c r="F2932" s="32">
        <f>IF(C2932&lt;&gt;"Venta","",D2932*IFERROR(INDEX(Productos!$D$2:$D$501,MATCH(B2932,Productos!$A$2:$A$501,0)),0))</f>
        <v/>
      </c>
      <c r="G2932" s="32">
        <f>IF(C2932&lt;&gt;"Venta","",D2932*IFERROR(INDEX(Productos!$E$2:$E$501,MATCH(B2932,Productos!$A$2:$A$501,0)),0))</f>
        <v/>
      </c>
      <c r="H2932" s="33">
        <f>IF(A2932="","",MONTH(A2932))</f>
        <v/>
      </c>
      <c r="I2932" s="33">
        <f>IF(A2932="","",YEAR(A2932))</f>
        <v/>
      </c>
    </row>
    <row r="2933" ht="15" customHeight="1" s="21">
      <c r="A2933" s="34" t="n"/>
      <c r="B2933" s="30" t="n"/>
      <c r="C2933" s="30" t="n"/>
      <c r="D2933" s="30" t="n"/>
      <c r="E2933" s="33">
        <f>IF(B2933="","",IFERROR(INDEX(Productos!$B$2:$B$501,MATCH(B2933,Productos!$A$2:$A$501,0)),"¿Código?"))</f>
        <v/>
      </c>
      <c r="F2933" s="32">
        <f>IF(C2933&lt;&gt;"Venta","",D2933*IFERROR(INDEX(Productos!$D$2:$D$501,MATCH(B2933,Productos!$A$2:$A$501,0)),0))</f>
        <v/>
      </c>
      <c r="G2933" s="32">
        <f>IF(C2933&lt;&gt;"Venta","",D2933*IFERROR(INDEX(Productos!$E$2:$E$501,MATCH(B2933,Productos!$A$2:$A$501,0)),0))</f>
        <v/>
      </c>
      <c r="H2933" s="33">
        <f>IF(A2933="","",MONTH(A2933))</f>
        <v/>
      </c>
      <c r="I2933" s="33">
        <f>IF(A2933="","",YEAR(A2933))</f>
        <v/>
      </c>
    </row>
    <row r="2934" ht="15" customHeight="1" s="21">
      <c r="A2934" s="34" t="n"/>
      <c r="B2934" s="30" t="n"/>
      <c r="C2934" s="30" t="n"/>
      <c r="D2934" s="30" t="n"/>
      <c r="E2934" s="33">
        <f>IF(B2934="","",IFERROR(INDEX(Productos!$B$2:$B$501,MATCH(B2934,Productos!$A$2:$A$501,0)),"¿Código?"))</f>
        <v/>
      </c>
      <c r="F2934" s="32">
        <f>IF(C2934&lt;&gt;"Venta","",D2934*IFERROR(INDEX(Productos!$D$2:$D$501,MATCH(B2934,Productos!$A$2:$A$501,0)),0))</f>
        <v/>
      </c>
      <c r="G2934" s="32">
        <f>IF(C2934&lt;&gt;"Venta","",D2934*IFERROR(INDEX(Productos!$E$2:$E$501,MATCH(B2934,Productos!$A$2:$A$501,0)),0))</f>
        <v/>
      </c>
      <c r="H2934" s="33">
        <f>IF(A2934="","",MONTH(A2934))</f>
        <v/>
      </c>
      <c r="I2934" s="33">
        <f>IF(A2934="","",YEAR(A2934))</f>
        <v/>
      </c>
    </row>
    <row r="2935" ht="15" customHeight="1" s="21">
      <c r="A2935" s="34" t="n"/>
      <c r="B2935" s="30" t="n"/>
      <c r="C2935" s="30" t="n"/>
      <c r="D2935" s="30" t="n"/>
      <c r="E2935" s="33">
        <f>IF(B2935="","",IFERROR(INDEX(Productos!$B$2:$B$501,MATCH(B2935,Productos!$A$2:$A$501,0)),"¿Código?"))</f>
        <v/>
      </c>
      <c r="F2935" s="32">
        <f>IF(C2935&lt;&gt;"Venta","",D2935*IFERROR(INDEX(Productos!$D$2:$D$501,MATCH(B2935,Productos!$A$2:$A$501,0)),0))</f>
        <v/>
      </c>
      <c r="G2935" s="32">
        <f>IF(C2935&lt;&gt;"Venta","",D2935*IFERROR(INDEX(Productos!$E$2:$E$501,MATCH(B2935,Productos!$A$2:$A$501,0)),0))</f>
        <v/>
      </c>
      <c r="H2935" s="33">
        <f>IF(A2935="","",MONTH(A2935))</f>
        <v/>
      </c>
      <c r="I2935" s="33">
        <f>IF(A2935="","",YEAR(A2935))</f>
        <v/>
      </c>
    </row>
    <row r="2936" ht="15" customHeight="1" s="21">
      <c r="A2936" s="34" t="n"/>
      <c r="B2936" s="30" t="n"/>
      <c r="C2936" s="30" t="n"/>
      <c r="D2936" s="30" t="n"/>
      <c r="E2936" s="33">
        <f>IF(B2936="","",IFERROR(INDEX(Productos!$B$2:$B$501,MATCH(B2936,Productos!$A$2:$A$501,0)),"¿Código?"))</f>
        <v/>
      </c>
      <c r="F2936" s="32">
        <f>IF(C2936&lt;&gt;"Venta","",D2936*IFERROR(INDEX(Productos!$D$2:$D$501,MATCH(B2936,Productos!$A$2:$A$501,0)),0))</f>
        <v/>
      </c>
      <c r="G2936" s="32">
        <f>IF(C2936&lt;&gt;"Venta","",D2936*IFERROR(INDEX(Productos!$E$2:$E$501,MATCH(B2936,Productos!$A$2:$A$501,0)),0))</f>
        <v/>
      </c>
      <c r="H2936" s="33">
        <f>IF(A2936="","",MONTH(A2936))</f>
        <v/>
      </c>
      <c r="I2936" s="33">
        <f>IF(A2936="","",YEAR(A2936))</f>
        <v/>
      </c>
    </row>
    <row r="2937" ht="15" customHeight="1" s="21">
      <c r="A2937" s="34" t="n"/>
      <c r="B2937" s="30" t="n"/>
      <c r="C2937" s="30" t="n"/>
      <c r="D2937" s="30" t="n"/>
      <c r="E2937" s="33">
        <f>IF(B2937="","",IFERROR(INDEX(Productos!$B$2:$B$501,MATCH(B2937,Productos!$A$2:$A$501,0)),"¿Código?"))</f>
        <v/>
      </c>
      <c r="F2937" s="32">
        <f>IF(C2937&lt;&gt;"Venta","",D2937*IFERROR(INDEX(Productos!$D$2:$D$501,MATCH(B2937,Productos!$A$2:$A$501,0)),0))</f>
        <v/>
      </c>
      <c r="G2937" s="32">
        <f>IF(C2937&lt;&gt;"Venta","",D2937*IFERROR(INDEX(Productos!$E$2:$E$501,MATCH(B2937,Productos!$A$2:$A$501,0)),0))</f>
        <v/>
      </c>
      <c r="H2937" s="33">
        <f>IF(A2937="","",MONTH(A2937))</f>
        <v/>
      </c>
      <c r="I2937" s="33">
        <f>IF(A2937="","",YEAR(A2937))</f>
        <v/>
      </c>
    </row>
    <row r="2938" ht="15" customHeight="1" s="21">
      <c r="A2938" s="34" t="n"/>
      <c r="B2938" s="30" t="n"/>
      <c r="C2938" s="30" t="n"/>
      <c r="D2938" s="30" t="n"/>
      <c r="E2938" s="33">
        <f>IF(B2938="","",IFERROR(INDEX(Productos!$B$2:$B$501,MATCH(B2938,Productos!$A$2:$A$501,0)),"¿Código?"))</f>
        <v/>
      </c>
      <c r="F2938" s="32">
        <f>IF(C2938&lt;&gt;"Venta","",D2938*IFERROR(INDEX(Productos!$D$2:$D$501,MATCH(B2938,Productos!$A$2:$A$501,0)),0))</f>
        <v/>
      </c>
      <c r="G2938" s="32">
        <f>IF(C2938&lt;&gt;"Venta","",D2938*IFERROR(INDEX(Productos!$E$2:$E$501,MATCH(B2938,Productos!$A$2:$A$501,0)),0))</f>
        <v/>
      </c>
      <c r="H2938" s="33">
        <f>IF(A2938="","",MONTH(A2938))</f>
        <v/>
      </c>
      <c r="I2938" s="33">
        <f>IF(A2938="","",YEAR(A2938))</f>
        <v/>
      </c>
    </row>
    <row r="2939" ht="15" customHeight="1" s="21">
      <c r="A2939" s="34" t="n"/>
      <c r="B2939" s="30" t="n"/>
      <c r="C2939" s="30" t="n"/>
      <c r="D2939" s="30" t="n"/>
      <c r="E2939" s="33">
        <f>IF(B2939="","",IFERROR(INDEX(Productos!$B$2:$B$501,MATCH(B2939,Productos!$A$2:$A$501,0)),"¿Código?"))</f>
        <v/>
      </c>
      <c r="F2939" s="32">
        <f>IF(C2939&lt;&gt;"Venta","",D2939*IFERROR(INDEX(Productos!$D$2:$D$501,MATCH(B2939,Productos!$A$2:$A$501,0)),0))</f>
        <v/>
      </c>
      <c r="G2939" s="32">
        <f>IF(C2939&lt;&gt;"Venta","",D2939*IFERROR(INDEX(Productos!$E$2:$E$501,MATCH(B2939,Productos!$A$2:$A$501,0)),0))</f>
        <v/>
      </c>
      <c r="H2939" s="33">
        <f>IF(A2939="","",MONTH(A2939))</f>
        <v/>
      </c>
      <c r="I2939" s="33">
        <f>IF(A2939="","",YEAR(A2939))</f>
        <v/>
      </c>
    </row>
    <row r="2940" ht="15" customHeight="1" s="21">
      <c r="A2940" s="34" t="n"/>
      <c r="B2940" s="30" t="n"/>
      <c r="C2940" s="30" t="n"/>
      <c r="D2940" s="30" t="n"/>
      <c r="E2940" s="33">
        <f>IF(B2940="","",IFERROR(INDEX(Productos!$B$2:$B$501,MATCH(B2940,Productos!$A$2:$A$501,0)),"¿Código?"))</f>
        <v/>
      </c>
      <c r="F2940" s="32">
        <f>IF(C2940&lt;&gt;"Venta","",D2940*IFERROR(INDEX(Productos!$D$2:$D$501,MATCH(B2940,Productos!$A$2:$A$501,0)),0))</f>
        <v/>
      </c>
      <c r="G2940" s="32">
        <f>IF(C2940&lt;&gt;"Venta","",D2940*IFERROR(INDEX(Productos!$E$2:$E$501,MATCH(B2940,Productos!$A$2:$A$501,0)),0))</f>
        <v/>
      </c>
      <c r="H2940" s="33">
        <f>IF(A2940="","",MONTH(A2940))</f>
        <v/>
      </c>
      <c r="I2940" s="33">
        <f>IF(A2940="","",YEAR(A2940))</f>
        <v/>
      </c>
    </row>
    <row r="2941" ht="15" customHeight="1" s="21">
      <c r="A2941" s="34" t="n"/>
      <c r="B2941" s="30" t="n"/>
      <c r="C2941" s="30" t="n"/>
      <c r="D2941" s="30" t="n"/>
      <c r="E2941" s="33">
        <f>IF(B2941="","",IFERROR(INDEX(Productos!$B$2:$B$501,MATCH(B2941,Productos!$A$2:$A$501,0)),"¿Código?"))</f>
        <v/>
      </c>
      <c r="F2941" s="32">
        <f>IF(C2941&lt;&gt;"Venta","",D2941*IFERROR(INDEX(Productos!$D$2:$D$501,MATCH(B2941,Productos!$A$2:$A$501,0)),0))</f>
        <v/>
      </c>
      <c r="G2941" s="32">
        <f>IF(C2941&lt;&gt;"Venta","",D2941*IFERROR(INDEX(Productos!$E$2:$E$501,MATCH(B2941,Productos!$A$2:$A$501,0)),0))</f>
        <v/>
      </c>
      <c r="H2941" s="33">
        <f>IF(A2941="","",MONTH(A2941))</f>
        <v/>
      </c>
      <c r="I2941" s="33">
        <f>IF(A2941="","",YEAR(A2941))</f>
        <v/>
      </c>
    </row>
    <row r="2942" ht="15" customHeight="1" s="21">
      <c r="A2942" s="34" t="n"/>
      <c r="B2942" s="30" t="n"/>
      <c r="C2942" s="30" t="n"/>
      <c r="D2942" s="30" t="n"/>
      <c r="E2942" s="33">
        <f>IF(B2942="","",IFERROR(INDEX(Productos!$B$2:$B$501,MATCH(B2942,Productos!$A$2:$A$501,0)),"¿Código?"))</f>
        <v/>
      </c>
      <c r="F2942" s="32">
        <f>IF(C2942&lt;&gt;"Venta","",D2942*IFERROR(INDEX(Productos!$D$2:$D$501,MATCH(B2942,Productos!$A$2:$A$501,0)),0))</f>
        <v/>
      </c>
      <c r="G2942" s="32">
        <f>IF(C2942&lt;&gt;"Venta","",D2942*IFERROR(INDEX(Productos!$E$2:$E$501,MATCH(B2942,Productos!$A$2:$A$501,0)),0))</f>
        <v/>
      </c>
      <c r="H2942" s="33">
        <f>IF(A2942="","",MONTH(A2942))</f>
        <v/>
      </c>
      <c r="I2942" s="33">
        <f>IF(A2942="","",YEAR(A2942))</f>
        <v/>
      </c>
    </row>
    <row r="2943" ht="15" customHeight="1" s="21">
      <c r="A2943" s="34" t="n"/>
      <c r="B2943" s="30" t="n"/>
      <c r="C2943" s="30" t="n"/>
      <c r="D2943" s="30" t="n"/>
      <c r="E2943" s="33">
        <f>IF(B2943="","",IFERROR(INDEX(Productos!$B$2:$B$501,MATCH(B2943,Productos!$A$2:$A$501,0)),"¿Código?"))</f>
        <v/>
      </c>
      <c r="F2943" s="32">
        <f>IF(C2943&lt;&gt;"Venta","",D2943*IFERROR(INDEX(Productos!$D$2:$D$501,MATCH(B2943,Productos!$A$2:$A$501,0)),0))</f>
        <v/>
      </c>
      <c r="G2943" s="32">
        <f>IF(C2943&lt;&gt;"Venta","",D2943*IFERROR(INDEX(Productos!$E$2:$E$501,MATCH(B2943,Productos!$A$2:$A$501,0)),0))</f>
        <v/>
      </c>
      <c r="H2943" s="33">
        <f>IF(A2943="","",MONTH(A2943))</f>
        <v/>
      </c>
      <c r="I2943" s="33">
        <f>IF(A2943="","",YEAR(A2943))</f>
        <v/>
      </c>
    </row>
    <row r="2944" ht="15" customHeight="1" s="21">
      <c r="A2944" s="34" t="n"/>
      <c r="B2944" s="30" t="n"/>
      <c r="C2944" s="30" t="n"/>
      <c r="D2944" s="30" t="n"/>
      <c r="E2944" s="33">
        <f>IF(B2944="","",IFERROR(INDEX(Productos!$B$2:$B$501,MATCH(B2944,Productos!$A$2:$A$501,0)),"¿Código?"))</f>
        <v/>
      </c>
      <c r="F2944" s="32">
        <f>IF(C2944&lt;&gt;"Venta","",D2944*IFERROR(INDEX(Productos!$D$2:$D$501,MATCH(B2944,Productos!$A$2:$A$501,0)),0))</f>
        <v/>
      </c>
      <c r="G2944" s="32">
        <f>IF(C2944&lt;&gt;"Venta","",D2944*IFERROR(INDEX(Productos!$E$2:$E$501,MATCH(B2944,Productos!$A$2:$A$501,0)),0))</f>
        <v/>
      </c>
      <c r="H2944" s="33">
        <f>IF(A2944="","",MONTH(A2944))</f>
        <v/>
      </c>
      <c r="I2944" s="33">
        <f>IF(A2944="","",YEAR(A2944))</f>
        <v/>
      </c>
    </row>
    <row r="2945" ht="15" customHeight="1" s="21">
      <c r="A2945" s="34" t="n"/>
      <c r="B2945" s="30" t="n"/>
      <c r="C2945" s="30" t="n"/>
      <c r="D2945" s="30" t="n"/>
      <c r="E2945" s="33">
        <f>IF(B2945="","",IFERROR(INDEX(Productos!$B$2:$B$501,MATCH(B2945,Productos!$A$2:$A$501,0)),"¿Código?"))</f>
        <v/>
      </c>
      <c r="F2945" s="32">
        <f>IF(C2945&lt;&gt;"Venta","",D2945*IFERROR(INDEX(Productos!$D$2:$D$501,MATCH(B2945,Productos!$A$2:$A$501,0)),0))</f>
        <v/>
      </c>
      <c r="G2945" s="32">
        <f>IF(C2945&lt;&gt;"Venta","",D2945*IFERROR(INDEX(Productos!$E$2:$E$501,MATCH(B2945,Productos!$A$2:$A$501,0)),0))</f>
        <v/>
      </c>
      <c r="H2945" s="33">
        <f>IF(A2945="","",MONTH(A2945))</f>
        <v/>
      </c>
      <c r="I2945" s="33">
        <f>IF(A2945="","",YEAR(A2945))</f>
        <v/>
      </c>
    </row>
    <row r="2946" ht="15" customHeight="1" s="21">
      <c r="A2946" s="34" t="n"/>
      <c r="B2946" s="30" t="n"/>
      <c r="C2946" s="30" t="n"/>
      <c r="D2946" s="30" t="n"/>
      <c r="E2946" s="33">
        <f>IF(B2946="","",IFERROR(INDEX(Productos!$B$2:$B$501,MATCH(B2946,Productos!$A$2:$A$501,0)),"¿Código?"))</f>
        <v/>
      </c>
      <c r="F2946" s="32">
        <f>IF(C2946&lt;&gt;"Venta","",D2946*IFERROR(INDEX(Productos!$D$2:$D$501,MATCH(B2946,Productos!$A$2:$A$501,0)),0))</f>
        <v/>
      </c>
      <c r="G2946" s="32">
        <f>IF(C2946&lt;&gt;"Venta","",D2946*IFERROR(INDEX(Productos!$E$2:$E$501,MATCH(B2946,Productos!$A$2:$A$501,0)),0))</f>
        <v/>
      </c>
      <c r="H2946" s="33">
        <f>IF(A2946="","",MONTH(A2946))</f>
        <v/>
      </c>
      <c r="I2946" s="33">
        <f>IF(A2946="","",YEAR(A2946))</f>
        <v/>
      </c>
    </row>
    <row r="2947" ht="15" customHeight="1" s="21">
      <c r="A2947" s="34" t="n"/>
      <c r="B2947" s="30" t="n"/>
      <c r="C2947" s="30" t="n"/>
      <c r="D2947" s="30" t="n"/>
      <c r="E2947" s="33">
        <f>IF(B2947="","",IFERROR(INDEX(Productos!$B$2:$B$501,MATCH(B2947,Productos!$A$2:$A$501,0)),"¿Código?"))</f>
        <v/>
      </c>
      <c r="F2947" s="32">
        <f>IF(C2947&lt;&gt;"Venta","",D2947*IFERROR(INDEX(Productos!$D$2:$D$501,MATCH(B2947,Productos!$A$2:$A$501,0)),0))</f>
        <v/>
      </c>
      <c r="G2947" s="32">
        <f>IF(C2947&lt;&gt;"Venta","",D2947*IFERROR(INDEX(Productos!$E$2:$E$501,MATCH(B2947,Productos!$A$2:$A$501,0)),0))</f>
        <v/>
      </c>
      <c r="H2947" s="33">
        <f>IF(A2947="","",MONTH(A2947))</f>
        <v/>
      </c>
      <c r="I2947" s="33">
        <f>IF(A2947="","",YEAR(A2947))</f>
        <v/>
      </c>
    </row>
    <row r="2948" ht="15" customHeight="1" s="21">
      <c r="A2948" s="34" t="n"/>
      <c r="B2948" s="30" t="n"/>
      <c r="C2948" s="30" t="n"/>
      <c r="D2948" s="30" t="n"/>
      <c r="E2948" s="33">
        <f>IF(B2948="","",IFERROR(INDEX(Productos!$B$2:$B$501,MATCH(B2948,Productos!$A$2:$A$501,0)),"¿Código?"))</f>
        <v/>
      </c>
      <c r="F2948" s="32">
        <f>IF(C2948&lt;&gt;"Venta","",D2948*IFERROR(INDEX(Productos!$D$2:$D$501,MATCH(B2948,Productos!$A$2:$A$501,0)),0))</f>
        <v/>
      </c>
      <c r="G2948" s="32">
        <f>IF(C2948&lt;&gt;"Venta","",D2948*IFERROR(INDEX(Productos!$E$2:$E$501,MATCH(B2948,Productos!$A$2:$A$501,0)),0))</f>
        <v/>
      </c>
      <c r="H2948" s="33">
        <f>IF(A2948="","",MONTH(A2948))</f>
        <v/>
      </c>
      <c r="I2948" s="33">
        <f>IF(A2948="","",YEAR(A2948))</f>
        <v/>
      </c>
    </row>
    <row r="2949" ht="15" customHeight="1" s="21">
      <c r="A2949" s="34" t="n"/>
      <c r="B2949" s="30" t="n"/>
      <c r="C2949" s="30" t="n"/>
      <c r="D2949" s="30" t="n"/>
      <c r="E2949" s="33">
        <f>IF(B2949="","",IFERROR(INDEX(Productos!$B$2:$B$501,MATCH(B2949,Productos!$A$2:$A$501,0)),"¿Código?"))</f>
        <v/>
      </c>
      <c r="F2949" s="32">
        <f>IF(C2949&lt;&gt;"Venta","",D2949*IFERROR(INDEX(Productos!$D$2:$D$501,MATCH(B2949,Productos!$A$2:$A$501,0)),0))</f>
        <v/>
      </c>
      <c r="G2949" s="32">
        <f>IF(C2949&lt;&gt;"Venta","",D2949*IFERROR(INDEX(Productos!$E$2:$E$501,MATCH(B2949,Productos!$A$2:$A$501,0)),0))</f>
        <v/>
      </c>
      <c r="H2949" s="33">
        <f>IF(A2949="","",MONTH(A2949))</f>
        <v/>
      </c>
      <c r="I2949" s="33">
        <f>IF(A2949="","",YEAR(A2949))</f>
        <v/>
      </c>
    </row>
    <row r="2950" ht="15" customHeight="1" s="21">
      <c r="A2950" s="34" t="n"/>
      <c r="B2950" s="30" t="n"/>
      <c r="C2950" s="30" t="n"/>
      <c r="D2950" s="30" t="n"/>
      <c r="E2950" s="33">
        <f>IF(B2950="","",IFERROR(INDEX(Productos!$B$2:$B$501,MATCH(B2950,Productos!$A$2:$A$501,0)),"¿Código?"))</f>
        <v/>
      </c>
      <c r="F2950" s="32">
        <f>IF(C2950&lt;&gt;"Venta","",D2950*IFERROR(INDEX(Productos!$D$2:$D$501,MATCH(B2950,Productos!$A$2:$A$501,0)),0))</f>
        <v/>
      </c>
      <c r="G2950" s="32">
        <f>IF(C2950&lt;&gt;"Venta","",D2950*IFERROR(INDEX(Productos!$E$2:$E$501,MATCH(B2950,Productos!$A$2:$A$501,0)),0))</f>
        <v/>
      </c>
      <c r="H2950" s="33">
        <f>IF(A2950="","",MONTH(A2950))</f>
        <v/>
      </c>
      <c r="I2950" s="33">
        <f>IF(A2950="","",YEAR(A2950))</f>
        <v/>
      </c>
    </row>
    <row r="2951" ht="15" customHeight="1" s="21">
      <c r="A2951" s="34" t="n"/>
      <c r="B2951" s="30" t="n"/>
      <c r="C2951" s="30" t="n"/>
      <c r="D2951" s="30" t="n"/>
      <c r="E2951" s="33">
        <f>IF(B2951="","",IFERROR(INDEX(Productos!$B$2:$B$501,MATCH(B2951,Productos!$A$2:$A$501,0)),"¿Código?"))</f>
        <v/>
      </c>
      <c r="F2951" s="32">
        <f>IF(C2951&lt;&gt;"Venta","",D2951*IFERROR(INDEX(Productos!$D$2:$D$501,MATCH(B2951,Productos!$A$2:$A$501,0)),0))</f>
        <v/>
      </c>
      <c r="G2951" s="32">
        <f>IF(C2951&lt;&gt;"Venta","",D2951*IFERROR(INDEX(Productos!$E$2:$E$501,MATCH(B2951,Productos!$A$2:$A$501,0)),0))</f>
        <v/>
      </c>
      <c r="H2951" s="33">
        <f>IF(A2951="","",MONTH(A2951))</f>
        <v/>
      </c>
      <c r="I2951" s="33">
        <f>IF(A2951="","",YEAR(A2951))</f>
        <v/>
      </c>
    </row>
    <row r="2952" ht="15" customHeight="1" s="21">
      <c r="A2952" s="34" t="n"/>
      <c r="B2952" s="30" t="n"/>
      <c r="C2952" s="30" t="n"/>
      <c r="D2952" s="30" t="n"/>
      <c r="E2952" s="33">
        <f>IF(B2952="","",IFERROR(INDEX(Productos!$B$2:$B$501,MATCH(B2952,Productos!$A$2:$A$501,0)),"¿Código?"))</f>
        <v/>
      </c>
      <c r="F2952" s="32">
        <f>IF(C2952&lt;&gt;"Venta","",D2952*IFERROR(INDEX(Productos!$D$2:$D$501,MATCH(B2952,Productos!$A$2:$A$501,0)),0))</f>
        <v/>
      </c>
      <c r="G2952" s="32">
        <f>IF(C2952&lt;&gt;"Venta","",D2952*IFERROR(INDEX(Productos!$E$2:$E$501,MATCH(B2952,Productos!$A$2:$A$501,0)),0))</f>
        <v/>
      </c>
      <c r="H2952" s="33">
        <f>IF(A2952="","",MONTH(A2952))</f>
        <v/>
      </c>
      <c r="I2952" s="33">
        <f>IF(A2952="","",YEAR(A2952))</f>
        <v/>
      </c>
    </row>
    <row r="2953" ht="15" customHeight="1" s="21">
      <c r="A2953" s="34" t="n"/>
      <c r="B2953" s="30" t="n"/>
      <c r="C2953" s="30" t="n"/>
      <c r="D2953" s="30" t="n"/>
      <c r="E2953" s="33">
        <f>IF(B2953="","",IFERROR(INDEX(Productos!$B$2:$B$501,MATCH(B2953,Productos!$A$2:$A$501,0)),"¿Código?"))</f>
        <v/>
      </c>
      <c r="F2953" s="32">
        <f>IF(C2953&lt;&gt;"Venta","",D2953*IFERROR(INDEX(Productos!$D$2:$D$501,MATCH(B2953,Productos!$A$2:$A$501,0)),0))</f>
        <v/>
      </c>
      <c r="G2953" s="32">
        <f>IF(C2953&lt;&gt;"Venta","",D2953*IFERROR(INDEX(Productos!$E$2:$E$501,MATCH(B2953,Productos!$A$2:$A$501,0)),0))</f>
        <v/>
      </c>
      <c r="H2953" s="33">
        <f>IF(A2953="","",MONTH(A2953))</f>
        <v/>
      </c>
      <c r="I2953" s="33">
        <f>IF(A2953="","",YEAR(A2953))</f>
        <v/>
      </c>
    </row>
    <row r="2954" ht="15" customHeight="1" s="21">
      <c r="A2954" s="34" t="n"/>
      <c r="B2954" s="30" t="n"/>
      <c r="C2954" s="30" t="n"/>
      <c r="D2954" s="30" t="n"/>
      <c r="E2954" s="33">
        <f>IF(B2954="","",IFERROR(INDEX(Productos!$B$2:$B$501,MATCH(B2954,Productos!$A$2:$A$501,0)),"¿Código?"))</f>
        <v/>
      </c>
      <c r="F2954" s="32">
        <f>IF(C2954&lt;&gt;"Venta","",D2954*IFERROR(INDEX(Productos!$D$2:$D$501,MATCH(B2954,Productos!$A$2:$A$501,0)),0))</f>
        <v/>
      </c>
      <c r="G2954" s="32">
        <f>IF(C2954&lt;&gt;"Venta","",D2954*IFERROR(INDEX(Productos!$E$2:$E$501,MATCH(B2954,Productos!$A$2:$A$501,0)),0))</f>
        <v/>
      </c>
      <c r="H2954" s="33">
        <f>IF(A2954="","",MONTH(A2954))</f>
        <v/>
      </c>
      <c r="I2954" s="33">
        <f>IF(A2954="","",YEAR(A2954))</f>
        <v/>
      </c>
    </row>
    <row r="2955" ht="15" customHeight="1" s="21">
      <c r="A2955" s="34" t="n"/>
      <c r="B2955" s="30" t="n"/>
      <c r="C2955" s="30" t="n"/>
      <c r="D2955" s="30" t="n"/>
      <c r="E2955" s="33">
        <f>IF(B2955="","",IFERROR(INDEX(Productos!$B$2:$B$501,MATCH(B2955,Productos!$A$2:$A$501,0)),"¿Código?"))</f>
        <v/>
      </c>
      <c r="F2955" s="32">
        <f>IF(C2955&lt;&gt;"Venta","",D2955*IFERROR(INDEX(Productos!$D$2:$D$501,MATCH(B2955,Productos!$A$2:$A$501,0)),0))</f>
        <v/>
      </c>
      <c r="G2955" s="32">
        <f>IF(C2955&lt;&gt;"Venta","",D2955*IFERROR(INDEX(Productos!$E$2:$E$501,MATCH(B2955,Productos!$A$2:$A$501,0)),0))</f>
        <v/>
      </c>
      <c r="H2955" s="33">
        <f>IF(A2955="","",MONTH(A2955))</f>
        <v/>
      </c>
      <c r="I2955" s="33">
        <f>IF(A2955="","",YEAR(A2955))</f>
        <v/>
      </c>
    </row>
    <row r="2956" ht="15" customHeight="1" s="21">
      <c r="A2956" s="34" t="n"/>
      <c r="B2956" s="30" t="n"/>
      <c r="C2956" s="30" t="n"/>
      <c r="D2956" s="30" t="n"/>
      <c r="E2956" s="33">
        <f>IF(B2956="","",IFERROR(INDEX(Productos!$B$2:$B$501,MATCH(B2956,Productos!$A$2:$A$501,0)),"¿Código?"))</f>
        <v/>
      </c>
      <c r="F2956" s="32">
        <f>IF(C2956&lt;&gt;"Venta","",D2956*IFERROR(INDEX(Productos!$D$2:$D$501,MATCH(B2956,Productos!$A$2:$A$501,0)),0))</f>
        <v/>
      </c>
      <c r="G2956" s="32">
        <f>IF(C2956&lt;&gt;"Venta","",D2956*IFERROR(INDEX(Productos!$E$2:$E$501,MATCH(B2956,Productos!$A$2:$A$501,0)),0))</f>
        <v/>
      </c>
      <c r="H2956" s="33">
        <f>IF(A2956="","",MONTH(A2956))</f>
        <v/>
      </c>
      <c r="I2956" s="33">
        <f>IF(A2956="","",YEAR(A2956))</f>
        <v/>
      </c>
    </row>
    <row r="2957" ht="15" customHeight="1" s="21">
      <c r="A2957" s="34" t="n"/>
      <c r="B2957" s="30" t="n"/>
      <c r="C2957" s="30" t="n"/>
      <c r="D2957" s="30" t="n"/>
      <c r="E2957" s="33">
        <f>IF(B2957="","",IFERROR(INDEX(Productos!$B$2:$B$501,MATCH(B2957,Productos!$A$2:$A$501,0)),"¿Código?"))</f>
        <v/>
      </c>
      <c r="F2957" s="32">
        <f>IF(C2957&lt;&gt;"Venta","",D2957*IFERROR(INDEX(Productos!$D$2:$D$501,MATCH(B2957,Productos!$A$2:$A$501,0)),0))</f>
        <v/>
      </c>
      <c r="G2957" s="32">
        <f>IF(C2957&lt;&gt;"Venta","",D2957*IFERROR(INDEX(Productos!$E$2:$E$501,MATCH(B2957,Productos!$A$2:$A$501,0)),0))</f>
        <v/>
      </c>
      <c r="H2957" s="33">
        <f>IF(A2957="","",MONTH(A2957))</f>
        <v/>
      </c>
      <c r="I2957" s="33">
        <f>IF(A2957="","",YEAR(A2957))</f>
        <v/>
      </c>
    </row>
    <row r="2958" ht="15" customHeight="1" s="21">
      <c r="A2958" s="34" t="n"/>
      <c r="B2958" s="30" t="n"/>
      <c r="C2958" s="30" t="n"/>
      <c r="D2958" s="30" t="n"/>
      <c r="E2958" s="33">
        <f>IF(B2958="","",IFERROR(INDEX(Productos!$B$2:$B$501,MATCH(B2958,Productos!$A$2:$A$501,0)),"¿Código?"))</f>
        <v/>
      </c>
      <c r="F2958" s="32">
        <f>IF(C2958&lt;&gt;"Venta","",D2958*IFERROR(INDEX(Productos!$D$2:$D$501,MATCH(B2958,Productos!$A$2:$A$501,0)),0))</f>
        <v/>
      </c>
      <c r="G2958" s="32">
        <f>IF(C2958&lt;&gt;"Venta","",D2958*IFERROR(INDEX(Productos!$E$2:$E$501,MATCH(B2958,Productos!$A$2:$A$501,0)),0))</f>
        <v/>
      </c>
      <c r="H2958" s="33">
        <f>IF(A2958="","",MONTH(A2958))</f>
        <v/>
      </c>
      <c r="I2958" s="33">
        <f>IF(A2958="","",YEAR(A2958))</f>
        <v/>
      </c>
    </row>
    <row r="2959" ht="15" customHeight="1" s="21">
      <c r="A2959" s="34" t="n"/>
      <c r="B2959" s="30" t="n"/>
      <c r="C2959" s="30" t="n"/>
      <c r="D2959" s="30" t="n"/>
      <c r="E2959" s="33">
        <f>IF(B2959="","",IFERROR(INDEX(Productos!$B$2:$B$501,MATCH(B2959,Productos!$A$2:$A$501,0)),"¿Código?"))</f>
        <v/>
      </c>
      <c r="F2959" s="32">
        <f>IF(C2959&lt;&gt;"Venta","",D2959*IFERROR(INDEX(Productos!$D$2:$D$501,MATCH(B2959,Productos!$A$2:$A$501,0)),0))</f>
        <v/>
      </c>
      <c r="G2959" s="32">
        <f>IF(C2959&lt;&gt;"Venta","",D2959*IFERROR(INDEX(Productos!$E$2:$E$501,MATCH(B2959,Productos!$A$2:$A$501,0)),0))</f>
        <v/>
      </c>
      <c r="H2959" s="33">
        <f>IF(A2959="","",MONTH(A2959))</f>
        <v/>
      </c>
      <c r="I2959" s="33">
        <f>IF(A2959="","",YEAR(A2959))</f>
        <v/>
      </c>
    </row>
    <row r="2960" ht="15" customHeight="1" s="21">
      <c r="A2960" s="34" t="n"/>
      <c r="B2960" s="30" t="n"/>
      <c r="C2960" s="30" t="n"/>
      <c r="D2960" s="30" t="n"/>
      <c r="E2960" s="33">
        <f>IF(B2960="","",IFERROR(INDEX(Productos!$B$2:$B$501,MATCH(B2960,Productos!$A$2:$A$501,0)),"¿Código?"))</f>
        <v/>
      </c>
      <c r="F2960" s="32">
        <f>IF(C2960&lt;&gt;"Venta","",D2960*IFERROR(INDEX(Productos!$D$2:$D$501,MATCH(B2960,Productos!$A$2:$A$501,0)),0))</f>
        <v/>
      </c>
      <c r="G2960" s="32">
        <f>IF(C2960&lt;&gt;"Venta","",D2960*IFERROR(INDEX(Productos!$E$2:$E$501,MATCH(B2960,Productos!$A$2:$A$501,0)),0))</f>
        <v/>
      </c>
      <c r="H2960" s="33">
        <f>IF(A2960="","",MONTH(A2960))</f>
        <v/>
      </c>
      <c r="I2960" s="33">
        <f>IF(A2960="","",YEAR(A2960))</f>
        <v/>
      </c>
    </row>
    <row r="2961" ht="15" customHeight="1" s="21">
      <c r="A2961" s="34" t="n"/>
      <c r="B2961" s="30" t="n"/>
      <c r="C2961" s="30" t="n"/>
      <c r="D2961" s="30" t="n"/>
      <c r="E2961" s="33">
        <f>IF(B2961="","",IFERROR(INDEX(Productos!$B$2:$B$501,MATCH(B2961,Productos!$A$2:$A$501,0)),"¿Código?"))</f>
        <v/>
      </c>
      <c r="F2961" s="32">
        <f>IF(C2961&lt;&gt;"Venta","",D2961*IFERROR(INDEX(Productos!$D$2:$D$501,MATCH(B2961,Productos!$A$2:$A$501,0)),0))</f>
        <v/>
      </c>
      <c r="G2961" s="32">
        <f>IF(C2961&lt;&gt;"Venta","",D2961*IFERROR(INDEX(Productos!$E$2:$E$501,MATCH(B2961,Productos!$A$2:$A$501,0)),0))</f>
        <v/>
      </c>
      <c r="H2961" s="33">
        <f>IF(A2961="","",MONTH(A2961))</f>
        <v/>
      </c>
      <c r="I2961" s="33">
        <f>IF(A2961="","",YEAR(A2961))</f>
        <v/>
      </c>
    </row>
    <row r="2962" ht="15" customHeight="1" s="21">
      <c r="A2962" s="34" t="n"/>
      <c r="B2962" s="30" t="n"/>
      <c r="C2962" s="30" t="n"/>
      <c r="D2962" s="30" t="n"/>
      <c r="E2962" s="33">
        <f>IF(B2962="","",IFERROR(INDEX(Productos!$B$2:$B$501,MATCH(B2962,Productos!$A$2:$A$501,0)),"¿Código?"))</f>
        <v/>
      </c>
      <c r="F2962" s="32">
        <f>IF(C2962&lt;&gt;"Venta","",D2962*IFERROR(INDEX(Productos!$D$2:$D$501,MATCH(B2962,Productos!$A$2:$A$501,0)),0))</f>
        <v/>
      </c>
      <c r="G2962" s="32">
        <f>IF(C2962&lt;&gt;"Venta","",D2962*IFERROR(INDEX(Productos!$E$2:$E$501,MATCH(B2962,Productos!$A$2:$A$501,0)),0))</f>
        <v/>
      </c>
      <c r="H2962" s="33">
        <f>IF(A2962="","",MONTH(A2962))</f>
        <v/>
      </c>
      <c r="I2962" s="33">
        <f>IF(A2962="","",YEAR(A2962))</f>
        <v/>
      </c>
    </row>
    <row r="2963" ht="15" customHeight="1" s="21">
      <c r="A2963" s="34" t="n"/>
      <c r="B2963" s="30" t="n"/>
      <c r="C2963" s="30" t="n"/>
      <c r="D2963" s="30" t="n"/>
      <c r="E2963" s="33">
        <f>IF(B2963="","",IFERROR(INDEX(Productos!$B$2:$B$501,MATCH(B2963,Productos!$A$2:$A$501,0)),"¿Código?"))</f>
        <v/>
      </c>
      <c r="F2963" s="32">
        <f>IF(C2963&lt;&gt;"Venta","",D2963*IFERROR(INDEX(Productos!$D$2:$D$501,MATCH(B2963,Productos!$A$2:$A$501,0)),0))</f>
        <v/>
      </c>
      <c r="G2963" s="32">
        <f>IF(C2963&lt;&gt;"Venta","",D2963*IFERROR(INDEX(Productos!$E$2:$E$501,MATCH(B2963,Productos!$A$2:$A$501,0)),0))</f>
        <v/>
      </c>
      <c r="H2963" s="33">
        <f>IF(A2963="","",MONTH(A2963))</f>
        <v/>
      </c>
      <c r="I2963" s="33">
        <f>IF(A2963="","",YEAR(A2963))</f>
        <v/>
      </c>
    </row>
    <row r="2964" ht="15" customHeight="1" s="21">
      <c r="A2964" s="34" t="n"/>
      <c r="B2964" s="30" t="n"/>
      <c r="C2964" s="30" t="n"/>
      <c r="D2964" s="30" t="n"/>
      <c r="E2964" s="33">
        <f>IF(B2964="","",IFERROR(INDEX(Productos!$B$2:$B$501,MATCH(B2964,Productos!$A$2:$A$501,0)),"¿Código?"))</f>
        <v/>
      </c>
      <c r="F2964" s="32">
        <f>IF(C2964&lt;&gt;"Venta","",D2964*IFERROR(INDEX(Productos!$D$2:$D$501,MATCH(B2964,Productos!$A$2:$A$501,0)),0))</f>
        <v/>
      </c>
      <c r="G2964" s="32">
        <f>IF(C2964&lt;&gt;"Venta","",D2964*IFERROR(INDEX(Productos!$E$2:$E$501,MATCH(B2964,Productos!$A$2:$A$501,0)),0))</f>
        <v/>
      </c>
      <c r="H2964" s="33">
        <f>IF(A2964="","",MONTH(A2964))</f>
        <v/>
      </c>
      <c r="I2964" s="33">
        <f>IF(A2964="","",YEAR(A2964))</f>
        <v/>
      </c>
    </row>
    <row r="2965" ht="15" customHeight="1" s="21">
      <c r="A2965" s="34" t="n"/>
      <c r="B2965" s="30" t="n"/>
      <c r="C2965" s="30" t="n"/>
      <c r="D2965" s="30" t="n"/>
      <c r="E2965" s="33">
        <f>IF(B2965="","",IFERROR(INDEX(Productos!$B$2:$B$501,MATCH(B2965,Productos!$A$2:$A$501,0)),"¿Código?"))</f>
        <v/>
      </c>
      <c r="F2965" s="32">
        <f>IF(C2965&lt;&gt;"Venta","",D2965*IFERROR(INDEX(Productos!$D$2:$D$501,MATCH(B2965,Productos!$A$2:$A$501,0)),0))</f>
        <v/>
      </c>
      <c r="G2965" s="32">
        <f>IF(C2965&lt;&gt;"Venta","",D2965*IFERROR(INDEX(Productos!$E$2:$E$501,MATCH(B2965,Productos!$A$2:$A$501,0)),0))</f>
        <v/>
      </c>
      <c r="H2965" s="33">
        <f>IF(A2965="","",MONTH(A2965))</f>
        <v/>
      </c>
      <c r="I2965" s="33">
        <f>IF(A2965="","",YEAR(A2965))</f>
        <v/>
      </c>
    </row>
    <row r="2966" ht="15" customHeight="1" s="21">
      <c r="A2966" s="34" t="n"/>
      <c r="B2966" s="30" t="n"/>
      <c r="C2966" s="30" t="n"/>
      <c r="D2966" s="30" t="n"/>
      <c r="E2966" s="33">
        <f>IF(B2966="","",IFERROR(INDEX(Productos!$B$2:$B$501,MATCH(B2966,Productos!$A$2:$A$501,0)),"¿Código?"))</f>
        <v/>
      </c>
      <c r="F2966" s="32">
        <f>IF(C2966&lt;&gt;"Venta","",D2966*IFERROR(INDEX(Productos!$D$2:$D$501,MATCH(B2966,Productos!$A$2:$A$501,0)),0))</f>
        <v/>
      </c>
      <c r="G2966" s="32">
        <f>IF(C2966&lt;&gt;"Venta","",D2966*IFERROR(INDEX(Productos!$E$2:$E$501,MATCH(B2966,Productos!$A$2:$A$501,0)),0))</f>
        <v/>
      </c>
      <c r="H2966" s="33">
        <f>IF(A2966="","",MONTH(A2966))</f>
        <v/>
      </c>
      <c r="I2966" s="33">
        <f>IF(A2966="","",YEAR(A2966))</f>
        <v/>
      </c>
    </row>
    <row r="2967" ht="15" customHeight="1" s="21">
      <c r="A2967" s="34" t="n"/>
      <c r="B2967" s="30" t="n"/>
      <c r="C2967" s="30" t="n"/>
      <c r="D2967" s="30" t="n"/>
      <c r="E2967" s="33">
        <f>IF(B2967="","",IFERROR(INDEX(Productos!$B$2:$B$501,MATCH(B2967,Productos!$A$2:$A$501,0)),"¿Código?"))</f>
        <v/>
      </c>
      <c r="F2967" s="32">
        <f>IF(C2967&lt;&gt;"Venta","",D2967*IFERROR(INDEX(Productos!$D$2:$D$501,MATCH(B2967,Productos!$A$2:$A$501,0)),0))</f>
        <v/>
      </c>
      <c r="G2967" s="32">
        <f>IF(C2967&lt;&gt;"Venta","",D2967*IFERROR(INDEX(Productos!$E$2:$E$501,MATCH(B2967,Productos!$A$2:$A$501,0)),0))</f>
        <v/>
      </c>
      <c r="H2967" s="33">
        <f>IF(A2967="","",MONTH(A2967))</f>
        <v/>
      </c>
      <c r="I2967" s="33">
        <f>IF(A2967="","",YEAR(A2967))</f>
        <v/>
      </c>
    </row>
    <row r="2968" ht="15" customHeight="1" s="21">
      <c r="A2968" s="34" t="n"/>
      <c r="B2968" s="30" t="n"/>
      <c r="C2968" s="30" t="n"/>
      <c r="D2968" s="30" t="n"/>
      <c r="E2968" s="33">
        <f>IF(B2968="","",IFERROR(INDEX(Productos!$B$2:$B$501,MATCH(B2968,Productos!$A$2:$A$501,0)),"¿Código?"))</f>
        <v/>
      </c>
      <c r="F2968" s="32">
        <f>IF(C2968&lt;&gt;"Venta","",D2968*IFERROR(INDEX(Productos!$D$2:$D$501,MATCH(B2968,Productos!$A$2:$A$501,0)),0))</f>
        <v/>
      </c>
      <c r="G2968" s="32">
        <f>IF(C2968&lt;&gt;"Venta","",D2968*IFERROR(INDEX(Productos!$E$2:$E$501,MATCH(B2968,Productos!$A$2:$A$501,0)),0))</f>
        <v/>
      </c>
      <c r="H2968" s="33">
        <f>IF(A2968="","",MONTH(A2968))</f>
        <v/>
      </c>
      <c r="I2968" s="33">
        <f>IF(A2968="","",YEAR(A2968))</f>
        <v/>
      </c>
    </row>
    <row r="2969" ht="15" customHeight="1" s="21">
      <c r="A2969" s="34" t="n"/>
      <c r="B2969" s="30" t="n"/>
      <c r="C2969" s="30" t="n"/>
      <c r="D2969" s="30" t="n"/>
      <c r="E2969" s="33">
        <f>IF(B2969="","",IFERROR(INDEX(Productos!$B$2:$B$501,MATCH(B2969,Productos!$A$2:$A$501,0)),"¿Código?"))</f>
        <v/>
      </c>
      <c r="F2969" s="32">
        <f>IF(C2969&lt;&gt;"Venta","",D2969*IFERROR(INDEX(Productos!$D$2:$D$501,MATCH(B2969,Productos!$A$2:$A$501,0)),0))</f>
        <v/>
      </c>
      <c r="G2969" s="32">
        <f>IF(C2969&lt;&gt;"Venta","",D2969*IFERROR(INDEX(Productos!$E$2:$E$501,MATCH(B2969,Productos!$A$2:$A$501,0)),0))</f>
        <v/>
      </c>
      <c r="H2969" s="33">
        <f>IF(A2969="","",MONTH(A2969))</f>
        <v/>
      </c>
      <c r="I2969" s="33">
        <f>IF(A2969="","",YEAR(A2969))</f>
        <v/>
      </c>
    </row>
    <row r="2970" ht="15" customHeight="1" s="21">
      <c r="A2970" s="34" t="n"/>
      <c r="B2970" s="30" t="n"/>
      <c r="C2970" s="30" t="n"/>
      <c r="D2970" s="30" t="n"/>
      <c r="E2970" s="33">
        <f>IF(B2970="","",IFERROR(INDEX(Productos!$B$2:$B$501,MATCH(B2970,Productos!$A$2:$A$501,0)),"¿Código?"))</f>
        <v/>
      </c>
      <c r="F2970" s="32">
        <f>IF(C2970&lt;&gt;"Venta","",D2970*IFERROR(INDEX(Productos!$D$2:$D$501,MATCH(B2970,Productos!$A$2:$A$501,0)),0))</f>
        <v/>
      </c>
      <c r="G2970" s="32">
        <f>IF(C2970&lt;&gt;"Venta","",D2970*IFERROR(INDEX(Productos!$E$2:$E$501,MATCH(B2970,Productos!$A$2:$A$501,0)),0))</f>
        <v/>
      </c>
      <c r="H2970" s="33">
        <f>IF(A2970="","",MONTH(A2970))</f>
        <v/>
      </c>
      <c r="I2970" s="33">
        <f>IF(A2970="","",YEAR(A2970))</f>
        <v/>
      </c>
    </row>
    <row r="2971" ht="15" customHeight="1" s="21">
      <c r="A2971" s="34" t="n"/>
      <c r="B2971" s="30" t="n"/>
      <c r="C2971" s="30" t="n"/>
      <c r="D2971" s="30" t="n"/>
      <c r="E2971" s="33">
        <f>IF(B2971="","",IFERROR(INDEX(Productos!$B$2:$B$501,MATCH(B2971,Productos!$A$2:$A$501,0)),"¿Código?"))</f>
        <v/>
      </c>
      <c r="F2971" s="32">
        <f>IF(C2971&lt;&gt;"Venta","",D2971*IFERROR(INDEX(Productos!$D$2:$D$501,MATCH(B2971,Productos!$A$2:$A$501,0)),0))</f>
        <v/>
      </c>
      <c r="G2971" s="32">
        <f>IF(C2971&lt;&gt;"Venta","",D2971*IFERROR(INDEX(Productos!$E$2:$E$501,MATCH(B2971,Productos!$A$2:$A$501,0)),0))</f>
        <v/>
      </c>
      <c r="H2971" s="33">
        <f>IF(A2971="","",MONTH(A2971))</f>
        <v/>
      </c>
      <c r="I2971" s="33">
        <f>IF(A2971="","",YEAR(A2971))</f>
        <v/>
      </c>
    </row>
    <row r="2972" ht="15" customHeight="1" s="21">
      <c r="A2972" s="34" t="n"/>
      <c r="B2972" s="30" t="n"/>
      <c r="C2972" s="30" t="n"/>
      <c r="D2972" s="30" t="n"/>
      <c r="E2972" s="33">
        <f>IF(B2972="","",IFERROR(INDEX(Productos!$B$2:$B$501,MATCH(B2972,Productos!$A$2:$A$501,0)),"¿Código?"))</f>
        <v/>
      </c>
      <c r="F2972" s="32">
        <f>IF(C2972&lt;&gt;"Venta","",D2972*IFERROR(INDEX(Productos!$D$2:$D$501,MATCH(B2972,Productos!$A$2:$A$501,0)),0))</f>
        <v/>
      </c>
      <c r="G2972" s="32">
        <f>IF(C2972&lt;&gt;"Venta","",D2972*IFERROR(INDEX(Productos!$E$2:$E$501,MATCH(B2972,Productos!$A$2:$A$501,0)),0))</f>
        <v/>
      </c>
      <c r="H2972" s="33">
        <f>IF(A2972="","",MONTH(A2972))</f>
        <v/>
      </c>
      <c r="I2972" s="33">
        <f>IF(A2972="","",YEAR(A2972))</f>
        <v/>
      </c>
    </row>
    <row r="2973" ht="15" customHeight="1" s="21">
      <c r="A2973" s="34" t="n"/>
      <c r="B2973" s="30" t="n"/>
      <c r="C2973" s="30" t="n"/>
      <c r="D2973" s="30" t="n"/>
      <c r="E2973" s="33">
        <f>IF(B2973="","",IFERROR(INDEX(Productos!$B$2:$B$501,MATCH(B2973,Productos!$A$2:$A$501,0)),"¿Código?"))</f>
        <v/>
      </c>
      <c r="F2973" s="32">
        <f>IF(C2973&lt;&gt;"Venta","",D2973*IFERROR(INDEX(Productos!$D$2:$D$501,MATCH(B2973,Productos!$A$2:$A$501,0)),0))</f>
        <v/>
      </c>
      <c r="G2973" s="32">
        <f>IF(C2973&lt;&gt;"Venta","",D2973*IFERROR(INDEX(Productos!$E$2:$E$501,MATCH(B2973,Productos!$A$2:$A$501,0)),0))</f>
        <v/>
      </c>
      <c r="H2973" s="33">
        <f>IF(A2973="","",MONTH(A2973))</f>
        <v/>
      </c>
      <c r="I2973" s="33">
        <f>IF(A2973="","",YEAR(A2973))</f>
        <v/>
      </c>
    </row>
    <row r="2974" ht="15" customHeight="1" s="21">
      <c r="A2974" s="34" t="n"/>
      <c r="B2974" s="30" t="n"/>
      <c r="C2974" s="30" t="n"/>
      <c r="D2974" s="30" t="n"/>
      <c r="E2974" s="33">
        <f>IF(B2974="","",IFERROR(INDEX(Productos!$B$2:$B$501,MATCH(B2974,Productos!$A$2:$A$501,0)),"¿Código?"))</f>
        <v/>
      </c>
      <c r="F2974" s="32">
        <f>IF(C2974&lt;&gt;"Venta","",D2974*IFERROR(INDEX(Productos!$D$2:$D$501,MATCH(B2974,Productos!$A$2:$A$501,0)),0))</f>
        <v/>
      </c>
      <c r="G2974" s="32">
        <f>IF(C2974&lt;&gt;"Venta","",D2974*IFERROR(INDEX(Productos!$E$2:$E$501,MATCH(B2974,Productos!$A$2:$A$501,0)),0))</f>
        <v/>
      </c>
      <c r="H2974" s="33">
        <f>IF(A2974="","",MONTH(A2974))</f>
        <v/>
      </c>
      <c r="I2974" s="33">
        <f>IF(A2974="","",YEAR(A2974))</f>
        <v/>
      </c>
    </row>
    <row r="2975" ht="15" customHeight="1" s="21">
      <c r="A2975" s="34" t="n"/>
      <c r="B2975" s="30" t="n"/>
      <c r="C2975" s="30" t="n"/>
      <c r="D2975" s="30" t="n"/>
      <c r="E2975" s="33">
        <f>IF(B2975="","",IFERROR(INDEX(Productos!$B$2:$B$501,MATCH(B2975,Productos!$A$2:$A$501,0)),"¿Código?"))</f>
        <v/>
      </c>
      <c r="F2975" s="32">
        <f>IF(C2975&lt;&gt;"Venta","",D2975*IFERROR(INDEX(Productos!$D$2:$D$501,MATCH(B2975,Productos!$A$2:$A$501,0)),0))</f>
        <v/>
      </c>
      <c r="G2975" s="32">
        <f>IF(C2975&lt;&gt;"Venta","",D2975*IFERROR(INDEX(Productos!$E$2:$E$501,MATCH(B2975,Productos!$A$2:$A$501,0)),0))</f>
        <v/>
      </c>
      <c r="H2975" s="33">
        <f>IF(A2975="","",MONTH(A2975))</f>
        <v/>
      </c>
      <c r="I2975" s="33">
        <f>IF(A2975="","",YEAR(A2975))</f>
        <v/>
      </c>
    </row>
    <row r="2976" ht="15" customHeight="1" s="21">
      <c r="A2976" s="34" t="n"/>
      <c r="B2976" s="30" t="n"/>
      <c r="C2976" s="30" t="n"/>
      <c r="D2976" s="30" t="n"/>
      <c r="E2976" s="33">
        <f>IF(B2976="","",IFERROR(INDEX(Productos!$B$2:$B$501,MATCH(B2976,Productos!$A$2:$A$501,0)),"¿Código?"))</f>
        <v/>
      </c>
      <c r="F2976" s="32">
        <f>IF(C2976&lt;&gt;"Venta","",D2976*IFERROR(INDEX(Productos!$D$2:$D$501,MATCH(B2976,Productos!$A$2:$A$501,0)),0))</f>
        <v/>
      </c>
      <c r="G2976" s="32">
        <f>IF(C2976&lt;&gt;"Venta","",D2976*IFERROR(INDEX(Productos!$E$2:$E$501,MATCH(B2976,Productos!$A$2:$A$501,0)),0))</f>
        <v/>
      </c>
      <c r="H2976" s="33">
        <f>IF(A2976="","",MONTH(A2976))</f>
        <v/>
      </c>
      <c r="I2976" s="33">
        <f>IF(A2976="","",YEAR(A2976))</f>
        <v/>
      </c>
    </row>
    <row r="2977" ht="15" customHeight="1" s="21">
      <c r="A2977" s="34" t="n"/>
      <c r="B2977" s="30" t="n"/>
      <c r="C2977" s="30" t="n"/>
      <c r="D2977" s="30" t="n"/>
      <c r="E2977" s="33">
        <f>IF(B2977="","",IFERROR(INDEX(Productos!$B$2:$B$501,MATCH(B2977,Productos!$A$2:$A$501,0)),"¿Código?"))</f>
        <v/>
      </c>
      <c r="F2977" s="32">
        <f>IF(C2977&lt;&gt;"Venta","",D2977*IFERROR(INDEX(Productos!$D$2:$D$501,MATCH(B2977,Productos!$A$2:$A$501,0)),0))</f>
        <v/>
      </c>
      <c r="G2977" s="32">
        <f>IF(C2977&lt;&gt;"Venta","",D2977*IFERROR(INDEX(Productos!$E$2:$E$501,MATCH(B2977,Productos!$A$2:$A$501,0)),0))</f>
        <v/>
      </c>
      <c r="H2977" s="33">
        <f>IF(A2977="","",MONTH(A2977))</f>
        <v/>
      </c>
      <c r="I2977" s="33">
        <f>IF(A2977="","",YEAR(A2977))</f>
        <v/>
      </c>
    </row>
    <row r="2978" ht="15" customHeight="1" s="21">
      <c r="A2978" s="34" t="n"/>
      <c r="B2978" s="30" t="n"/>
      <c r="C2978" s="30" t="n"/>
      <c r="D2978" s="30" t="n"/>
      <c r="E2978" s="33">
        <f>IF(B2978="","",IFERROR(INDEX(Productos!$B$2:$B$501,MATCH(B2978,Productos!$A$2:$A$501,0)),"¿Código?"))</f>
        <v/>
      </c>
      <c r="F2978" s="32">
        <f>IF(C2978&lt;&gt;"Venta","",D2978*IFERROR(INDEX(Productos!$D$2:$D$501,MATCH(B2978,Productos!$A$2:$A$501,0)),0))</f>
        <v/>
      </c>
      <c r="G2978" s="32">
        <f>IF(C2978&lt;&gt;"Venta","",D2978*IFERROR(INDEX(Productos!$E$2:$E$501,MATCH(B2978,Productos!$A$2:$A$501,0)),0))</f>
        <v/>
      </c>
      <c r="H2978" s="33">
        <f>IF(A2978="","",MONTH(A2978))</f>
        <v/>
      </c>
      <c r="I2978" s="33">
        <f>IF(A2978="","",YEAR(A2978))</f>
        <v/>
      </c>
    </row>
    <row r="2979" ht="15" customHeight="1" s="21">
      <c r="A2979" s="34" t="n"/>
      <c r="B2979" s="30" t="n"/>
      <c r="C2979" s="30" t="n"/>
      <c r="D2979" s="30" t="n"/>
      <c r="E2979" s="33">
        <f>IF(B2979="","",IFERROR(INDEX(Productos!$B$2:$B$501,MATCH(B2979,Productos!$A$2:$A$501,0)),"¿Código?"))</f>
        <v/>
      </c>
      <c r="F2979" s="32">
        <f>IF(C2979&lt;&gt;"Venta","",D2979*IFERROR(INDEX(Productos!$D$2:$D$501,MATCH(B2979,Productos!$A$2:$A$501,0)),0))</f>
        <v/>
      </c>
      <c r="G2979" s="32">
        <f>IF(C2979&lt;&gt;"Venta","",D2979*IFERROR(INDEX(Productos!$E$2:$E$501,MATCH(B2979,Productos!$A$2:$A$501,0)),0))</f>
        <v/>
      </c>
      <c r="H2979" s="33">
        <f>IF(A2979="","",MONTH(A2979))</f>
        <v/>
      </c>
      <c r="I2979" s="33">
        <f>IF(A2979="","",YEAR(A2979))</f>
        <v/>
      </c>
    </row>
    <row r="2980" ht="15" customHeight="1" s="21">
      <c r="A2980" s="34" t="n"/>
      <c r="B2980" s="30" t="n"/>
      <c r="C2980" s="30" t="n"/>
      <c r="D2980" s="30" t="n"/>
      <c r="E2980" s="33">
        <f>IF(B2980="","",IFERROR(INDEX(Productos!$B$2:$B$501,MATCH(B2980,Productos!$A$2:$A$501,0)),"¿Código?"))</f>
        <v/>
      </c>
      <c r="F2980" s="32">
        <f>IF(C2980&lt;&gt;"Venta","",D2980*IFERROR(INDEX(Productos!$D$2:$D$501,MATCH(B2980,Productos!$A$2:$A$501,0)),0))</f>
        <v/>
      </c>
      <c r="G2980" s="32">
        <f>IF(C2980&lt;&gt;"Venta","",D2980*IFERROR(INDEX(Productos!$E$2:$E$501,MATCH(B2980,Productos!$A$2:$A$501,0)),0))</f>
        <v/>
      </c>
      <c r="H2980" s="33">
        <f>IF(A2980="","",MONTH(A2980))</f>
        <v/>
      </c>
      <c r="I2980" s="33">
        <f>IF(A2980="","",YEAR(A2980))</f>
        <v/>
      </c>
    </row>
    <row r="2981" ht="15" customHeight="1" s="21">
      <c r="A2981" s="34" t="n"/>
      <c r="B2981" s="30" t="n"/>
      <c r="C2981" s="30" t="n"/>
      <c r="D2981" s="30" t="n"/>
      <c r="E2981" s="33">
        <f>IF(B2981="","",IFERROR(INDEX(Productos!$B$2:$B$501,MATCH(B2981,Productos!$A$2:$A$501,0)),"¿Código?"))</f>
        <v/>
      </c>
      <c r="F2981" s="32">
        <f>IF(C2981&lt;&gt;"Venta","",D2981*IFERROR(INDEX(Productos!$D$2:$D$501,MATCH(B2981,Productos!$A$2:$A$501,0)),0))</f>
        <v/>
      </c>
      <c r="G2981" s="32">
        <f>IF(C2981&lt;&gt;"Venta","",D2981*IFERROR(INDEX(Productos!$E$2:$E$501,MATCH(B2981,Productos!$A$2:$A$501,0)),0))</f>
        <v/>
      </c>
      <c r="H2981" s="33">
        <f>IF(A2981="","",MONTH(A2981))</f>
        <v/>
      </c>
      <c r="I2981" s="33">
        <f>IF(A2981="","",YEAR(A2981))</f>
        <v/>
      </c>
    </row>
    <row r="2982" ht="15" customHeight="1" s="21">
      <c r="A2982" s="34" t="n"/>
      <c r="B2982" s="30" t="n"/>
      <c r="C2982" s="30" t="n"/>
      <c r="D2982" s="30" t="n"/>
      <c r="E2982" s="33">
        <f>IF(B2982="","",IFERROR(INDEX(Productos!$B$2:$B$501,MATCH(B2982,Productos!$A$2:$A$501,0)),"¿Código?"))</f>
        <v/>
      </c>
      <c r="F2982" s="32">
        <f>IF(C2982&lt;&gt;"Venta","",D2982*IFERROR(INDEX(Productos!$D$2:$D$501,MATCH(B2982,Productos!$A$2:$A$501,0)),0))</f>
        <v/>
      </c>
      <c r="G2982" s="32">
        <f>IF(C2982&lt;&gt;"Venta","",D2982*IFERROR(INDEX(Productos!$E$2:$E$501,MATCH(B2982,Productos!$A$2:$A$501,0)),0))</f>
        <v/>
      </c>
      <c r="H2982" s="33">
        <f>IF(A2982="","",MONTH(A2982))</f>
        <v/>
      </c>
      <c r="I2982" s="33">
        <f>IF(A2982="","",YEAR(A2982))</f>
        <v/>
      </c>
    </row>
    <row r="2983" ht="15" customHeight="1" s="21">
      <c r="A2983" s="34" t="n"/>
      <c r="B2983" s="30" t="n"/>
      <c r="C2983" s="30" t="n"/>
      <c r="D2983" s="30" t="n"/>
      <c r="E2983" s="33">
        <f>IF(B2983="","",IFERROR(INDEX(Productos!$B$2:$B$501,MATCH(B2983,Productos!$A$2:$A$501,0)),"¿Código?"))</f>
        <v/>
      </c>
      <c r="F2983" s="32">
        <f>IF(C2983&lt;&gt;"Venta","",D2983*IFERROR(INDEX(Productos!$D$2:$D$501,MATCH(B2983,Productos!$A$2:$A$501,0)),0))</f>
        <v/>
      </c>
      <c r="G2983" s="32">
        <f>IF(C2983&lt;&gt;"Venta","",D2983*IFERROR(INDEX(Productos!$E$2:$E$501,MATCH(B2983,Productos!$A$2:$A$501,0)),0))</f>
        <v/>
      </c>
      <c r="H2983" s="33">
        <f>IF(A2983="","",MONTH(A2983))</f>
        <v/>
      </c>
      <c r="I2983" s="33">
        <f>IF(A2983="","",YEAR(A2983))</f>
        <v/>
      </c>
    </row>
    <row r="2984" ht="15" customHeight="1" s="21">
      <c r="A2984" s="34" t="n"/>
      <c r="B2984" s="30" t="n"/>
      <c r="C2984" s="30" t="n"/>
      <c r="D2984" s="30" t="n"/>
      <c r="E2984" s="33">
        <f>IF(B2984="","",IFERROR(INDEX(Productos!$B$2:$B$501,MATCH(B2984,Productos!$A$2:$A$501,0)),"¿Código?"))</f>
        <v/>
      </c>
      <c r="F2984" s="32">
        <f>IF(C2984&lt;&gt;"Venta","",D2984*IFERROR(INDEX(Productos!$D$2:$D$501,MATCH(B2984,Productos!$A$2:$A$501,0)),0))</f>
        <v/>
      </c>
      <c r="G2984" s="32">
        <f>IF(C2984&lt;&gt;"Venta","",D2984*IFERROR(INDEX(Productos!$E$2:$E$501,MATCH(B2984,Productos!$A$2:$A$501,0)),0))</f>
        <v/>
      </c>
      <c r="H2984" s="33">
        <f>IF(A2984="","",MONTH(A2984))</f>
        <v/>
      </c>
      <c r="I2984" s="33">
        <f>IF(A2984="","",YEAR(A2984))</f>
        <v/>
      </c>
    </row>
    <row r="2985" ht="15" customHeight="1" s="21">
      <c r="A2985" s="34" t="n"/>
      <c r="B2985" s="30" t="n"/>
      <c r="C2985" s="30" t="n"/>
      <c r="D2985" s="30" t="n"/>
      <c r="E2985" s="33">
        <f>IF(B2985="","",IFERROR(INDEX(Productos!$B$2:$B$501,MATCH(B2985,Productos!$A$2:$A$501,0)),"¿Código?"))</f>
        <v/>
      </c>
      <c r="F2985" s="32">
        <f>IF(C2985&lt;&gt;"Venta","",D2985*IFERROR(INDEX(Productos!$D$2:$D$501,MATCH(B2985,Productos!$A$2:$A$501,0)),0))</f>
        <v/>
      </c>
      <c r="G2985" s="32">
        <f>IF(C2985&lt;&gt;"Venta","",D2985*IFERROR(INDEX(Productos!$E$2:$E$501,MATCH(B2985,Productos!$A$2:$A$501,0)),0))</f>
        <v/>
      </c>
      <c r="H2985" s="33">
        <f>IF(A2985="","",MONTH(A2985))</f>
        <v/>
      </c>
      <c r="I2985" s="33">
        <f>IF(A2985="","",YEAR(A2985))</f>
        <v/>
      </c>
    </row>
    <row r="2986" ht="15" customHeight="1" s="21">
      <c r="A2986" s="34" t="n"/>
      <c r="B2986" s="30" t="n"/>
      <c r="C2986" s="30" t="n"/>
      <c r="D2986" s="30" t="n"/>
      <c r="E2986" s="33">
        <f>IF(B2986="","",IFERROR(INDEX(Productos!$B$2:$B$501,MATCH(B2986,Productos!$A$2:$A$501,0)),"¿Código?"))</f>
        <v/>
      </c>
      <c r="F2986" s="32">
        <f>IF(C2986&lt;&gt;"Venta","",D2986*IFERROR(INDEX(Productos!$D$2:$D$501,MATCH(B2986,Productos!$A$2:$A$501,0)),0))</f>
        <v/>
      </c>
      <c r="G2986" s="32">
        <f>IF(C2986&lt;&gt;"Venta","",D2986*IFERROR(INDEX(Productos!$E$2:$E$501,MATCH(B2986,Productos!$A$2:$A$501,0)),0))</f>
        <v/>
      </c>
      <c r="H2986" s="33">
        <f>IF(A2986="","",MONTH(A2986))</f>
        <v/>
      </c>
      <c r="I2986" s="33">
        <f>IF(A2986="","",YEAR(A2986))</f>
        <v/>
      </c>
    </row>
    <row r="2987" ht="15" customHeight="1" s="21">
      <c r="A2987" s="34" t="n"/>
      <c r="B2987" s="30" t="n"/>
      <c r="C2987" s="30" t="n"/>
      <c r="D2987" s="30" t="n"/>
      <c r="E2987" s="33">
        <f>IF(B2987="","",IFERROR(INDEX(Productos!$B$2:$B$501,MATCH(B2987,Productos!$A$2:$A$501,0)),"¿Código?"))</f>
        <v/>
      </c>
      <c r="F2987" s="32">
        <f>IF(C2987&lt;&gt;"Venta","",D2987*IFERROR(INDEX(Productos!$D$2:$D$501,MATCH(B2987,Productos!$A$2:$A$501,0)),0))</f>
        <v/>
      </c>
      <c r="G2987" s="32">
        <f>IF(C2987&lt;&gt;"Venta","",D2987*IFERROR(INDEX(Productos!$E$2:$E$501,MATCH(B2987,Productos!$A$2:$A$501,0)),0))</f>
        <v/>
      </c>
      <c r="H2987" s="33">
        <f>IF(A2987="","",MONTH(A2987))</f>
        <v/>
      </c>
      <c r="I2987" s="33">
        <f>IF(A2987="","",YEAR(A2987))</f>
        <v/>
      </c>
    </row>
    <row r="2988" ht="15" customHeight="1" s="21">
      <c r="A2988" s="34" t="n"/>
      <c r="B2988" s="30" t="n"/>
      <c r="C2988" s="30" t="n"/>
      <c r="D2988" s="30" t="n"/>
      <c r="E2988" s="33">
        <f>IF(B2988="","",IFERROR(INDEX(Productos!$B$2:$B$501,MATCH(B2988,Productos!$A$2:$A$501,0)),"¿Código?"))</f>
        <v/>
      </c>
      <c r="F2988" s="32">
        <f>IF(C2988&lt;&gt;"Venta","",D2988*IFERROR(INDEX(Productos!$D$2:$D$501,MATCH(B2988,Productos!$A$2:$A$501,0)),0))</f>
        <v/>
      </c>
      <c r="G2988" s="32">
        <f>IF(C2988&lt;&gt;"Venta","",D2988*IFERROR(INDEX(Productos!$E$2:$E$501,MATCH(B2988,Productos!$A$2:$A$501,0)),0))</f>
        <v/>
      </c>
      <c r="H2988" s="33">
        <f>IF(A2988="","",MONTH(A2988))</f>
        <v/>
      </c>
      <c r="I2988" s="33">
        <f>IF(A2988="","",YEAR(A2988))</f>
        <v/>
      </c>
    </row>
    <row r="2989" ht="15" customHeight="1" s="21">
      <c r="A2989" s="34" t="n"/>
      <c r="B2989" s="30" t="n"/>
      <c r="C2989" s="30" t="n"/>
      <c r="D2989" s="30" t="n"/>
      <c r="E2989" s="33">
        <f>IF(B2989="","",IFERROR(INDEX(Productos!$B$2:$B$501,MATCH(B2989,Productos!$A$2:$A$501,0)),"¿Código?"))</f>
        <v/>
      </c>
      <c r="F2989" s="32">
        <f>IF(C2989&lt;&gt;"Venta","",D2989*IFERROR(INDEX(Productos!$D$2:$D$501,MATCH(B2989,Productos!$A$2:$A$501,0)),0))</f>
        <v/>
      </c>
      <c r="G2989" s="32">
        <f>IF(C2989&lt;&gt;"Venta","",D2989*IFERROR(INDEX(Productos!$E$2:$E$501,MATCH(B2989,Productos!$A$2:$A$501,0)),0))</f>
        <v/>
      </c>
      <c r="H2989" s="33">
        <f>IF(A2989="","",MONTH(A2989))</f>
        <v/>
      </c>
      <c r="I2989" s="33">
        <f>IF(A2989="","",YEAR(A2989))</f>
        <v/>
      </c>
    </row>
    <row r="2990" ht="15" customHeight="1" s="21">
      <c r="A2990" s="34" t="n"/>
      <c r="B2990" s="30" t="n"/>
      <c r="C2990" s="30" t="n"/>
      <c r="D2990" s="30" t="n"/>
      <c r="E2990" s="33">
        <f>IF(B2990="","",IFERROR(INDEX(Productos!$B$2:$B$501,MATCH(B2990,Productos!$A$2:$A$501,0)),"¿Código?"))</f>
        <v/>
      </c>
      <c r="F2990" s="32">
        <f>IF(C2990&lt;&gt;"Venta","",D2990*IFERROR(INDEX(Productos!$D$2:$D$501,MATCH(B2990,Productos!$A$2:$A$501,0)),0))</f>
        <v/>
      </c>
      <c r="G2990" s="32">
        <f>IF(C2990&lt;&gt;"Venta","",D2990*IFERROR(INDEX(Productos!$E$2:$E$501,MATCH(B2990,Productos!$A$2:$A$501,0)),0))</f>
        <v/>
      </c>
      <c r="H2990" s="33">
        <f>IF(A2990="","",MONTH(A2990))</f>
        <v/>
      </c>
      <c r="I2990" s="33">
        <f>IF(A2990="","",YEAR(A2990))</f>
        <v/>
      </c>
    </row>
    <row r="2991" ht="15" customHeight="1" s="21">
      <c r="A2991" s="34" t="n"/>
      <c r="B2991" s="30" t="n"/>
      <c r="C2991" s="30" t="n"/>
      <c r="D2991" s="30" t="n"/>
      <c r="E2991" s="33">
        <f>IF(B2991="","",IFERROR(INDEX(Productos!$B$2:$B$501,MATCH(B2991,Productos!$A$2:$A$501,0)),"¿Código?"))</f>
        <v/>
      </c>
      <c r="F2991" s="32">
        <f>IF(C2991&lt;&gt;"Venta","",D2991*IFERROR(INDEX(Productos!$D$2:$D$501,MATCH(B2991,Productos!$A$2:$A$501,0)),0))</f>
        <v/>
      </c>
      <c r="G2991" s="32">
        <f>IF(C2991&lt;&gt;"Venta","",D2991*IFERROR(INDEX(Productos!$E$2:$E$501,MATCH(B2991,Productos!$A$2:$A$501,0)),0))</f>
        <v/>
      </c>
      <c r="H2991" s="33">
        <f>IF(A2991="","",MONTH(A2991))</f>
        <v/>
      </c>
      <c r="I2991" s="33">
        <f>IF(A2991="","",YEAR(A2991))</f>
        <v/>
      </c>
    </row>
    <row r="2992" ht="15" customHeight="1" s="21">
      <c r="A2992" s="34" t="n"/>
      <c r="B2992" s="30" t="n"/>
      <c r="C2992" s="30" t="n"/>
      <c r="D2992" s="30" t="n"/>
      <c r="E2992" s="33">
        <f>IF(B2992="","",IFERROR(INDEX(Productos!$B$2:$B$501,MATCH(B2992,Productos!$A$2:$A$501,0)),"¿Código?"))</f>
        <v/>
      </c>
      <c r="F2992" s="32">
        <f>IF(C2992&lt;&gt;"Venta","",D2992*IFERROR(INDEX(Productos!$D$2:$D$501,MATCH(B2992,Productos!$A$2:$A$501,0)),0))</f>
        <v/>
      </c>
      <c r="G2992" s="32">
        <f>IF(C2992&lt;&gt;"Venta","",D2992*IFERROR(INDEX(Productos!$E$2:$E$501,MATCH(B2992,Productos!$A$2:$A$501,0)),0))</f>
        <v/>
      </c>
      <c r="H2992" s="33">
        <f>IF(A2992="","",MONTH(A2992))</f>
        <v/>
      </c>
      <c r="I2992" s="33">
        <f>IF(A2992="","",YEAR(A2992))</f>
        <v/>
      </c>
    </row>
    <row r="2993" ht="15" customHeight="1" s="21">
      <c r="A2993" s="34" t="n"/>
      <c r="B2993" s="30" t="n"/>
      <c r="C2993" s="30" t="n"/>
      <c r="D2993" s="30" t="n"/>
      <c r="E2993" s="33">
        <f>IF(B2993="","",IFERROR(INDEX(Productos!$B$2:$B$501,MATCH(B2993,Productos!$A$2:$A$501,0)),"¿Código?"))</f>
        <v/>
      </c>
      <c r="F2993" s="32">
        <f>IF(C2993&lt;&gt;"Venta","",D2993*IFERROR(INDEX(Productos!$D$2:$D$501,MATCH(B2993,Productos!$A$2:$A$501,0)),0))</f>
        <v/>
      </c>
      <c r="G2993" s="32">
        <f>IF(C2993&lt;&gt;"Venta","",D2993*IFERROR(INDEX(Productos!$E$2:$E$501,MATCH(B2993,Productos!$A$2:$A$501,0)),0))</f>
        <v/>
      </c>
      <c r="H2993" s="33">
        <f>IF(A2993="","",MONTH(A2993))</f>
        <v/>
      </c>
      <c r="I2993" s="33">
        <f>IF(A2993="","",YEAR(A2993))</f>
        <v/>
      </c>
    </row>
    <row r="2994" ht="15" customHeight="1" s="21">
      <c r="A2994" s="34" t="n"/>
      <c r="B2994" s="30" t="n"/>
      <c r="C2994" s="30" t="n"/>
      <c r="D2994" s="30" t="n"/>
      <c r="E2994" s="33">
        <f>IF(B2994="","",IFERROR(INDEX(Productos!$B$2:$B$501,MATCH(B2994,Productos!$A$2:$A$501,0)),"¿Código?"))</f>
        <v/>
      </c>
      <c r="F2994" s="32">
        <f>IF(C2994&lt;&gt;"Venta","",D2994*IFERROR(INDEX(Productos!$D$2:$D$501,MATCH(B2994,Productos!$A$2:$A$501,0)),0))</f>
        <v/>
      </c>
      <c r="G2994" s="32">
        <f>IF(C2994&lt;&gt;"Venta","",D2994*IFERROR(INDEX(Productos!$E$2:$E$501,MATCH(B2994,Productos!$A$2:$A$501,0)),0))</f>
        <v/>
      </c>
      <c r="H2994" s="33">
        <f>IF(A2994="","",MONTH(A2994))</f>
        <v/>
      </c>
      <c r="I2994" s="33">
        <f>IF(A2994="","",YEAR(A2994))</f>
        <v/>
      </c>
    </row>
    <row r="2995" ht="15" customHeight="1" s="21">
      <c r="A2995" s="34" t="n"/>
      <c r="B2995" s="30" t="n"/>
      <c r="C2995" s="30" t="n"/>
      <c r="D2995" s="30" t="n"/>
      <c r="E2995" s="33">
        <f>IF(B2995="","",IFERROR(INDEX(Productos!$B$2:$B$501,MATCH(B2995,Productos!$A$2:$A$501,0)),"¿Código?"))</f>
        <v/>
      </c>
      <c r="F2995" s="32">
        <f>IF(C2995&lt;&gt;"Venta","",D2995*IFERROR(INDEX(Productos!$D$2:$D$501,MATCH(B2995,Productos!$A$2:$A$501,0)),0))</f>
        <v/>
      </c>
      <c r="G2995" s="32">
        <f>IF(C2995&lt;&gt;"Venta","",D2995*IFERROR(INDEX(Productos!$E$2:$E$501,MATCH(B2995,Productos!$A$2:$A$501,0)),0))</f>
        <v/>
      </c>
      <c r="H2995" s="33">
        <f>IF(A2995="","",MONTH(A2995))</f>
        <v/>
      </c>
      <c r="I2995" s="33">
        <f>IF(A2995="","",YEAR(A2995))</f>
        <v/>
      </c>
    </row>
    <row r="2996" ht="15" customHeight="1" s="21">
      <c r="A2996" s="34" t="n"/>
      <c r="B2996" s="30" t="n"/>
      <c r="C2996" s="30" t="n"/>
      <c r="D2996" s="30" t="n"/>
      <c r="E2996" s="33">
        <f>IF(B2996="","",IFERROR(INDEX(Productos!$B$2:$B$501,MATCH(B2996,Productos!$A$2:$A$501,0)),"¿Código?"))</f>
        <v/>
      </c>
      <c r="F2996" s="32">
        <f>IF(C2996&lt;&gt;"Venta","",D2996*IFERROR(INDEX(Productos!$D$2:$D$501,MATCH(B2996,Productos!$A$2:$A$501,0)),0))</f>
        <v/>
      </c>
      <c r="G2996" s="32">
        <f>IF(C2996&lt;&gt;"Venta","",D2996*IFERROR(INDEX(Productos!$E$2:$E$501,MATCH(B2996,Productos!$A$2:$A$501,0)),0))</f>
        <v/>
      </c>
      <c r="H2996" s="33">
        <f>IF(A2996="","",MONTH(A2996))</f>
        <v/>
      </c>
      <c r="I2996" s="33">
        <f>IF(A2996="","",YEAR(A2996))</f>
        <v/>
      </c>
    </row>
    <row r="2997" ht="15" customHeight="1" s="21">
      <c r="A2997" s="34" t="n"/>
      <c r="B2997" s="30" t="n"/>
      <c r="C2997" s="30" t="n"/>
      <c r="D2997" s="30" t="n"/>
      <c r="E2997" s="33">
        <f>IF(B2997="","",IFERROR(INDEX(Productos!$B$2:$B$501,MATCH(B2997,Productos!$A$2:$A$501,0)),"¿Código?"))</f>
        <v/>
      </c>
      <c r="F2997" s="32">
        <f>IF(C2997&lt;&gt;"Venta","",D2997*IFERROR(INDEX(Productos!$D$2:$D$501,MATCH(B2997,Productos!$A$2:$A$501,0)),0))</f>
        <v/>
      </c>
      <c r="G2997" s="32">
        <f>IF(C2997&lt;&gt;"Venta","",D2997*IFERROR(INDEX(Productos!$E$2:$E$501,MATCH(B2997,Productos!$A$2:$A$501,0)),0))</f>
        <v/>
      </c>
      <c r="H2997" s="33">
        <f>IF(A2997="","",MONTH(A2997))</f>
        <v/>
      </c>
      <c r="I2997" s="33">
        <f>IF(A2997="","",YEAR(A2997))</f>
        <v/>
      </c>
    </row>
    <row r="2998" ht="15" customHeight="1" s="21">
      <c r="A2998" s="34" t="n"/>
      <c r="B2998" s="30" t="n"/>
      <c r="C2998" s="30" t="n"/>
      <c r="D2998" s="30" t="n"/>
      <c r="E2998" s="33">
        <f>IF(B2998="","",IFERROR(INDEX(Productos!$B$2:$B$501,MATCH(B2998,Productos!$A$2:$A$501,0)),"¿Código?"))</f>
        <v/>
      </c>
      <c r="F2998" s="32">
        <f>IF(C2998&lt;&gt;"Venta","",D2998*IFERROR(INDEX(Productos!$D$2:$D$501,MATCH(B2998,Productos!$A$2:$A$501,0)),0))</f>
        <v/>
      </c>
      <c r="G2998" s="32">
        <f>IF(C2998&lt;&gt;"Venta","",D2998*IFERROR(INDEX(Productos!$E$2:$E$501,MATCH(B2998,Productos!$A$2:$A$501,0)),0))</f>
        <v/>
      </c>
      <c r="H2998" s="33">
        <f>IF(A2998="","",MONTH(A2998))</f>
        <v/>
      </c>
      <c r="I2998" s="33">
        <f>IF(A2998="","",YEAR(A2998))</f>
        <v/>
      </c>
    </row>
    <row r="2999" ht="15" customHeight="1" s="21">
      <c r="A2999" s="34" t="n"/>
      <c r="B2999" s="30" t="n"/>
      <c r="C2999" s="30" t="n"/>
      <c r="D2999" s="30" t="n"/>
      <c r="E2999" s="33">
        <f>IF(B2999="","",IFERROR(INDEX(Productos!$B$2:$B$501,MATCH(B2999,Productos!$A$2:$A$501,0)),"¿Código?"))</f>
        <v/>
      </c>
      <c r="F2999" s="32">
        <f>IF(C2999&lt;&gt;"Venta","",D2999*IFERROR(INDEX(Productos!$D$2:$D$501,MATCH(B2999,Productos!$A$2:$A$501,0)),0))</f>
        <v/>
      </c>
      <c r="G2999" s="32">
        <f>IF(C2999&lt;&gt;"Venta","",D2999*IFERROR(INDEX(Productos!$E$2:$E$501,MATCH(B2999,Productos!$A$2:$A$501,0)),0))</f>
        <v/>
      </c>
      <c r="H2999" s="33">
        <f>IF(A2999="","",MONTH(A2999))</f>
        <v/>
      </c>
      <c r="I2999" s="33">
        <f>IF(A2999="","",YEAR(A2999))</f>
        <v/>
      </c>
    </row>
    <row r="3000" ht="15" customHeight="1" s="21">
      <c r="A3000" s="34" t="n"/>
      <c r="B3000" s="30" t="n"/>
      <c r="C3000" s="30" t="n"/>
      <c r="D3000" s="30" t="n"/>
      <c r="E3000" s="33">
        <f>IF(B3000="","",IFERROR(INDEX(Productos!$B$2:$B$501,MATCH(B3000,Productos!$A$2:$A$501,0)),"¿Código?"))</f>
        <v/>
      </c>
      <c r="F3000" s="32">
        <f>IF(C3000&lt;&gt;"Venta","",D3000*IFERROR(INDEX(Productos!$D$2:$D$501,MATCH(B3000,Productos!$A$2:$A$501,0)),0))</f>
        <v/>
      </c>
      <c r="G3000" s="32">
        <f>IF(C3000&lt;&gt;"Venta","",D3000*IFERROR(INDEX(Productos!$E$2:$E$501,MATCH(B3000,Productos!$A$2:$A$501,0)),0))</f>
        <v/>
      </c>
      <c r="H3000" s="33">
        <f>IF(A3000="","",MONTH(A3000))</f>
        <v/>
      </c>
      <c r="I3000" s="33">
        <f>IF(A3000="","",YEAR(A3000))</f>
        <v/>
      </c>
    </row>
    <row r="3001" ht="15" customHeight="1" s="21">
      <c r="A3001" s="34" t="n"/>
      <c r="B3001" s="30" t="n"/>
      <c r="C3001" s="30" t="n"/>
      <c r="D3001" s="30" t="n"/>
      <c r="E3001" s="33">
        <f>IF(B3001="","",IFERROR(INDEX(Productos!$B$2:$B$501,MATCH(B3001,Productos!$A$2:$A$501,0)),"¿Código?"))</f>
        <v/>
      </c>
      <c r="F3001" s="32">
        <f>IF(C3001&lt;&gt;"Venta","",D3001*IFERROR(INDEX(Productos!$D$2:$D$501,MATCH(B3001,Productos!$A$2:$A$501,0)),0))</f>
        <v/>
      </c>
      <c r="G3001" s="32">
        <f>IF(C3001&lt;&gt;"Venta","",D3001*IFERROR(INDEX(Productos!$E$2:$E$501,MATCH(B3001,Productos!$A$2:$A$501,0)),0))</f>
        <v/>
      </c>
      <c r="H3001" s="33">
        <f>IF(A3001="","",MONTH(A3001))</f>
        <v/>
      </c>
      <c r="I3001" s="33">
        <f>IF(A3001="","",YEAR(A3001))</f>
        <v/>
      </c>
    </row>
  </sheetData>
  <dataValidations count="1">
    <dataValidation sqref="C2:C3001" showDropDown="0" showInputMessage="0" showErrorMessage="0" allowBlank="1" type="list" errorStyle="stop" operator="between">
      <formula1>"Entrada,Venta"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20" min="1" max="1"/>
    <col width="18" customWidth="1" style="20" min="2" max="2"/>
  </cols>
  <sheetData>
    <row r="1" ht="19.7" customHeight="1" s="21">
      <c r="A1" s="22" t="inlineStr">
        <is>
          <t>Ventas del mes</t>
        </is>
      </c>
    </row>
    <row r="3" ht="15" customHeight="1" s="21">
      <c r="A3" s="20" t="inlineStr">
        <is>
          <t>Mes (1 a 12):</t>
        </is>
      </c>
      <c r="B3" s="35" t="n">
        <v>10</v>
      </c>
    </row>
    <row r="4" ht="15" customHeight="1" s="21">
      <c r="A4" s="20" t="inlineStr">
        <is>
          <t>Año:</t>
        </is>
      </c>
      <c r="B4" s="35" t="n">
        <v>2026</v>
      </c>
    </row>
    <row r="6" ht="16.15" customHeight="1" s="21">
      <c r="A6" s="36" t="inlineStr">
        <is>
          <t>Total vendido</t>
        </is>
      </c>
      <c r="B6" s="37">
        <f>SUMIFS(Movimientos!$F$2:$F$3001,Movimientos!$H$2:$H$3001,$B$3,Movimientos!$I$2:$I$3001,$B$4)</f>
        <v/>
      </c>
    </row>
    <row r="7" ht="16.15" customHeight="1" s="21">
      <c r="A7" s="36" t="inlineStr">
        <is>
          <t>Ganancia (precio - costo)</t>
        </is>
      </c>
      <c r="B7" s="37">
        <f>SUMIFS(Movimientos!$G$2:$G$3001,Movimientos!$H$2:$H$3001,$B$3,Movimientos!$I$2:$I$3001,$B$4)</f>
        <v/>
      </c>
    </row>
    <row r="8" ht="16.15" customHeight="1" s="21">
      <c r="A8" s="36" t="inlineStr">
        <is>
          <t>Unidades vendidas</t>
        </is>
      </c>
      <c r="B8" s="38">
        <f>SUMIFS(Movimientos!$D$2:$D$3001,Movimientos!$C$2:$C$3001,"Venta",Movimientos!$H$2:$H$3001,$B$3,Movimientos!$I$2:$I$3001,$B$4)</f>
        <v/>
      </c>
    </row>
    <row r="9" ht="16.15" customHeight="1" s="21">
      <c r="A9" s="36" t="inlineStr">
        <is>
          <t>Productos para reponer</t>
        </is>
      </c>
      <c r="B9" s="38">
        <f>COUNTIF(Productos!$K$2:$K$501,"REPONER")</f>
        <v/>
      </c>
    </row>
    <row r="12" ht="15" customHeight="1" s="21">
      <c r="A12" s="39" t="inlineStr">
        <is>
          <t>¿Te sirvió? Alias de Mercado Pago: igna.pelliza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2026-10-23T22:42:52Z</dcterms:created>
  <dcterms:modified xmlns:dcterms="http://purl.org/dc/terms/" xmlns:xsi="http://www.w3.org/2001/XMLSchema-instance" xsi:type="dcterms:W3CDTF">2026-10-24T12:37:01Z</dcterms:modified>
  <cp:revision>0</cp:revision>
</cp:coreProperties>
</file>