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Presupuesto" sheetId="2" state="visible" r:id="rId4"/>
    <sheet name="Mis datos" sheetId="3" state="visible" r:id="rId5"/>
  </sheets>
  <definedNames>
    <definedName function="false" hidden="false" localSheetId="1" name="_xlnm.Print_Area" vbProcedure="false">Presupuesto!$A$1:$E$37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<sst xmlns="http://schemas.openxmlformats.org/spreadsheetml/2006/main" count="44" uniqueCount="44">
  <si>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Presupuesto para oficios</t>
  </si>
  <si>
    <t xml:space="preserve">Para electricistas, plomeros, gasistas, albañiles, pintores, técnicos y cualquier oficio: armá un presupuesto prolijo, imprimilo o guardalo en PDF y mandalo por WhatsApp.</t>
  </si>
  <si>
    <t xml:space="preserve">Cómo se usa</t>
  </si>
  <si>
    <t xml:space="preserve">• Hoja "Mis datos": tu nombre, oficio, teléfono y condiciones. Se cargan una sola vez.</t>
  </si>
  <si>
    <t xml:space="preserve">• Hoja "Presupuesto": completá los datos del cliente y los ítems (materiales y mano de obra). Los totales se calculan solos.</t>
  </si>
  <si>
    <t xml:space="preserve">• Para mandarlo: Archivo → Guardar como PDF (o Imprimir → PDF), y lo enviás por WhatsApp o correo.</t>
  </si>
  <si>
    <t xml:space="preserve">• Para el próximo cliente: duplicá la hoja "Presupuesto" (clic derecho en la pestaña → Mover o copiar → Crear una copia).</t>
  </si>
  <si>
    <t xml:space="preserve">Celdas amarillas con texto azul = las completás vos. El resto se calcula solo: no lo borres.</t>
  </si>
  <si>
    <t xml:space="preserve">¿Te sirvió? Invitame un café 🙌  Alias de Mercado Pago: igna.pelliza</t>
  </si>
  <si>
    <t xml:space="preserve">Plantilla gratuita hecha en San Juan, Argentina. Podés usarla y compartirla. Revisá siempre tus números: es una herramienta de ayuda.</t>
  </si>
  <si>
    <t xml:space="preserve">PRESUPUESTO</t>
  </si>
  <si>
    <t xml:space="preserve">N°</t>
  </si>
  <si>
    <t xml:space="preserve">Fecha</t>
  </si>
  <si>
    <t xml:space="preserve">Cliente:</t>
  </si>
  <si>
    <t xml:space="preserve">Nombre del cliente</t>
  </si>
  <si>
    <t xml:space="preserve">Dirección:</t>
  </si>
  <si>
    <t xml:space="preserve">Dirección de la obra</t>
  </si>
  <si>
    <t xml:space="preserve">Trabajo:</t>
  </si>
  <si>
    <t xml:space="preserve">Instalación de 4 bocas y tablero (ejemplo)</t>
  </si>
  <si>
    <t xml:space="preserve">#</t>
  </si>
  <si>
    <t xml:space="preserve">Detalle</t>
  </si>
  <si>
    <t xml:space="preserve">Cantidad</t>
  </si>
  <si>
    <t xml:space="preserve">Precio unitario ($)</t>
  </si>
  <si>
    <t xml:space="preserve">Subtotal ($)</t>
  </si>
  <si>
    <t xml:space="preserve">Cable 2,5 mm (rollo 100 m)</t>
  </si>
  <si>
    <t xml:space="preserve">Mano de obra por boca</t>
  </si>
  <si>
    <t xml:space="preserve">Subtotal</t>
  </si>
  <si>
    <t xml:space="preserve">Descuento (%)</t>
  </si>
  <si>
    <t xml:space="preserve">TOTAL</t>
  </si>
  <si>
    <t xml:space="preserve">Nombre</t>
  </si>
  <si>
    <t xml:space="preserve">Juan Pérez (ejemplo)</t>
  </si>
  <si>
    <t xml:space="preserve">Oficio</t>
  </si>
  <si>
    <t xml:space="preserve">Electricista matriculado</t>
  </si>
  <si>
    <t xml:space="preserve">Teléfono / WhatsApp</t>
  </si>
  <si>
    <t xml:space="preserve">264 000-0000</t>
  </si>
  <si>
    <t xml:space="preserve">Correo</t>
  </si>
  <si>
    <t xml:space="preserve">juan@ejemplo.com</t>
  </si>
  <si>
    <t xml:space="preserve">Zona</t>
  </si>
  <si>
    <t xml:space="preserve">Gran San Juan</t>
  </si>
  <si>
    <t xml:space="preserve">Validez del presupuesto (días)</t>
  </si>
  <si>
    <t xml:space="preserve">Forma de pago</t>
  </si>
  <si>
    <t xml:space="preserve">50% al empezar, 50% al terminar. Efectivo o transferencia.</t>
  </si>
  <si>
    <t xml:space="preserve">Garantía</t>
  </si>
  <si>
    <t xml:space="preserve">3 meses sobre la mano de obra.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</si>
</sst>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;&quot;-$&quot;#,##0;\-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3D"/>
      <name val="Arial"/>
      <family val="0"/>
      <charset val="1"/>
    </font>
    <font>
      <sz val="10"/>
      <color rgb="FF5F6A68"/>
      <name val="Arial"/>
      <family val="0"/>
      <charset val="1"/>
    </font>
    <font>
      <b val="true"/>
      <sz val="12"/>
      <color rgb="FF1F3A3D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F6A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1F3A3D"/>
      <name val="Arial"/>
      <family val="0"/>
      <charset val="1"/>
    </font>
    <font>
      <b val="true"/>
      <sz val="16"/>
      <color rgb="FFC2562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color rgb="FFC2562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2562F"/>
        <bgColor rgb="FFFF6600"/>
      </patternFill>
    </fill>
    <fill>
      <patternFill patternType="solid">
        <fgColor rgb="FFFFF7D6"/>
        <bgColor rgb="FFFFFFFF"/>
      </patternFill>
    </fill>
    <fill>
      <patternFill patternType="solid">
        <fgColor rgb="FF1F3A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DCD2"/>
      </left>
      <right style="thin">
        <color rgb="FFE0DCD2"/>
      </right>
      <top style="thin">
        <color rgb="FFE0DCD2"/>
      </top>
      <bottom style="thin">
        <color rgb="FFE0DC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E0DC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A68"/>
      <rgbColor rgb="FF969696"/>
      <rgbColor rgb="FF003366"/>
      <rgbColor rgb="FF339966"/>
      <rgbColor rgb="FF003300"/>
      <rgbColor rgb="FF333300"/>
      <rgbColor rgb="FFC2562F"/>
      <rgbColor rgb="FF993366"/>
      <rgbColor rgb="FF333399"/>
      <rgbColor rgb="FF1F3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23.8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23.8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5" t="s">
        <v>7</v>
      </c>
    </row>
    <row r="13" customFormat="false" ht="30" hidden="false" customHeight="true" outlineLevel="0" collapsed="false">
      <c r="B13" s="6" t="s">
        <v>8</v>
      </c>
    </row>
    <row r="14" customFormat="false" ht="15" hidden="false" customHeight="false" outlineLevel="0" collapsed="false">
      <c r="B14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5" min="4" style="0" width="16"/>
  </cols>
  <sheetData>
    <row r="1" customFormat="false" ht="22.05" hidden="false" customHeight="false" outlineLevel="0" collapsed="false">
      <c r="A1" s="8" t="str">
        <f aca="false">'Mis datos'!B1</f>
        <v>Juan Pérez (ejemplo)</v>
      </c>
      <c r="D1" s="9" t="s">
        <v>10</v>
      </c>
    </row>
    <row r="2" customFormat="false" ht="15" hidden="false" customHeight="false" outlineLevel="0" collapsed="false">
      <c r="A2" s="7" t="str">
        <f aca="false">'Mis datos'!B2&amp;"  ·  "&amp;'Mis datos'!B3&amp;"  ·  "&amp;'Mis datos'!B5</f>
        <v>Electricista matriculado  ·  264 000-0000  ·  Gran San Juan</v>
      </c>
      <c r="D2" s="10" t="s">
        <v>11</v>
      </c>
      <c r="E2" s="11" t="n">
        <v>1</v>
      </c>
    </row>
    <row r="3" customFormat="false" ht="15" hidden="false" customHeight="false" outlineLevel="0" collapsed="false">
      <c r="D3" s="0" t="s">
        <v>12</v>
      </c>
      <c r="E3" s="12" t="n">
        <v>46318</v>
      </c>
    </row>
    <row r="5" customFormat="false" ht="15" hidden="false" customHeight="false" outlineLevel="0" collapsed="false">
      <c r="A5" s="13" t="s">
        <v>13</v>
      </c>
      <c r="B5" s="14" t="s">
        <v>14</v>
      </c>
      <c r="C5" s="14"/>
      <c r="D5" s="14"/>
      <c r="E5" s="14"/>
    </row>
    <row r="6" customFormat="false" ht="15" hidden="false" customHeight="false" outlineLevel="0" collapsed="false">
      <c r="A6" s="13" t="s">
        <v>15</v>
      </c>
      <c r="B6" s="14" t="s">
        <v>16</v>
      </c>
      <c r="C6" s="14"/>
      <c r="D6" s="14"/>
      <c r="E6" s="14"/>
    </row>
    <row r="7" customFormat="false" ht="15" hidden="false" customHeight="false" outlineLevel="0" collapsed="false">
      <c r="A7" s="13" t="s">
        <v>17</v>
      </c>
      <c r="B7" s="14" t="s">
        <v>18</v>
      </c>
      <c r="C7" s="14"/>
      <c r="D7" s="14"/>
      <c r="E7" s="14"/>
    </row>
    <row r="9" customFormat="false" ht="15" hidden="false" customHeight="false" outlineLevel="0" collapsed="false">
      <c r="A9" s="15" t="s">
        <v>19</v>
      </c>
      <c r="B9" s="15" t="s">
        <v>20</v>
      </c>
      <c r="C9" s="15" t="s">
        <v>21</v>
      </c>
      <c r="D9" s="15" t="s">
        <v>22</v>
      </c>
      <c r="E9" s="15" t="s">
        <v>23</v>
      </c>
    </row>
    <row r="10" customFormat="false" ht="15" hidden="false" customHeight="false" outlineLevel="0" collapsed="false">
      <c r="A10" s="16" t="n">
        <v>1</v>
      </c>
      <c r="B10" s="17" t="s">
        <v>24</v>
      </c>
      <c r="C10" s="17" t="n">
        <v>1</v>
      </c>
      <c r="D10" s="18" t="n">
        <v>95000</v>
      </c>
      <c r="E10" s="19" t="n">
        <f aca="false">IF(OR(C10="",D10=""),"",C10*D10)</f>
        <v>95000</v>
      </c>
    </row>
    <row r="11" customFormat="false" ht="15" hidden="false" customHeight="false" outlineLevel="0" collapsed="false">
      <c r="A11" s="16" t="n">
        <v>2</v>
      </c>
      <c r="B11" s="17" t="s">
        <v>25</v>
      </c>
      <c r="C11" s="17" t="n">
        <v>4</v>
      </c>
      <c r="D11" s="18" t="n">
        <v>30000</v>
      </c>
      <c r="E11" s="19" t="n">
        <f aca="false">IF(OR(C11="",D11=""),"",C11*D11)</f>
        <v>120000</v>
      </c>
    </row>
    <row r="12" customFormat="false" ht="15" hidden="false" customHeight="false" outlineLevel="0" collapsed="false">
      <c r="A12" s="16" t="n">
        <v>3</v>
      </c>
      <c r="B12" s="17"/>
      <c r="C12" s="17"/>
      <c r="D12" s="18"/>
      <c r="E12" s="19" t="str">
        <f aca="false">IF(OR(C12="",D12=""),"",C12*D12)</f>
        <v/>
      </c>
    </row>
    <row r="13" customFormat="false" ht="15" hidden="false" customHeight="false" outlineLevel="0" collapsed="false">
      <c r="A13" s="16" t="n">
        <v>4</v>
      </c>
      <c r="B13" s="17"/>
      <c r="C13" s="17"/>
      <c r="D13" s="18"/>
      <c r="E13" s="19" t="str">
        <f aca="false">IF(OR(C13="",D13=""),"",C13*D13)</f>
        <v/>
      </c>
    </row>
    <row r="14" customFormat="false" ht="15" hidden="false" customHeight="false" outlineLevel="0" collapsed="false">
      <c r="A14" s="16" t="n">
        <v>5</v>
      </c>
      <c r="B14" s="17"/>
      <c r="C14" s="17"/>
      <c r="D14" s="18"/>
      <c r="E14" s="19" t="str">
        <f aca="false">IF(OR(C14="",D14=""),"",C14*D14)</f>
        <v/>
      </c>
    </row>
    <row r="15" customFormat="false" ht="15" hidden="false" customHeight="false" outlineLevel="0" collapsed="false">
      <c r="A15" s="16" t="n">
        <v>6</v>
      </c>
      <c r="B15" s="17"/>
      <c r="C15" s="17"/>
      <c r="D15" s="18"/>
      <c r="E15" s="19" t="str">
        <f aca="false">IF(OR(C15="",D15=""),"",C15*D15)</f>
        <v/>
      </c>
    </row>
    <row r="16" customFormat="false" ht="15" hidden="false" customHeight="false" outlineLevel="0" collapsed="false">
      <c r="A16" s="16" t="n">
        <v>7</v>
      </c>
      <c r="B16" s="17"/>
      <c r="C16" s="17"/>
      <c r="D16" s="18"/>
      <c r="E16" s="19" t="str">
        <f aca="false">IF(OR(C16="",D16=""),"",C16*D16)</f>
        <v/>
      </c>
    </row>
    <row r="17" customFormat="false" ht="15" hidden="false" customHeight="false" outlineLevel="0" collapsed="false">
      <c r="A17" s="16" t="n">
        <v>8</v>
      </c>
      <c r="B17" s="17"/>
      <c r="C17" s="17"/>
      <c r="D17" s="18"/>
      <c r="E17" s="19" t="str">
        <f aca="false">IF(OR(C17="",D17=""),"",C17*D17)</f>
        <v/>
      </c>
    </row>
    <row r="18" customFormat="false" ht="15" hidden="false" customHeight="false" outlineLevel="0" collapsed="false">
      <c r="A18" s="16" t="n">
        <v>9</v>
      </c>
      <c r="B18" s="17"/>
      <c r="C18" s="17"/>
      <c r="D18" s="18"/>
      <c r="E18" s="19" t="str">
        <f aca="false">IF(OR(C18="",D18=""),"",C18*D18)</f>
        <v/>
      </c>
    </row>
    <row r="19" customFormat="false" ht="15" hidden="false" customHeight="false" outlineLevel="0" collapsed="false">
      <c r="A19" s="16" t="n">
        <v>10</v>
      </c>
      <c r="B19" s="17"/>
      <c r="C19" s="17"/>
      <c r="D19" s="18"/>
      <c r="E19" s="19" t="str">
        <f aca="false">IF(OR(C19="",D19=""),"",C19*D19)</f>
        <v/>
      </c>
    </row>
    <row r="20" customFormat="false" ht="15" hidden="false" customHeight="false" outlineLevel="0" collapsed="false">
      <c r="A20" s="16" t="n">
        <v>11</v>
      </c>
      <c r="B20" s="17"/>
      <c r="C20" s="17"/>
      <c r="D20" s="18"/>
      <c r="E20" s="19" t="str">
        <f aca="false">IF(OR(C20="",D20=""),"",C20*D20)</f>
        <v/>
      </c>
    </row>
    <row r="21" customFormat="false" ht="15" hidden="false" customHeight="false" outlineLevel="0" collapsed="false">
      <c r="A21" s="16" t="n">
        <v>12</v>
      </c>
      <c r="B21" s="17"/>
      <c r="C21" s="17"/>
      <c r="D21" s="18"/>
      <c r="E21" s="19" t="str">
        <f aca="false">IF(OR(C21="",D21=""),"",C21*D21)</f>
        <v/>
      </c>
    </row>
    <row r="22" customFormat="false" ht="15" hidden="false" customHeight="false" outlineLevel="0" collapsed="false">
      <c r="A22" s="16" t="n">
        <v>13</v>
      </c>
      <c r="B22" s="17"/>
      <c r="C22" s="17"/>
      <c r="D22" s="18"/>
      <c r="E22" s="19" t="str">
        <f aca="false">IF(OR(C22="",D22=""),"",C22*D22)</f>
        <v/>
      </c>
    </row>
    <row r="23" customFormat="false" ht="15" hidden="false" customHeight="false" outlineLevel="0" collapsed="false">
      <c r="A23" s="16" t="n">
        <v>14</v>
      </c>
      <c r="B23" s="17"/>
      <c r="C23" s="17"/>
      <c r="D23" s="18"/>
      <c r="E23" s="19" t="str">
        <f aca="false">IF(OR(C23="",D23=""),"",C23*D23)</f>
        <v/>
      </c>
    </row>
    <row r="24" customFormat="false" ht="15" hidden="false" customHeight="false" outlineLevel="0" collapsed="false">
      <c r="A24" s="16" t="n">
        <v>15</v>
      </c>
      <c r="B24" s="17"/>
      <c r="C24" s="17"/>
      <c r="D24" s="18"/>
      <c r="E24" s="19" t="str">
        <f aca="false">IF(OR(C24="",D24=""),"",C24*D24)</f>
        <v/>
      </c>
    </row>
    <row r="25" customFormat="false" ht="15" hidden="false" customHeight="false" outlineLevel="0" collapsed="false">
      <c r="A25" s="16" t="n">
        <v>16</v>
      </c>
      <c r="B25" s="17"/>
      <c r="C25" s="17"/>
      <c r="D25" s="18"/>
      <c r="E25" s="19" t="str">
        <f aca="false">IF(OR(C25="",D25=""),"",C25*D25)</f>
        <v/>
      </c>
    </row>
    <row r="26" customFormat="false" ht="15" hidden="false" customHeight="false" outlineLevel="0" collapsed="false">
      <c r="A26" s="16" t="n">
        <v>17</v>
      </c>
      <c r="B26" s="17"/>
      <c r="C26" s="17"/>
      <c r="D26" s="18"/>
      <c r="E26" s="19" t="str">
        <f aca="false">IF(OR(C26="",D26=""),"",C26*D26)</f>
        <v/>
      </c>
    </row>
    <row r="27" customFormat="false" ht="15" hidden="false" customHeight="false" outlineLevel="0" collapsed="false">
      <c r="A27" s="16" t="n">
        <v>18</v>
      </c>
      <c r="B27" s="17"/>
      <c r="C27" s="17"/>
      <c r="D27" s="18"/>
      <c r="E27" s="19" t="str">
        <f aca="false">IF(OR(C27="",D27=""),"",C27*D27)</f>
        <v/>
      </c>
    </row>
    <row r="28" customFormat="false" ht="15" hidden="false" customHeight="false" outlineLevel="0" collapsed="false">
      <c r="A28" s="16" t="n">
        <v>19</v>
      </c>
      <c r="B28" s="17"/>
      <c r="C28" s="17"/>
      <c r="D28" s="18"/>
      <c r="E28" s="19" t="str">
        <f aca="false">IF(OR(C28="",D28=""),"",C28*D28)</f>
        <v/>
      </c>
    </row>
    <row r="29" customFormat="false" ht="15" hidden="false" customHeight="false" outlineLevel="0" collapsed="false">
      <c r="A29" s="16" t="n">
        <v>20</v>
      </c>
      <c r="B29" s="17"/>
      <c r="C29" s="17"/>
      <c r="D29" s="18"/>
      <c r="E29" s="19" t="str">
        <f aca="false">IF(OR(C29="",D29=""),"",C29*D29)</f>
        <v/>
      </c>
    </row>
    <row r="31" customFormat="false" ht="15" hidden="false" customHeight="false" outlineLevel="0" collapsed="false">
      <c r="D31" s="0" t="s">
        <v>26</v>
      </c>
      <c r="E31" s="20" t="n">
        <f aca="false">SUM(E10:E29)</f>
        <v>215000</v>
      </c>
    </row>
    <row r="32" customFormat="false" ht="15" hidden="false" customHeight="false" outlineLevel="0" collapsed="false">
      <c r="D32" s="0" t="s">
        <v>27</v>
      </c>
      <c r="E32" s="21" t="n">
        <v>0</v>
      </c>
    </row>
    <row r="33" customFormat="false" ht="16.15" hidden="false" customHeight="false" outlineLevel="0" collapsed="false">
      <c r="D33" s="22" t="s">
        <v>28</v>
      </c>
      <c r="E33" s="23" t="n">
        <f aca="false">E31*(1-E32)</f>
        <v>215000</v>
      </c>
    </row>
    <row r="35" customFormat="false" ht="15" hidden="false" customHeight="false" outlineLevel="0" collapsed="false">
      <c r="A35" s="24" t="str">
        <f aca="false">"Forma de pago: "&amp;'Mis datos'!B7</f>
        <v>Forma de pago: 50% al empezar, 50% al terminar. Efectivo o transferencia.</v>
      </c>
    </row>
    <row r="36" customFormat="false" ht="15" hidden="false" customHeight="false" outlineLevel="0" collapsed="false">
      <c r="A36" s="24" t="str">
        <f aca="false">"Garantía: "&amp;'Mis datos'!B8</f>
        <v>Garantía: 3 meses sobre la mano de obra.</v>
      </c>
    </row>
    <row r="37" customFormat="false" ht="15" hidden="false" customHeight="false" outlineLevel="0" collapsed="false">
      <c r="A37" s="24" t="str">
        <f aca="false">"Presupuesto válido por "&amp;'Mis datos'!B6&amp;" días desde la fecha."</f>
        <v>Presupuesto válido por 15 días desde la fecha.</v>
      </c>
    </row>
  </sheetData>
  <mergeCells count="3">
    <mergeCell ref="B5:E5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3" t="s">
        <v>29</v>
      </c>
      <c r="B1" s="11" t="s">
        <v>30</v>
      </c>
    </row>
    <row r="2" customFormat="false" ht="15" hidden="false" customHeight="false" outlineLevel="0" collapsed="false">
      <c r="A2" s="13" t="s">
        <v>31</v>
      </c>
      <c r="B2" s="11" t="s">
        <v>32</v>
      </c>
    </row>
    <row r="3" customFormat="false" ht="15" hidden="false" customHeight="false" outlineLevel="0" collapsed="false">
      <c r="A3" s="13" t="s">
        <v>33</v>
      </c>
      <c r="B3" s="11" t="s">
        <v>34</v>
      </c>
    </row>
    <row r="4" customFormat="false" ht="15" hidden="false" customHeight="false" outlineLevel="0" collapsed="false">
      <c r="A4" s="13" t="s">
        <v>35</v>
      </c>
      <c r="B4" s="11" t="s">
        <v>36</v>
      </c>
    </row>
    <row r="5" customFormat="false" ht="15" hidden="false" customHeight="false" outlineLevel="0" collapsed="false">
      <c r="A5" s="13" t="s">
        <v>37</v>
      </c>
      <c r="B5" s="11" t="s">
        <v>38</v>
      </c>
    </row>
    <row r="6" customFormat="false" ht="15" hidden="false" customHeight="false" outlineLevel="0" collapsed="false">
      <c r="A6" s="13" t="s">
        <v>39</v>
      </c>
      <c r="B6" s="11" t="n">
        <v>15</v>
      </c>
    </row>
    <row r="7" customFormat="false" ht="15" hidden="false" customHeight="false" outlineLevel="0" collapsed="false">
      <c r="A7" s="13" t="s">
        <v>40</v>
      </c>
      <c r="B7" s="11" t="s">
        <v>41</v>
      </c>
    </row>
    <row r="8" customFormat="false" ht="15" hidden="false" customHeight="false" outlineLevel="0" collapsed="false">
      <c r="A8" s="13" t="s">
        <v>42</v>
      </c>
      <c r="B8" s="1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2026-10-23T22:42:53Z</dcterms:created>
  <dc:creator>openpyxl</dc:creator>
  <dc:description/>
  <dc:language>en-US</dc:language>
  <cp:lastModifiedBy/>
  <dcterms:modified xsi:type="dcterms:W3CDTF">2026-10-23T22:42:53Z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