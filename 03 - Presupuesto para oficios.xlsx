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Presupuesto" sheetId="2" state="visible" r:id="rId2"/>
    <sheet xmlns:r="http://schemas.openxmlformats.org/officeDocument/2006/relationships" name="Mis datos" sheetId="3" state="visible" r:id="rId3"/>
  </sheets>
  <definedNames>
    <definedName name="_xlnm.Print_Area" localSheetId="1">'Presupuesto'!$A$1:$E$37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\$#,##0;&quot;-$&quot;#,##0;\-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1F3A3D"/>
      <sz val="18"/>
    </font>
    <font>
      <name val="Arial"/>
      <charset val="1"/>
      <family val="0"/>
      <b val="1"/>
      <color rgb="FFC2562F"/>
      <sz val="16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C2562F"/>
      <sz val="13"/>
    </font>
  </fonts>
  <fills count="5">
    <fill>
      <patternFill/>
    </fill>
    <fill>
      <patternFill patternType="gray125"/>
    </fill>
    <fill>
      <patternFill patternType="solid">
        <fgColor rgb="FFC2562F"/>
        <bgColor rgb="FFFF6600"/>
      </patternFill>
    </fill>
    <fill>
      <patternFill patternType="solid">
        <fgColor rgb="FFFFF7D6"/>
        <bgColor rgb="FFFFFFFF"/>
      </patternFill>
    </fill>
    <fill>
      <patternFill patternType="solid">
        <fgColor rgb="FF1F3A3D"/>
        <bgColor rgb="FF003366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165" fontId="12" fillId="3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9" fontId="12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165" fontId="12" fillId="3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9" fontId="12" fillId="3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A68"/>
      <rgbColor rgb="FF969696"/>
      <rgbColor rgb="FF003366"/>
      <rgbColor rgb="FF339966"/>
      <rgbColor rgb="FF003300"/>
      <rgbColor rgb="FF333300"/>
      <rgbColor rgb="FFC2562F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5" min="1" max="1"/>
    <col width="95" customWidth="1" style="25" min="2" max="2"/>
  </cols>
  <sheetData>
    <row r="1"/>
    <row r="2" ht="19.7" customHeight="1" s="26">
      <c r="B2" s="27" t="inlineStr">
        <is>
          <t>Presupuesto para oficios</t>
        </is>
      </c>
    </row>
    <row r="3" ht="23.85" customHeight="1" s="26">
      <c r="B3" s="28" t="inlineStr">
        <is>
          <t>Para electricistas, plomeros, gasistas, albañiles, pintores, técnicos y cualquier oficio: armá un presupuesto prolijo, imprimilo o guardalo en PDF y mandalo por WhatsApp.</t>
        </is>
      </c>
    </row>
    <row r="4"/>
    <row r="5" ht="15" customHeight="1" s="26">
      <c r="B5" s="29" t="inlineStr">
        <is>
          <t>Cómo se usa</t>
        </is>
      </c>
    </row>
    <row r="6" ht="15" customHeight="1" s="26">
      <c r="B6" s="30" t="inlineStr">
        <is>
          <t>• Hoja "Mis datos": tu nombre, oficio, teléfono y condiciones. Se cargan una sola vez.</t>
        </is>
      </c>
    </row>
    <row r="7" ht="23.85" customHeight="1" s="26">
      <c r="B7" s="30" t="inlineStr">
        <is>
          <t>• Hoja "Presupuesto": completá los datos del cliente y los ítems (materiales y mano de obra). Los totales se calculan solos.</t>
        </is>
      </c>
    </row>
    <row r="8" ht="15" customHeight="1" s="26">
      <c r="B8" s="30" t="inlineStr">
        <is>
          <t>• Para mandarlo: Archivo → Guardar como PDF (o Imprimir → PDF), y lo enviás por WhatsApp o correo.</t>
        </is>
      </c>
    </row>
    <row r="9" ht="23.85" customHeight="1" s="26">
      <c r="B9" s="30" t="inlineStr">
        <is>
          <t>• Para el próximo cliente: duplicá la hoja "Presupuesto" (clic derecho en la pestaña → Mover o copiar → Crear una copia).</t>
        </is>
      </c>
    </row>
    <row r="10"/>
    <row r="11" ht="15" customHeight="1" s="26">
      <c r="B11" s="31" t="inlineStr">
        <is>
          <t>Celdas amarillas con texto azul = las completás vos. El resto se calcula solo: no lo borres.</t>
        </is>
      </c>
    </row>
    <row r="12"/>
    <row r="13" ht="30" customHeight="1" s="26">
      <c r="B13" s="32" t="inlineStr">
        <is>
          <t>¡Gracias! Si te sirvió y querés colaborar, mi alias de Mercado Pago es:  igna.pelliza</t>
        </is>
      </c>
    </row>
    <row r="14" ht="15" customHeight="1" s="26">
      <c r="B14" s="33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5" min="1" max="1"/>
    <col width="46" customWidth="1" style="25" min="2" max="2"/>
    <col width="10" customWidth="1" style="25" min="3" max="3"/>
    <col width="16" customWidth="1" style="25" min="4" max="5"/>
  </cols>
  <sheetData>
    <row r="1" ht="22.05" customHeight="1" s="26">
      <c r="A1" s="34">
        <f>'Mis datos'!B1</f>
        <v/>
      </c>
      <c r="D1" s="35" t="inlineStr">
        <is>
          <t>PRESUPUESTO</t>
        </is>
      </c>
    </row>
    <row r="2" ht="15" customHeight="1" s="26">
      <c r="A2" s="33">
        <f>'Mis datos'!B2&amp;"  ·  "&amp;'Mis datos'!B3&amp;"  ·  "&amp;'Mis datos'!B5</f>
        <v/>
      </c>
      <c r="D2" s="25" t="inlineStr">
        <is>
          <t>N°</t>
        </is>
      </c>
      <c r="E2" s="36" t="n">
        <v>1</v>
      </c>
    </row>
    <row r="3" ht="15" customHeight="1" s="26">
      <c r="D3" s="25" t="inlineStr">
        <is>
          <t>Fecha</t>
        </is>
      </c>
      <c r="E3" s="37" t="n">
        <v>46318</v>
      </c>
    </row>
    <row r="5" ht="15" customHeight="1" s="26">
      <c r="A5" s="38" t="inlineStr">
        <is>
          <t>Cliente:</t>
        </is>
      </c>
      <c r="B5" s="36" t="inlineStr">
        <is>
          <t>Nombre del cliente</t>
        </is>
      </c>
    </row>
    <row r="6" ht="15" customHeight="1" s="26">
      <c r="A6" s="38" t="inlineStr">
        <is>
          <t>Dirección:</t>
        </is>
      </c>
      <c r="B6" s="36" t="inlineStr">
        <is>
          <t>Dirección de la obra</t>
        </is>
      </c>
    </row>
    <row r="7" ht="15" customHeight="1" s="26">
      <c r="A7" s="38" t="inlineStr">
        <is>
          <t>Trabajo:</t>
        </is>
      </c>
      <c r="B7" s="36" t="inlineStr">
        <is>
          <t>Instalación de 4 bocas y tablero (ejemplo)</t>
        </is>
      </c>
    </row>
    <row r="9" ht="15" customHeight="1" s="26">
      <c r="A9" s="39" t="inlineStr">
        <is>
          <t>#</t>
        </is>
      </c>
      <c r="B9" s="39" t="inlineStr">
        <is>
          <t>Detalle</t>
        </is>
      </c>
      <c r="C9" s="39" t="inlineStr">
        <is>
          <t>Cantidad</t>
        </is>
      </c>
      <c r="D9" s="39" t="inlineStr">
        <is>
          <t>Precio unitario ($)</t>
        </is>
      </c>
      <c r="E9" s="39" t="inlineStr">
        <is>
          <t>Subtotal ($)</t>
        </is>
      </c>
    </row>
    <row r="10" ht="15" customHeight="1" s="26">
      <c r="A10" s="40" t="n">
        <v>1</v>
      </c>
      <c r="B10" s="41" t="inlineStr">
        <is>
          <t>Cable 2,5 mm (rollo 100 m)</t>
        </is>
      </c>
      <c r="C10" s="41" t="n">
        <v>1</v>
      </c>
      <c r="D10" s="42" t="n">
        <v>95000</v>
      </c>
      <c r="E10" s="43">
        <f>IF(OR(C10="",D10=""),"",C10*D10)</f>
        <v/>
      </c>
    </row>
    <row r="11" ht="15" customHeight="1" s="26">
      <c r="A11" s="40" t="n">
        <v>2</v>
      </c>
      <c r="B11" s="41" t="inlineStr">
        <is>
          <t>Mano de obra por boca</t>
        </is>
      </c>
      <c r="C11" s="41" t="n">
        <v>4</v>
      </c>
      <c r="D11" s="42" t="n">
        <v>30000</v>
      </c>
      <c r="E11" s="43">
        <f>IF(OR(C11="",D11=""),"",C11*D11)</f>
        <v/>
      </c>
    </row>
    <row r="12" ht="15" customHeight="1" s="26">
      <c r="A12" s="40" t="n">
        <v>3</v>
      </c>
      <c r="B12" s="41" t="n"/>
      <c r="C12" s="41" t="n"/>
      <c r="D12" s="42" t="n"/>
      <c r="E12" s="43">
        <f>IF(OR(C12="",D12=""),"",C12*D12)</f>
        <v/>
      </c>
    </row>
    <row r="13" ht="15" customHeight="1" s="26">
      <c r="A13" s="40" t="n">
        <v>4</v>
      </c>
      <c r="B13" s="41" t="n"/>
      <c r="C13" s="41" t="n"/>
      <c r="D13" s="42" t="n"/>
      <c r="E13" s="43">
        <f>IF(OR(C13="",D13=""),"",C13*D13)</f>
        <v/>
      </c>
    </row>
    <row r="14" ht="15" customHeight="1" s="26">
      <c r="A14" s="40" t="n">
        <v>5</v>
      </c>
      <c r="B14" s="41" t="n"/>
      <c r="C14" s="41" t="n"/>
      <c r="D14" s="42" t="n"/>
      <c r="E14" s="43">
        <f>IF(OR(C14="",D14=""),"",C14*D14)</f>
        <v/>
      </c>
    </row>
    <row r="15" ht="15" customHeight="1" s="26">
      <c r="A15" s="40" t="n">
        <v>6</v>
      </c>
      <c r="B15" s="41" t="n"/>
      <c r="C15" s="41" t="n"/>
      <c r="D15" s="42" t="n"/>
      <c r="E15" s="43">
        <f>IF(OR(C15="",D15=""),"",C15*D15)</f>
        <v/>
      </c>
    </row>
    <row r="16" ht="15" customHeight="1" s="26">
      <c r="A16" s="40" t="n">
        <v>7</v>
      </c>
      <c r="B16" s="41" t="n"/>
      <c r="C16" s="41" t="n"/>
      <c r="D16" s="42" t="n"/>
      <c r="E16" s="43">
        <f>IF(OR(C16="",D16=""),"",C16*D16)</f>
        <v/>
      </c>
    </row>
    <row r="17" ht="15" customHeight="1" s="26">
      <c r="A17" s="40" t="n">
        <v>8</v>
      </c>
      <c r="B17" s="41" t="n"/>
      <c r="C17" s="41" t="n"/>
      <c r="D17" s="42" t="n"/>
      <c r="E17" s="43">
        <f>IF(OR(C17="",D17=""),"",C17*D17)</f>
        <v/>
      </c>
    </row>
    <row r="18" ht="15" customHeight="1" s="26">
      <c r="A18" s="40" t="n">
        <v>9</v>
      </c>
      <c r="B18" s="41" t="n"/>
      <c r="C18" s="41" t="n"/>
      <c r="D18" s="42" t="n"/>
      <c r="E18" s="43">
        <f>IF(OR(C18="",D18=""),"",C18*D18)</f>
        <v/>
      </c>
    </row>
    <row r="19" ht="15" customHeight="1" s="26">
      <c r="A19" s="40" t="n">
        <v>10</v>
      </c>
      <c r="B19" s="41" t="n"/>
      <c r="C19" s="41" t="n"/>
      <c r="D19" s="42" t="n"/>
      <c r="E19" s="43">
        <f>IF(OR(C19="",D19=""),"",C19*D19)</f>
        <v/>
      </c>
    </row>
    <row r="20" ht="15" customHeight="1" s="26">
      <c r="A20" s="40" t="n">
        <v>11</v>
      </c>
      <c r="B20" s="41" t="n"/>
      <c r="C20" s="41" t="n"/>
      <c r="D20" s="42" t="n"/>
      <c r="E20" s="43">
        <f>IF(OR(C20="",D20=""),"",C20*D20)</f>
        <v/>
      </c>
    </row>
    <row r="21" ht="15" customHeight="1" s="26">
      <c r="A21" s="40" t="n">
        <v>12</v>
      </c>
      <c r="B21" s="41" t="n"/>
      <c r="C21" s="41" t="n"/>
      <c r="D21" s="42" t="n"/>
      <c r="E21" s="43">
        <f>IF(OR(C21="",D21=""),"",C21*D21)</f>
        <v/>
      </c>
    </row>
    <row r="22" ht="15" customHeight="1" s="26">
      <c r="A22" s="40" t="n">
        <v>13</v>
      </c>
      <c r="B22" s="41" t="n"/>
      <c r="C22" s="41" t="n"/>
      <c r="D22" s="42" t="n"/>
      <c r="E22" s="43">
        <f>IF(OR(C22="",D22=""),"",C22*D22)</f>
        <v/>
      </c>
    </row>
    <row r="23" ht="15" customHeight="1" s="26">
      <c r="A23" s="40" t="n">
        <v>14</v>
      </c>
      <c r="B23" s="41" t="n"/>
      <c r="C23" s="41" t="n"/>
      <c r="D23" s="42" t="n"/>
      <c r="E23" s="43">
        <f>IF(OR(C23="",D23=""),"",C23*D23)</f>
        <v/>
      </c>
    </row>
    <row r="24" ht="15" customHeight="1" s="26">
      <c r="A24" s="40" t="n">
        <v>15</v>
      </c>
      <c r="B24" s="41" t="n"/>
      <c r="C24" s="41" t="n"/>
      <c r="D24" s="42" t="n"/>
      <c r="E24" s="43">
        <f>IF(OR(C24="",D24=""),"",C24*D24)</f>
        <v/>
      </c>
    </row>
    <row r="25" ht="15" customHeight="1" s="26">
      <c r="A25" s="40" t="n">
        <v>16</v>
      </c>
      <c r="B25" s="41" t="n"/>
      <c r="C25" s="41" t="n"/>
      <c r="D25" s="42" t="n"/>
      <c r="E25" s="43">
        <f>IF(OR(C25="",D25=""),"",C25*D25)</f>
        <v/>
      </c>
    </row>
    <row r="26" ht="15" customHeight="1" s="26">
      <c r="A26" s="40" t="n">
        <v>17</v>
      </c>
      <c r="B26" s="41" t="n"/>
      <c r="C26" s="41" t="n"/>
      <c r="D26" s="42" t="n"/>
      <c r="E26" s="43">
        <f>IF(OR(C26="",D26=""),"",C26*D26)</f>
        <v/>
      </c>
    </row>
    <row r="27" ht="15" customHeight="1" s="26">
      <c r="A27" s="40" t="n">
        <v>18</v>
      </c>
      <c r="B27" s="41" t="n"/>
      <c r="C27" s="41" t="n"/>
      <c r="D27" s="42" t="n"/>
      <c r="E27" s="43">
        <f>IF(OR(C27="",D27=""),"",C27*D27)</f>
        <v/>
      </c>
    </row>
    <row r="28" ht="15" customHeight="1" s="26">
      <c r="A28" s="40" t="n">
        <v>19</v>
      </c>
      <c r="B28" s="41" t="n"/>
      <c r="C28" s="41" t="n"/>
      <c r="D28" s="42" t="n"/>
      <c r="E28" s="43">
        <f>IF(OR(C28="",D28=""),"",C28*D28)</f>
        <v/>
      </c>
    </row>
    <row r="29" ht="15" customHeight="1" s="26">
      <c r="A29" s="40" t="n">
        <v>20</v>
      </c>
      <c r="B29" s="41" t="n"/>
      <c r="C29" s="41" t="n"/>
      <c r="D29" s="42" t="n"/>
      <c r="E29" s="43">
        <f>IF(OR(C29="",D29=""),"",C29*D29)</f>
        <v/>
      </c>
    </row>
    <row r="31" ht="15" customHeight="1" s="26">
      <c r="D31" s="25" t="inlineStr">
        <is>
          <t>Subtotal</t>
        </is>
      </c>
      <c r="E31" s="44">
        <f>SUM(E10:E29)</f>
        <v/>
      </c>
    </row>
    <row r="32" ht="15" customHeight="1" s="26">
      <c r="D32" s="25" t="inlineStr">
        <is>
          <t>Descuento (%)</t>
        </is>
      </c>
      <c r="E32" s="45" t="n">
        <v>0</v>
      </c>
    </row>
    <row r="33" ht="16.15" customHeight="1" s="26">
      <c r="D33" s="46" t="inlineStr">
        <is>
          <t>TOTAL</t>
        </is>
      </c>
      <c r="E33" s="47">
        <f>E31*(1-E32)</f>
        <v/>
      </c>
    </row>
    <row r="35" ht="15" customHeight="1" s="26">
      <c r="A35" s="48">
        <f>"Forma de pago: "&amp;'Mis datos'!B7</f>
        <v/>
      </c>
    </row>
    <row r="36" ht="15" customHeight="1" s="26">
      <c r="A36" s="48">
        <f>"Garantía: "&amp;'Mis datos'!B8</f>
        <v/>
      </c>
    </row>
    <row r="37" ht="15" customHeight="1" s="26">
      <c r="A37" s="48">
        <f>"Presupuesto válido por "&amp;'Mis datos'!B6&amp;" días desde la fecha."</f>
        <v/>
      </c>
    </row>
  </sheetData>
  <mergeCells count="3">
    <mergeCell ref="B7:E7"/>
    <mergeCell ref="B6:E6"/>
    <mergeCell ref="B5:E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5" min="1" max="1"/>
    <col width="50" customWidth="1" style="25" min="2" max="2"/>
  </cols>
  <sheetData>
    <row r="1" ht="15" customHeight="1" s="26">
      <c r="A1" s="38" t="inlineStr">
        <is>
          <t>Nombre</t>
        </is>
      </c>
      <c r="B1" s="36" t="inlineStr">
        <is>
          <t>Juan Pérez (ejemplo)</t>
        </is>
      </c>
    </row>
    <row r="2" ht="15" customHeight="1" s="26">
      <c r="A2" s="38" t="inlineStr">
        <is>
          <t>Oficio</t>
        </is>
      </c>
      <c r="B2" s="36" t="inlineStr">
        <is>
          <t>Electricista matriculado</t>
        </is>
      </c>
    </row>
    <row r="3" ht="15" customHeight="1" s="26">
      <c r="A3" s="38" t="inlineStr">
        <is>
          <t>Teléfono / WhatsApp</t>
        </is>
      </c>
      <c r="B3" s="36" t="inlineStr">
        <is>
          <t>264 000-0000</t>
        </is>
      </c>
    </row>
    <row r="4" ht="15" customHeight="1" s="26">
      <c r="A4" s="38" t="inlineStr">
        <is>
          <t>Correo</t>
        </is>
      </c>
      <c r="B4" s="36" t="inlineStr">
        <is>
          <t>juan@ejemplo.com</t>
        </is>
      </c>
    </row>
    <row r="5" ht="15" customHeight="1" s="26">
      <c r="A5" s="38" t="inlineStr">
        <is>
          <t>Zona</t>
        </is>
      </c>
      <c r="B5" s="36" t="inlineStr">
        <is>
          <t>Gran San Juan</t>
        </is>
      </c>
    </row>
    <row r="6" ht="15" customHeight="1" s="26">
      <c r="A6" s="38" t="inlineStr">
        <is>
          <t>Validez del presupuesto (días)</t>
        </is>
      </c>
      <c r="B6" s="36" t="n">
        <v>15</v>
      </c>
    </row>
    <row r="7" ht="15" customHeight="1" s="26">
      <c r="A7" s="38" t="inlineStr">
        <is>
          <t>Forma de pago</t>
        </is>
      </c>
      <c r="B7" s="36" t="inlineStr">
        <is>
          <t>50% al empezar, 50% al terminar. Efectivo o transferencia.</t>
        </is>
      </c>
    </row>
    <row r="8" ht="15" customHeight="1" s="26">
      <c r="A8" s="38" t="inlineStr">
        <is>
          <t>Garantía</t>
        </is>
      </c>
      <c r="B8" s="36" t="inlineStr">
        <is>
          <t>3 meses sobre la mano de obra.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2026-10-23T22:42:53Z</dcterms:created>
  <dcterms:modified xmlns:dcterms="http://purl.org/dc/terms/" xmlns:xsi="http://www.w3.org/2001/XMLSchema-instance" xsi:type="dcterms:W3CDTF">2026-10-24T12:41:22Z</dcterms:modified>
  <cp:revision>0</cp:revision>
</cp:coreProperties>
</file>