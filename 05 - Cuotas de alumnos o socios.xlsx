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icio" sheetId="1" state="visible" r:id="rId3"/>
    <sheet name="Alumnos" sheetId="2" state="visible" r:id="rId4"/>
    <sheet name="Pagos" sheetId="3" state="visible" r:id="rId5"/>
    <sheet name="Estado del m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<sst xmlns="http://schemas.openxmlformats.org/spreadsheetml/2006/main" count="38" uniqueCount="36">
  <si>
    <t xml:space="preserve">Cuotas de alumnos o socios</t>
  </si>
  <si>
    <t xml:space="preserve">Para gimnasios, academias, escuelitas de fútbol, clases particulares y clubes: quién pagó cada mes, quién debe y cuánto entró.</t>
  </si>
  <si>
    <t xml:space="preserve">Cómo se usa</t>
  </si>
  <si>
    <t xml:space="preserve">• Hoja "Alumnos": nombre, teléfono, actividad y cuota mensual.</t>
  </si>
  <si>
    <t xml:space="preserve">• Hoja "Pagos": cada pago es una fila con la fecha, el alumno (se elige de la lista), el mes que paga y el monto.</t>
  </si>
  <si>
    <t xml:space="preserve">• Hoja "Estado del mes": elegí mes y año, y ves quién pagó (verde) y quién debe (rojo), y el total cobrado.</t>
  </si>
  <si>
    <t xml:space="preserve">Celdas amarillas con texto azul = las completás vos. El resto se calcula solo: no lo borres.</t>
  </si>
  <si>
    <t xml:space="preserve">¿Te sirvió? Invitame un café 🙌  Alias de Mercado Pago: igna.pelliza</t>
  </si>
  <si>
    <t xml:space="preserve">Plantilla gratuita hecha en San Juan, Argentina. Podés usarla y compartirla. Revisá siempre tus números: es una herramienta de ayuda.</t>
  </si>
  <si>
    <t xml:space="preserve">Nombre</t>
  </si>
  <si>
    <t xml:space="preserve">Teléfono</t>
  </si>
  <si>
    <t xml:space="preserve">Actividad</t>
  </si>
  <si>
    <t xml:space="preserve">Cuota mensual ($)</t>
  </si>
  <si>
    <t xml:space="preserve">Activo</t>
  </si>
  <si>
    <t xml:space="preserve">Martínez, Sofía (ejemplo)</t>
  </si>
  <si>
    <t xml:space="preserve">264 000-0000</t>
  </si>
  <si>
    <t xml:space="preserve">Funcional</t>
  </si>
  <si>
    <t xml:space="preserve">Sí</t>
  </si>
  <si>
    <t xml:space="preserve">Fecha de pago</t>
  </si>
  <si>
    <t xml:space="preserve">Alumno</t>
  </si>
  <si>
    <t xml:space="preserve">Mes que paga (1 a 12)</t>
  </si>
  <si>
    <t xml:space="preserve">Año</t>
  </si>
  <si>
    <t xml:space="preserve">Monto ($)</t>
  </si>
  <si>
    <t xml:space="preserve">Medio</t>
  </si>
  <si>
    <t xml:space="preserve">Transferencia</t>
  </si>
  <si>
    <t xml:space="preserve">Estado del mes</t>
  </si>
  <si>
    <t xml:space="preserve">Mes (1 a 12):</t>
  </si>
  <si>
    <t xml:space="preserve">Año:</t>
  </si>
  <si>
    <t xml:space="preserve">Cuota ($)</t>
  </si>
  <si>
    <t xml:space="preserve">Pagó ($)</t>
  </si>
  <si>
    <t xml:space="preserve">Debe ($)</t>
  </si>
  <si>
    <t xml:space="preserve">Estado</t>
  </si>
  <si>
    <t xml:space="preserve">Cobrado en el mes:</t>
  </si>
  <si>
    <t xml:space="preserve">Falta cobrar:</t>
  </si>
  <si>
    <t xml:space="preserve">Deben:</t>
  </si>
  <si>
    <t xml:space="preserve">¿Te sirvió? Alias de Mercado Pago: igna.pelliza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</si>
</sst>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-$&quot;#,##0;\-"/>
    <numFmt numFmtId="166" formatCode="dd/mm/yyyy"/>
    <numFmt numFmtId="167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3D"/>
      <name val="Arial"/>
      <family val="0"/>
      <charset val="1"/>
    </font>
    <font>
      <sz val="10"/>
      <color rgb="FF5F6A68"/>
      <name val="Arial"/>
      <family val="0"/>
      <charset val="1"/>
    </font>
    <font>
      <b val="true"/>
      <sz val="12"/>
      <color rgb="FF1F3A3D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F6A6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A3D"/>
      <name val="Arial"/>
      <family val="0"/>
      <charset val="1"/>
    </font>
    <font>
      <b val="true"/>
      <sz val="14"/>
      <color rgb="FFC2562F"/>
      <name val="Arial"/>
      <family val="0"/>
      <charset val="1"/>
    </font>
    <font>
      <b val="true"/>
      <sz val="14"/>
      <color rgb="FFB42318"/>
      <name val="Arial"/>
      <family val="0"/>
      <charset val="1"/>
    </font>
    <font>
      <b val="true"/>
      <sz val="10"/>
      <color rgb="FFC2562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2562F"/>
        <bgColor rgb="FF993366"/>
      </patternFill>
    </fill>
    <fill>
      <patternFill patternType="solid">
        <fgColor rgb="FF1F3A3D"/>
        <bgColor rgb="FF003366"/>
      </patternFill>
    </fill>
    <fill>
      <patternFill patternType="solid">
        <fgColor rgb="FFFFF7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DCD2"/>
      </left>
      <right style="thin">
        <color rgb="FFE0DCD2"/>
      </right>
      <top style="thin">
        <color rgb="FFE0DCD2"/>
      </top>
      <bottom style="thin">
        <color rgb="FFE0DC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FFFFFF"/>
      </font>
      <fill>
        <patternFill>
          <bgColor rgb="FFB42318"/>
        </patternFill>
      </fill>
    </dxf>
    <dxf>
      <font>
        <name val="Arial"/>
        <charset val="1"/>
        <family val="0"/>
        <b val="1"/>
        <color rgb="FF1F7A4D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D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E0DC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2562F"/>
      <rgbColor rgb="FF5F6A68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1F3A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1" t="s">
        <v>0</v>
      </c>
    </row>
    <row r="3" customFormat="false" ht="23.8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10" customFormat="false" ht="15" hidden="false" customHeight="false" outlineLevel="0" collapsed="false">
      <c r="B10" s="5" t="s">
        <v>6</v>
      </c>
    </row>
    <row r="12" customFormat="false" ht="30" hidden="false" customHeight="true" outlineLevel="0" collapsed="false">
      <c r="B12" s="6" t="s">
        <v>7</v>
      </c>
    </row>
    <row r="13" customFormat="false" ht="15" hidden="false" customHeight="false" outlineLevel="0" collapsed="false">
      <c r="B13" s="7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9"/>
  </cols>
  <sheetData>
    <row r="1" customFormat="false" ht="30" hidden="false" customHeight="true" outlineLevel="0" collapsed="false">
      <c r="A1" s="8" t="s">
        <v>9</v>
      </c>
      <c r="B1" s="8" t="s">
        <v>10</v>
      </c>
      <c r="C1" s="8" t="s">
        <v>11</v>
      </c>
      <c r="D1" s="8" t="s">
        <v>12</v>
      </c>
      <c r="E1" s="8" t="s">
        <v>13</v>
      </c>
    </row>
    <row r="2" customFormat="false" ht="15" hidden="false" customHeight="false" outlineLevel="0" collapsed="false">
      <c r="A2" s="9" t="s">
        <v>14</v>
      </c>
      <c r="B2" s="9" t="s">
        <v>15</v>
      </c>
      <c r="C2" s="9" t="s">
        <v>16</v>
      </c>
      <c r="D2" s="10" t="n">
        <v>20000</v>
      </c>
      <c r="E2" s="9" t="s">
        <v>17</v>
      </c>
    </row>
    <row r="3" customFormat="false" ht="15" hidden="false" customHeight="false" outlineLevel="0" collapsed="false">
      <c r="A3" s="9"/>
      <c r="B3" s="9"/>
      <c r="C3" s="9"/>
      <c r="D3" s="10"/>
      <c r="E3" s="9"/>
    </row>
    <row r="4" customFormat="false" ht="15" hidden="false" customHeight="false" outlineLevel="0" collapsed="false">
      <c r="A4" s="9"/>
      <c r="B4" s="9"/>
      <c r="C4" s="9"/>
      <c r="D4" s="10"/>
      <c r="E4" s="9"/>
    </row>
    <row r="5" customFormat="false" ht="15" hidden="false" customHeight="false" outlineLevel="0" collapsed="false">
      <c r="A5" s="9"/>
      <c r="B5" s="9"/>
      <c r="C5" s="9"/>
      <c r="D5" s="10"/>
      <c r="E5" s="9"/>
    </row>
    <row r="6" customFormat="false" ht="15" hidden="false" customHeight="false" outlineLevel="0" collapsed="false">
      <c r="A6" s="9"/>
      <c r="B6" s="9"/>
      <c r="C6" s="9"/>
      <c r="D6" s="10"/>
      <c r="E6" s="9"/>
    </row>
    <row r="7" customFormat="false" ht="15" hidden="false" customHeight="false" outlineLevel="0" collapsed="false">
      <c r="A7" s="9"/>
      <c r="B7" s="9"/>
      <c r="C7" s="9"/>
      <c r="D7" s="10"/>
      <c r="E7" s="9"/>
    </row>
    <row r="8" customFormat="false" ht="15" hidden="false" customHeight="false" outlineLevel="0" collapsed="false">
      <c r="A8" s="9"/>
      <c r="B8" s="9"/>
      <c r="C8" s="9"/>
      <c r="D8" s="10"/>
      <c r="E8" s="9"/>
    </row>
    <row r="9" customFormat="false" ht="15" hidden="false" customHeight="false" outlineLevel="0" collapsed="false">
      <c r="A9" s="9"/>
      <c r="B9" s="9"/>
      <c r="C9" s="9"/>
      <c r="D9" s="10"/>
      <c r="E9" s="9"/>
    </row>
    <row r="10" customFormat="false" ht="15" hidden="false" customHeight="false" outlineLevel="0" collapsed="false">
      <c r="A10" s="9"/>
      <c r="B10" s="9"/>
      <c r="C10" s="9"/>
      <c r="D10" s="10"/>
      <c r="E10" s="9"/>
    </row>
    <row r="11" customFormat="false" ht="15" hidden="false" customHeight="false" outlineLevel="0" collapsed="false">
      <c r="A11" s="9"/>
      <c r="B11" s="9"/>
      <c r="C11" s="9"/>
      <c r="D11" s="10"/>
      <c r="E11" s="9"/>
    </row>
    <row r="12" customFormat="false" ht="15" hidden="false" customHeight="false" outlineLevel="0" collapsed="false">
      <c r="A12" s="9"/>
      <c r="B12" s="9"/>
      <c r="C12" s="9"/>
      <c r="D12" s="10"/>
      <c r="E12" s="9"/>
    </row>
    <row r="13" customFormat="false" ht="15" hidden="false" customHeight="false" outlineLevel="0" collapsed="false">
      <c r="A13" s="9"/>
      <c r="B13" s="9"/>
      <c r="C13" s="9"/>
      <c r="D13" s="10"/>
      <c r="E13" s="9"/>
    </row>
    <row r="14" customFormat="false" ht="15" hidden="false" customHeight="false" outlineLevel="0" collapsed="false">
      <c r="A14" s="9"/>
      <c r="B14" s="9"/>
      <c r="C14" s="9"/>
      <c r="D14" s="10"/>
      <c r="E14" s="9"/>
    </row>
    <row r="15" customFormat="false" ht="15" hidden="false" customHeight="false" outlineLevel="0" collapsed="false">
      <c r="A15" s="9"/>
      <c r="B15" s="9"/>
      <c r="C15" s="9"/>
      <c r="D15" s="10"/>
      <c r="E15" s="9"/>
    </row>
    <row r="16" customFormat="false" ht="15" hidden="false" customHeight="false" outlineLevel="0" collapsed="false">
      <c r="A16" s="9"/>
      <c r="B16" s="9"/>
      <c r="C16" s="9"/>
      <c r="D16" s="10"/>
      <c r="E16" s="9"/>
    </row>
    <row r="17" customFormat="false" ht="15" hidden="false" customHeight="false" outlineLevel="0" collapsed="false">
      <c r="A17" s="9"/>
      <c r="B17" s="9"/>
      <c r="C17" s="9"/>
      <c r="D17" s="10"/>
      <c r="E17" s="9"/>
    </row>
    <row r="18" customFormat="false" ht="15" hidden="false" customHeight="false" outlineLevel="0" collapsed="false">
      <c r="A18" s="9"/>
      <c r="B18" s="9"/>
      <c r="C18" s="9"/>
      <c r="D18" s="10"/>
      <c r="E18" s="9"/>
    </row>
    <row r="19" customFormat="false" ht="15" hidden="false" customHeight="false" outlineLevel="0" collapsed="false">
      <c r="A19" s="9"/>
      <c r="B19" s="9"/>
      <c r="C19" s="9"/>
      <c r="D19" s="10"/>
      <c r="E19" s="9"/>
    </row>
    <row r="20" customFormat="false" ht="15" hidden="false" customHeight="false" outlineLevel="0" collapsed="false">
      <c r="A20" s="9"/>
      <c r="B20" s="9"/>
      <c r="C20" s="9"/>
      <c r="D20" s="10"/>
      <c r="E20" s="9"/>
    </row>
    <row r="21" customFormat="false" ht="15" hidden="false" customHeight="false" outlineLevel="0" collapsed="false">
      <c r="A21" s="9"/>
      <c r="B21" s="9"/>
      <c r="C21" s="9"/>
      <c r="D21" s="10"/>
      <c r="E21" s="9"/>
    </row>
    <row r="22" customFormat="false" ht="15" hidden="false" customHeight="false" outlineLevel="0" collapsed="false">
      <c r="A22" s="9"/>
      <c r="B22" s="9"/>
      <c r="C22" s="9"/>
      <c r="D22" s="10"/>
      <c r="E22" s="9"/>
    </row>
    <row r="23" customFormat="false" ht="15" hidden="false" customHeight="false" outlineLevel="0" collapsed="false">
      <c r="A23" s="9"/>
      <c r="B23" s="9"/>
      <c r="C23" s="9"/>
      <c r="D23" s="10"/>
      <c r="E23" s="9"/>
    </row>
    <row r="24" customFormat="false" ht="15" hidden="false" customHeight="false" outlineLevel="0" collapsed="false">
      <c r="A24" s="9"/>
      <c r="B24" s="9"/>
      <c r="C24" s="9"/>
      <c r="D24" s="10"/>
      <c r="E24" s="9"/>
    </row>
    <row r="25" customFormat="false" ht="15" hidden="false" customHeight="false" outlineLevel="0" collapsed="false">
      <c r="A25" s="9"/>
      <c r="B25" s="9"/>
      <c r="C25" s="9"/>
      <c r="D25" s="10"/>
      <c r="E25" s="9"/>
    </row>
    <row r="26" customFormat="false" ht="15" hidden="false" customHeight="false" outlineLevel="0" collapsed="false">
      <c r="A26" s="9"/>
      <c r="B26" s="9"/>
      <c r="C26" s="9"/>
      <c r="D26" s="10"/>
      <c r="E26" s="9"/>
    </row>
    <row r="27" customFormat="false" ht="15" hidden="false" customHeight="false" outlineLevel="0" collapsed="false">
      <c r="A27" s="9"/>
      <c r="B27" s="9"/>
      <c r="C27" s="9"/>
      <c r="D27" s="10"/>
      <c r="E27" s="9"/>
    </row>
    <row r="28" customFormat="false" ht="15" hidden="false" customHeight="false" outlineLevel="0" collapsed="false">
      <c r="A28" s="9"/>
      <c r="B28" s="9"/>
      <c r="C28" s="9"/>
      <c r="D28" s="10"/>
      <c r="E28" s="9"/>
    </row>
    <row r="29" customFormat="false" ht="15" hidden="false" customHeight="false" outlineLevel="0" collapsed="false">
      <c r="A29" s="9"/>
      <c r="B29" s="9"/>
      <c r="C29" s="9"/>
      <c r="D29" s="10"/>
      <c r="E29" s="9"/>
    </row>
    <row r="30" customFormat="false" ht="15" hidden="false" customHeight="false" outlineLevel="0" collapsed="false">
      <c r="A30" s="9"/>
      <c r="B30" s="9"/>
      <c r="C30" s="9"/>
      <c r="D30" s="10"/>
      <c r="E30" s="9"/>
    </row>
    <row r="31" customFormat="false" ht="15" hidden="false" customHeight="false" outlineLevel="0" collapsed="false">
      <c r="A31" s="9"/>
      <c r="B31" s="9"/>
      <c r="C31" s="9"/>
      <c r="D31" s="10"/>
      <c r="E31" s="9"/>
    </row>
    <row r="32" customFormat="false" ht="15" hidden="false" customHeight="false" outlineLevel="0" collapsed="false">
      <c r="A32" s="9"/>
      <c r="B32" s="9"/>
      <c r="C32" s="9"/>
      <c r="D32" s="10"/>
      <c r="E32" s="9"/>
    </row>
    <row r="33" customFormat="false" ht="15" hidden="false" customHeight="false" outlineLevel="0" collapsed="false">
      <c r="A33" s="9"/>
      <c r="B33" s="9"/>
      <c r="C33" s="9"/>
      <c r="D33" s="10"/>
      <c r="E33" s="9"/>
    </row>
    <row r="34" customFormat="false" ht="15" hidden="false" customHeight="false" outlineLevel="0" collapsed="false">
      <c r="A34" s="9"/>
      <c r="B34" s="9"/>
      <c r="C34" s="9"/>
      <c r="D34" s="10"/>
      <c r="E34" s="9"/>
    </row>
    <row r="35" customFormat="false" ht="15" hidden="false" customHeight="false" outlineLevel="0" collapsed="false">
      <c r="A35" s="9"/>
      <c r="B35" s="9"/>
      <c r="C35" s="9"/>
      <c r="D35" s="10"/>
      <c r="E35" s="9"/>
    </row>
    <row r="36" customFormat="false" ht="15" hidden="false" customHeight="false" outlineLevel="0" collapsed="false">
      <c r="A36" s="9"/>
      <c r="B36" s="9"/>
      <c r="C36" s="9"/>
      <c r="D36" s="10"/>
      <c r="E36" s="9"/>
    </row>
    <row r="37" customFormat="false" ht="15" hidden="false" customHeight="false" outlineLevel="0" collapsed="false">
      <c r="A37" s="9"/>
      <c r="B37" s="9"/>
      <c r="C37" s="9"/>
      <c r="D37" s="10"/>
      <c r="E37" s="9"/>
    </row>
    <row r="38" customFormat="false" ht="15" hidden="false" customHeight="false" outlineLevel="0" collapsed="false">
      <c r="A38" s="9"/>
      <c r="B38" s="9"/>
      <c r="C38" s="9"/>
      <c r="D38" s="10"/>
      <c r="E38" s="9"/>
    </row>
    <row r="39" customFormat="false" ht="15" hidden="false" customHeight="false" outlineLevel="0" collapsed="false">
      <c r="A39" s="9"/>
      <c r="B39" s="9"/>
      <c r="C39" s="9"/>
      <c r="D39" s="10"/>
      <c r="E39" s="9"/>
    </row>
    <row r="40" customFormat="false" ht="15" hidden="false" customHeight="false" outlineLevel="0" collapsed="false">
      <c r="A40" s="9"/>
      <c r="B40" s="9"/>
      <c r="C40" s="9"/>
      <c r="D40" s="10"/>
      <c r="E40" s="9"/>
    </row>
    <row r="41" customFormat="false" ht="15" hidden="false" customHeight="false" outlineLevel="0" collapsed="false">
      <c r="A41" s="9"/>
      <c r="B41" s="9"/>
      <c r="C41" s="9"/>
      <c r="D41" s="10"/>
      <c r="E41" s="9"/>
    </row>
    <row r="42" customFormat="false" ht="15" hidden="false" customHeight="false" outlineLevel="0" collapsed="false">
      <c r="A42" s="9"/>
      <c r="B42" s="9"/>
      <c r="C42" s="9"/>
      <c r="D42" s="10"/>
      <c r="E42" s="9"/>
    </row>
    <row r="43" customFormat="false" ht="15" hidden="false" customHeight="false" outlineLevel="0" collapsed="false">
      <c r="A43" s="9"/>
      <c r="B43" s="9"/>
      <c r="C43" s="9"/>
      <c r="D43" s="10"/>
      <c r="E43" s="9"/>
    </row>
    <row r="44" customFormat="false" ht="15" hidden="false" customHeight="false" outlineLevel="0" collapsed="false">
      <c r="A44" s="9"/>
      <c r="B44" s="9"/>
      <c r="C44" s="9"/>
      <c r="D44" s="10"/>
      <c r="E44" s="9"/>
    </row>
    <row r="45" customFormat="false" ht="15" hidden="false" customHeight="false" outlineLevel="0" collapsed="false">
      <c r="A45" s="9"/>
      <c r="B45" s="9"/>
      <c r="C45" s="9"/>
      <c r="D45" s="10"/>
      <c r="E45" s="9"/>
    </row>
    <row r="46" customFormat="false" ht="15" hidden="false" customHeight="false" outlineLevel="0" collapsed="false">
      <c r="A46" s="9"/>
      <c r="B46" s="9"/>
      <c r="C46" s="9"/>
      <c r="D46" s="10"/>
      <c r="E46" s="9"/>
    </row>
    <row r="47" customFormat="false" ht="15" hidden="false" customHeight="false" outlineLevel="0" collapsed="false">
      <c r="A47" s="9"/>
      <c r="B47" s="9"/>
      <c r="C47" s="9"/>
      <c r="D47" s="10"/>
      <c r="E47" s="9"/>
    </row>
    <row r="48" customFormat="false" ht="15" hidden="false" customHeight="false" outlineLevel="0" collapsed="false">
      <c r="A48" s="9"/>
      <c r="B48" s="9"/>
      <c r="C48" s="9"/>
      <c r="D48" s="10"/>
      <c r="E48" s="9"/>
    </row>
    <row r="49" customFormat="false" ht="15" hidden="false" customHeight="false" outlineLevel="0" collapsed="false">
      <c r="A49" s="9"/>
      <c r="B49" s="9"/>
      <c r="C49" s="9"/>
      <c r="D49" s="10"/>
      <c r="E49" s="9"/>
    </row>
    <row r="50" customFormat="false" ht="15" hidden="false" customHeight="false" outlineLevel="0" collapsed="false">
      <c r="A50" s="9"/>
      <c r="B50" s="9"/>
      <c r="C50" s="9"/>
      <c r="D50" s="10"/>
      <c r="E50" s="9"/>
    </row>
    <row r="51" customFormat="false" ht="15" hidden="false" customHeight="false" outlineLevel="0" collapsed="false">
      <c r="A51" s="9"/>
      <c r="B51" s="9"/>
      <c r="C51" s="9"/>
      <c r="D51" s="10"/>
      <c r="E51" s="9"/>
    </row>
    <row r="52" customFormat="false" ht="15" hidden="false" customHeight="false" outlineLevel="0" collapsed="false">
      <c r="A52" s="9"/>
      <c r="B52" s="9"/>
      <c r="C52" s="9"/>
      <c r="D52" s="10"/>
      <c r="E52" s="9"/>
    </row>
    <row r="53" customFormat="false" ht="15" hidden="false" customHeight="false" outlineLevel="0" collapsed="false">
      <c r="A53" s="9"/>
      <c r="B53" s="9"/>
      <c r="C53" s="9"/>
      <c r="D53" s="10"/>
      <c r="E53" s="9"/>
    </row>
    <row r="54" customFormat="false" ht="15" hidden="false" customHeight="false" outlineLevel="0" collapsed="false">
      <c r="A54" s="9"/>
      <c r="B54" s="9"/>
      <c r="C54" s="9"/>
      <c r="D54" s="10"/>
      <c r="E54" s="9"/>
    </row>
    <row r="55" customFormat="false" ht="15" hidden="false" customHeight="false" outlineLevel="0" collapsed="false">
      <c r="A55" s="9"/>
      <c r="B55" s="9"/>
      <c r="C55" s="9"/>
      <c r="D55" s="10"/>
      <c r="E55" s="9"/>
    </row>
    <row r="56" customFormat="false" ht="15" hidden="false" customHeight="false" outlineLevel="0" collapsed="false">
      <c r="A56" s="9"/>
      <c r="B56" s="9"/>
      <c r="C56" s="9"/>
      <c r="D56" s="10"/>
      <c r="E56" s="9"/>
    </row>
    <row r="57" customFormat="false" ht="15" hidden="false" customHeight="false" outlineLevel="0" collapsed="false">
      <c r="A57" s="9"/>
      <c r="B57" s="9"/>
      <c r="C57" s="9"/>
      <c r="D57" s="10"/>
      <c r="E57" s="9"/>
    </row>
    <row r="58" customFormat="false" ht="15" hidden="false" customHeight="false" outlineLevel="0" collapsed="false">
      <c r="A58" s="9"/>
      <c r="B58" s="9"/>
      <c r="C58" s="9"/>
      <c r="D58" s="10"/>
      <c r="E58" s="9"/>
    </row>
    <row r="59" customFormat="false" ht="15" hidden="false" customHeight="false" outlineLevel="0" collapsed="false">
      <c r="A59" s="9"/>
      <c r="B59" s="9"/>
      <c r="C59" s="9"/>
      <c r="D59" s="10"/>
      <c r="E59" s="9"/>
    </row>
    <row r="60" customFormat="false" ht="15" hidden="false" customHeight="false" outlineLevel="0" collapsed="false">
      <c r="A60" s="9"/>
      <c r="B60" s="9"/>
      <c r="C60" s="9"/>
      <c r="D60" s="10"/>
      <c r="E60" s="9"/>
    </row>
    <row r="61" customFormat="false" ht="15" hidden="false" customHeight="false" outlineLevel="0" collapsed="false">
      <c r="A61" s="9"/>
      <c r="B61" s="9"/>
      <c r="C61" s="9"/>
      <c r="D61" s="10"/>
      <c r="E61" s="9"/>
    </row>
    <row r="62" customFormat="false" ht="15" hidden="false" customHeight="false" outlineLevel="0" collapsed="false">
      <c r="A62" s="9"/>
      <c r="B62" s="9"/>
      <c r="C62" s="9"/>
      <c r="D62" s="10"/>
      <c r="E62" s="9"/>
    </row>
    <row r="63" customFormat="false" ht="15" hidden="false" customHeight="false" outlineLevel="0" collapsed="false">
      <c r="A63" s="9"/>
      <c r="B63" s="9"/>
      <c r="C63" s="9"/>
      <c r="D63" s="10"/>
      <c r="E63" s="9"/>
    </row>
    <row r="64" customFormat="false" ht="15" hidden="false" customHeight="false" outlineLevel="0" collapsed="false">
      <c r="A64" s="9"/>
      <c r="B64" s="9"/>
      <c r="C64" s="9"/>
      <c r="D64" s="10"/>
      <c r="E64" s="9"/>
    </row>
    <row r="65" customFormat="false" ht="15" hidden="false" customHeight="false" outlineLevel="0" collapsed="false">
      <c r="A65" s="9"/>
      <c r="B65" s="9"/>
      <c r="C65" s="9"/>
      <c r="D65" s="10"/>
      <c r="E65" s="9"/>
    </row>
    <row r="66" customFormat="false" ht="15" hidden="false" customHeight="false" outlineLevel="0" collapsed="false">
      <c r="A66" s="9"/>
      <c r="B66" s="9"/>
      <c r="C66" s="9"/>
      <c r="D66" s="10"/>
      <c r="E66" s="9"/>
    </row>
    <row r="67" customFormat="false" ht="15" hidden="false" customHeight="false" outlineLevel="0" collapsed="false">
      <c r="A67" s="9"/>
      <c r="B67" s="9"/>
      <c r="C67" s="9"/>
      <c r="D67" s="10"/>
      <c r="E67" s="9"/>
    </row>
    <row r="68" customFormat="false" ht="15" hidden="false" customHeight="false" outlineLevel="0" collapsed="false">
      <c r="A68" s="9"/>
      <c r="B68" s="9"/>
      <c r="C68" s="9"/>
      <c r="D68" s="10"/>
      <c r="E68" s="9"/>
    </row>
    <row r="69" customFormat="false" ht="15" hidden="false" customHeight="false" outlineLevel="0" collapsed="false">
      <c r="A69" s="9"/>
      <c r="B69" s="9"/>
      <c r="C69" s="9"/>
      <c r="D69" s="10"/>
      <c r="E69" s="9"/>
    </row>
    <row r="70" customFormat="false" ht="15" hidden="false" customHeight="false" outlineLevel="0" collapsed="false">
      <c r="A70" s="9"/>
      <c r="B70" s="9"/>
      <c r="C70" s="9"/>
      <c r="D70" s="10"/>
      <c r="E70" s="9"/>
    </row>
    <row r="71" customFormat="false" ht="15" hidden="false" customHeight="false" outlineLevel="0" collapsed="false">
      <c r="A71" s="9"/>
      <c r="B71" s="9"/>
      <c r="C71" s="9"/>
      <c r="D71" s="10"/>
      <c r="E71" s="9"/>
    </row>
    <row r="72" customFormat="false" ht="15" hidden="false" customHeight="false" outlineLevel="0" collapsed="false">
      <c r="A72" s="9"/>
      <c r="B72" s="9"/>
      <c r="C72" s="9"/>
      <c r="D72" s="10"/>
      <c r="E72" s="9"/>
    </row>
    <row r="73" customFormat="false" ht="15" hidden="false" customHeight="false" outlineLevel="0" collapsed="false">
      <c r="A73" s="9"/>
      <c r="B73" s="9"/>
      <c r="C73" s="9"/>
      <c r="D73" s="10"/>
      <c r="E73" s="9"/>
    </row>
    <row r="74" customFormat="false" ht="15" hidden="false" customHeight="false" outlineLevel="0" collapsed="false">
      <c r="A74" s="9"/>
      <c r="B74" s="9"/>
      <c r="C74" s="9"/>
      <c r="D74" s="10"/>
      <c r="E74" s="9"/>
    </row>
    <row r="75" customFormat="false" ht="15" hidden="false" customHeight="false" outlineLevel="0" collapsed="false">
      <c r="A75" s="9"/>
      <c r="B75" s="9"/>
      <c r="C75" s="9"/>
      <c r="D75" s="10"/>
      <c r="E75" s="9"/>
    </row>
    <row r="76" customFormat="false" ht="15" hidden="false" customHeight="false" outlineLevel="0" collapsed="false">
      <c r="A76" s="9"/>
      <c r="B76" s="9"/>
      <c r="C76" s="9"/>
      <c r="D76" s="10"/>
      <c r="E76" s="9"/>
    </row>
    <row r="77" customFormat="false" ht="15" hidden="false" customHeight="false" outlineLevel="0" collapsed="false">
      <c r="A77" s="9"/>
      <c r="B77" s="9"/>
      <c r="C77" s="9"/>
      <c r="D77" s="10"/>
      <c r="E77" s="9"/>
    </row>
    <row r="78" customFormat="false" ht="15" hidden="false" customHeight="false" outlineLevel="0" collapsed="false">
      <c r="A78" s="9"/>
      <c r="B78" s="9"/>
      <c r="C78" s="9"/>
      <c r="D78" s="10"/>
      <c r="E78" s="9"/>
    </row>
    <row r="79" customFormat="false" ht="15" hidden="false" customHeight="false" outlineLevel="0" collapsed="false">
      <c r="A79" s="9"/>
      <c r="B79" s="9"/>
      <c r="C79" s="9"/>
      <c r="D79" s="10"/>
      <c r="E79" s="9"/>
    </row>
    <row r="80" customFormat="false" ht="15" hidden="false" customHeight="false" outlineLevel="0" collapsed="false">
      <c r="A80" s="9"/>
      <c r="B80" s="9"/>
      <c r="C80" s="9"/>
      <c r="D80" s="10"/>
      <c r="E80" s="9"/>
    </row>
    <row r="81" customFormat="false" ht="15" hidden="false" customHeight="false" outlineLevel="0" collapsed="false">
      <c r="A81" s="9"/>
      <c r="B81" s="9"/>
      <c r="C81" s="9"/>
      <c r="D81" s="10"/>
      <c r="E81" s="9"/>
    </row>
    <row r="82" customFormat="false" ht="15" hidden="false" customHeight="false" outlineLevel="0" collapsed="false">
      <c r="A82" s="9"/>
      <c r="B82" s="9"/>
      <c r="C82" s="9"/>
      <c r="D82" s="10"/>
      <c r="E82" s="9"/>
    </row>
    <row r="83" customFormat="false" ht="15" hidden="false" customHeight="false" outlineLevel="0" collapsed="false">
      <c r="A83" s="9"/>
      <c r="B83" s="9"/>
      <c r="C83" s="9"/>
      <c r="D83" s="10"/>
      <c r="E83" s="9"/>
    </row>
    <row r="84" customFormat="false" ht="15" hidden="false" customHeight="false" outlineLevel="0" collapsed="false">
      <c r="A84" s="9"/>
      <c r="B84" s="9"/>
      <c r="C84" s="9"/>
      <c r="D84" s="10"/>
      <c r="E84" s="9"/>
    </row>
    <row r="85" customFormat="false" ht="15" hidden="false" customHeight="false" outlineLevel="0" collapsed="false">
      <c r="A85" s="9"/>
      <c r="B85" s="9"/>
      <c r="C85" s="9"/>
      <c r="D85" s="10"/>
      <c r="E85" s="9"/>
    </row>
    <row r="86" customFormat="false" ht="15" hidden="false" customHeight="false" outlineLevel="0" collapsed="false">
      <c r="A86" s="9"/>
      <c r="B86" s="9"/>
      <c r="C86" s="9"/>
      <c r="D86" s="10"/>
      <c r="E86" s="9"/>
    </row>
    <row r="87" customFormat="false" ht="15" hidden="false" customHeight="false" outlineLevel="0" collapsed="false">
      <c r="A87" s="9"/>
      <c r="B87" s="9"/>
      <c r="C87" s="9"/>
      <c r="D87" s="10"/>
      <c r="E87" s="9"/>
    </row>
    <row r="88" customFormat="false" ht="15" hidden="false" customHeight="false" outlineLevel="0" collapsed="false">
      <c r="A88" s="9"/>
      <c r="B88" s="9"/>
      <c r="C88" s="9"/>
      <c r="D88" s="10"/>
      <c r="E88" s="9"/>
    </row>
    <row r="89" customFormat="false" ht="15" hidden="false" customHeight="false" outlineLevel="0" collapsed="false">
      <c r="A89" s="9"/>
      <c r="B89" s="9"/>
      <c r="C89" s="9"/>
      <c r="D89" s="10"/>
      <c r="E89" s="9"/>
    </row>
    <row r="90" customFormat="false" ht="15" hidden="false" customHeight="false" outlineLevel="0" collapsed="false">
      <c r="A90" s="9"/>
      <c r="B90" s="9"/>
      <c r="C90" s="9"/>
      <c r="D90" s="10"/>
      <c r="E90" s="9"/>
    </row>
    <row r="91" customFormat="false" ht="15" hidden="false" customHeight="false" outlineLevel="0" collapsed="false">
      <c r="A91" s="9"/>
      <c r="B91" s="9"/>
      <c r="C91" s="9"/>
      <c r="D91" s="10"/>
      <c r="E91" s="9"/>
    </row>
    <row r="92" customFormat="false" ht="15" hidden="false" customHeight="false" outlineLevel="0" collapsed="false">
      <c r="A92" s="9"/>
      <c r="B92" s="9"/>
      <c r="C92" s="9"/>
      <c r="D92" s="10"/>
      <c r="E92" s="9"/>
    </row>
    <row r="93" customFormat="false" ht="15" hidden="false" customHeight="false" outlineLevel="0" collapsed="false">
      <c r="A93" s="9"/>
      <c r="B93" s="9"/>
      <c r="C93" s="9"/>
      <c r="D93" s="10"/>
      <c r="E93" s="9"/>
    </row>
    <row r="94" customFormat="false" ht="15" hidden="false" customHeight="false" outlineLevel="0" collapsed="false">
      <c r="A94" s="9"/>
      <c r="B94" s="9"/>
      <c r="C94" s="9"/>
      <c r="D94" s="10"/>
      <c r="E94" s="9"/>
    </row>
    <row r="95" customFormat="false" ht="15" hidden="false" customHeight="false" outlineLevel="0" collapsed="false">
      <c r="A95" s="9"/>
      <c r="B95" s="9"/>
      <c r="C95" s="9"/>
      <c r="D95" s="10"/>
      <c r="E95" s="9"/>
    </row>
    <row r="96" customFormat="false" ht="15" hidden="false" customHeight="false" outlineLevel="0" collapsed="false">
      <c r="A96" s="9"/>
      <c r="B96" s="9"/>
      <c r="C96" s="9"/>
      <c r="D96" s="10"/>
      <c r="E96" s="9"/>
    </row>
    <row r="97" customFormat="false" ht="15" hidden="false" customHeight="false" outlineLevel="0" collapsed="false">
      <c r="A97" s="9"/>
      <c r="B97" s="9"/>
      <c r="C97" s="9"/>
      <c r="D97" s="10"/>
      <c r="E97" s="9"/>
    </row>
    <row r="98" customFormat="false" ht="15" hidden="false" customHeight="false" outlineLevel="0" collapsed="false">
      <c r="A98" s="9"/>
      <c r="B98" s="9"/>
      <c r="C98" s="9"/>
      <c r="D98" s="10"/>
      <c r="E98" s="9"/>
    </row>
    <row r="99" customFormat="false" ht="15" hidden="false" customHeight="false" outlineLevel="0" collapsed="false">
      <c r="A99" s="9"/>
      <c r="B99" s="9"/>
      <c r="C99" s="9"/>
      <c r="D99" s="10"/>
      <c r="E99" s="9"/>
    </row>
    <row r="100" customFormat="false" ht="15" hidden="false" customHeight="false" outlineLevel="0" collapsed="false">
      <c r="A100" s="9"/>
      <c r="B100" s="9"/>
      <c r="C100" s="9"/>
      <c r="D100" s="10"/>
      <c r="E100" s="9"/>
    </row>
    <row r="101" customFormat="false" ht="15" hidden="false" customHeight="false" outlineLevel="0" collapsed="false">
      <c r="A101" s="9"/>
      <c r="B101" s="9"/>
      <c r="C101" s="9"/>
      <c r="D101" s="10"/>
      <c r="E101" s="9"/>
    </row>
    <row r="102" customFormat="false" ht="15" hidden="false" customHeight="false" outlineLevel="0" collapsed="false">
      <c r="A102" s="9"/>
      <c r="B102" s="9"/>
      <c r="C102" s="9"/>
      <c r="D102" s="10"/>
      <c r="E102" s="9"/>
    </row>
    <row r="103" customFormat="false" ht="15" hidden="false" customHeight="false" outlineLevel="0" collapsed="false">
      <c r="A103" s="9"/>
      <c r="B103" s="9"/>
      <c r="C103" s="9"/>
      <c r="D103" s="10"/>
      <c r="E103" s="9"/>
    </row>
    <row r="104" customFormat="false" ht="15" hidden="false" customHeight="false" outlineLevel="0" collapsed="false">
      <c r="A104" s="9"/>
      <c r="B104" s="9"/>
      <c r="C104" s="9"/>
      <c r="D104" s="10"/>
      <c r="E104" s="9"/>
    </row>
    <row r="105" customFormat="false" ht="15" hidden="false" customHeight="false" outlineLevel="0" collapsed="false">
      <c r="A105" s="9"/>
      <c r="B105" s="9"/>
      <c r="C105" s="9"/>
      <c r="D105" s="10"/>
      <c r="E105" s="9"/>
    </row>
    <row r="106" customFormat="false" ht="15" hidden="false" customHeight="false" outlineLevel="0" collapsed="false">
      <c r="A106" s="9"/>
      <c r="B106" s="9"/>
      <c r="C106" s="9"/>
      <c r="D106" s="10"/>
      <c r="E106" s="9"/>
    </row>
    <row r="107" customFormat="false" ht="15" hidden="false" customHeight="false" outlineLevel="0" collapsed="false">
      <c r="A107" s="9"/>
      <c r="B107" s="9"/>
      <c r="C107" s="9"/>
      <c r="D107" s="10"/>
      <c r="E107" s="9"/>
    </row>
    <row r="108" customFormat="false" ht="15" hidden="false" customHeight="false" outlineLevel="0" collapsed="false">
      <c r="A108" s="9"/>
      <c r="B108" s="9"/>
      <c r="C108" s="9"/>
      <c r="D108" s="10"/>
      <c r="E108" s="9"/>
    </row>
    <row r="109" customFormat="false" ht="15" hidden="false" customHeight="false" outlineLevel="0" collapsed="false">
      <c r="A109" s="9"/>
      <c r="B109" s="9"/>
      <c r="C109" s="9"/>
      <c r="D109" s="10"/>
      <c r="E109" s="9"/>
    </row>
    <row r="110" customFormat="false" ht="15" hidden="false" customHeight="false" outlineLevel="0" collapsed="false">
      <c r="A110" s="9"/>
      <c r="B110" s="9"/>
      <c r="C110" s="9"/>
      <c r="D110" s="10"/>
      <c r="E110" s="9"/>
    </row>
    <row r="111" customFormat="false" ht="15" hidden="false" customHeight="false" outlineLevel="0" collapsed="false">
      <c r="A111" s="9"/>
      <c r="B111" s="9"/>
      <c r="C111" s="9"/>
      <c r="D111" s="10"/>
      <c r="E111" s="9"/>
    </row>
    <row r="112" customFormat="false" ht="15" hidden="false" customHeight="false" outlineLevel="0" collapsed="false">
      <c r="A112" s="9"/>
      <c r="B112" s="9"/>
      <c r="C112" s="9"/>
      <c r="D112" s="10"/>
      <c r="E112" s="9"/>
    </row>
    <row r="113" customFormat="false" ht="15" hidden="false" customHeight="false" outlineLevel="0" collapsed="false">
      <c r="A113" s="9"/>
      <c r="B113" s="9"/>
      <c r="C113" s="9"/>
      <c r="D113" s="10"/>
      <c r="E113" s="9"/>
    </row>
    <row r="114" customFormat="false" ht="15" hidden="false" customHeight="false" outlineLevel="0" collapsed="false">
      <c r="A114" s="9"/>
      <c r="B114" s="9"/>
      <c r="C114" s="9"/>
      <c r="D114" s="10"/>
      <c r="E114" s="9"/>
    </row>
    <row r="115" customFormat="false" ht="15" hidden="false" customHeight="false" outlineLevel="0" collapsed="false">
      <c r="A115" s="9"/>
      <c r="B115" s="9"/>
      <c r="C115" s="9"/>
      <c r="D115" s="10"/>
      <c r="E115" s="9"/>
    </row>
    <row r="116" customFormat="false" ht="15" hidden="false" customHeight="false" outlineLevel="0" collapsed="false">
      <c r="A116" s="9"/>
      <c r="B116" s="9"/>
      <c r="C116" s="9"/>
      <c r="D116" s="10"/>
      <c r="E116" s="9"/>
    </row>
    <row r="117" customFormat="false" ht="15" hidden="false" customHeight="false" outlineLevel="0" collapsed="false">
      <c r="A117" s="9"/>
      <c r="B117" s="9"/>
      <c r="C117" s="9"/>
      <c r="D117" s="10"/>
      <c r="E117" s="9"/>
    </row>
    <row r="118" customFormat="false" ht="15" hidden="false" customHeight="false" outlineLevel="0" collapsed="false">
      <c r="A118" s="9"/>
      <c r="B118" s="9"/>
      <c r="C118" s="9"/>
      <c r="D118" s="10"/>
      <c r="E118" s="9"/>
    </row>
    <row r="119" customFormat="false" ht="15" hidden="false" customHeight="false" outlineLevel="0" collapsed="false">
      <c r="A119" s="9"/>
      <c r="B119" s="9"/>
      <c r="C119" s="9"/>
      <c r="D119" s="10"/>
      <c r="E119" s="9"/>
    </row>
    <row r="120" customFormat="false" ht="15" hidden="false" customHeight="false" outlineLevel="0" collapsed="false">
      <c r="A120" s="9"/>
      <c r="B120" s="9"/>
      <c r="C120" s="9"/>
      <c r="D120" s="10"/>
      <c r="E120" s="9"/>
    </row>
    <row r="121" customFormat="false" ht="15" hidden="false" customHeight="false" outlineLevel="0" collapsed="false">
      <c r="A121" s="9"/>
      <c r="B121" s="9"/>
      <c r="C121" s="9"/>
      <c r="D121" s="10"/>
      <c r="E121" s="9"/>
    </row>
    <row r="122" customFormat="false" ht="15" hidden="false" customHeight="false" outlineLevel="0" collapsed="false">
      <c r="A122" s="9"/>
      <c r="B122" s="9"/>
      <c r="C122" s="9"/>
      <c r="D122" s="10"/>
      <c r="E122" s="9"/>
    </row>
    <row r="123" customFormat="false" ht="15" hidden="false" customHeight="false" outlineLevel="0" collapsed="false">
      <c r="A123" s="9"/>
      <c r="B123" s="9"/>
      <c r="C123" s="9"/>
      <c r="D123" s="10"/>
      <c r="E123" s="9"/>
    </row>
    <row r="124" customFormat="false" ht="15" hidden="false" customHeight="false" outlineLevel="0" collapsed="false">
      <c r="A124" s="9"/>
      <c r="B124" s="9"/>
      <c r="C124" s="9"/>
      <c r="D124" s="10"/>
      <c r="E124" s="9"/>
    </row>
    <row r="125" customFormat="false" ht="15" hidden="false" customHeight="false" outlineLevel="0" collapsed="false">
      <c r="A125" s="9"/>
      <c r="B125" s="9"/>
      <c r="C125" s="9"/>
      <c r="D125" s="10"/>
      <c r="E125" s="9"/>
    </row>
    <row r="126" customFormat="false" ht="15" hidden="false" customHeight="false" outlineLevel="0" collapsed="false">
      <c r="A126" s="9"/>
      <c r="B126" s="9"/>
      <c r="C126" s="9"/>
      <c r="D126" s="10"/>
      <c r="E126" s="9"/>
    </row>
    <row r="127" customFormat="false" ht="15" hidden="false" customHeight="false" outlineLevel="0" collapsed="false">
      <c r="A127" s="9"/>
      <c r="B127" s="9"/>
      <c r="C127" s="9"/>
      <c r="D127" s="10"/>
      <c r="E127" s="9"/>
    </row>
    <row r="128" customFormat="false" ht="15" hidden="false" customHeight="false" outlineLevel="0" collapsed="false">
      <c r="A128" s="9"/>
      <c r="B128" s="9"/>
      <c r="C128" s="9"/>
      <c r="D128" s="10"/>
      <c r="E128" s="9"/>
    </row>
    <row r="129" customFormat="false" ht="15" hidden="false" customHeight="false" outlineLevel="0" collapsed="false">
      <c r="A129" s="9"/>
      <c r="B129" s="9"/>
      <c r="C129" s="9"/>
      <c r="D129" s="10"/>
      <c r="E129" s="9"/>
    </row>
    <row r="130" customFormat="false" ht="15" hidden="false" customHeight="false" outlineLevel="0" collapsed="false">
      <c r="A130" s="9"/>
      <c r="B130" s="9"/>
      <c r="C130" s="9"/>
      <c r="D130" s="10"/>
      <c r="E130" s="9"/>
    </row>
    <row r="131" customFormat="false" ht="15" hidden="false" customHeight="false" outlineLevel="0" collapsed="false">
      <c r="A131" s="9"/>
      <c r="B131" s="9"/>
      <c r="C131" s="9"/>
      <c r="D131" s="10"/>
      <c r="E131" s="9"/>
    </row>
    <row r="132" customFormat="false" ht="15" hidden="false" customHeight="false" outlineLevel="0" collapsed="false">
      <c r="A132" s="9"/>
      <c r="B132" s="9"/>
      <c r="C132" s="9"/>
      <c r="D132" s="10"/>
      <c r="E132" s="9"/>
    </row>
    <row r="133" customFormat="false" ht="15" hidden="false" customHeight="false" outlineLevel="0" collapsed="false">
      <c r="A133" s="9"/>
      <c r="B133" s="9"/>
      <c r="C133" s="9"/>
      <c r="D133" s="10"/>
      <c r="E133" s="9"/>
    </row>
    <row r="134" customFormat="false" ht="15" hidden="false" customHeight="false" outlineLevel="0" collapsed="false">
      <c r="A134" s="9"/>
      <c r="B134" s="9"/>
      <c r="C134" s="9"/>
      <c r="D134" s="10"/>
      <c r="E134" s="9"/>
    </row>
    <row r="135" customFormat="false" ht="15" hidden="false" customHeight="false" outlineLevel="0" collapsed="false">
      <c r="A135" s="9"/>
      <c r="B135" s="9"/>
      <c r="C135" s="9"/>
      <c r="D135" s="10"/>
      <c r="E135" s="9"/>
    </row>
    <row r="136" customFormat="false" ht="15" hidden="false" customHeight="false" outlineLevel="0" collapsed="false">
      <c r="A136" s="9"/>
      <c r="B136" s="9"/>
      <c r="C136" s="9"/>
      <c r="D136" s="10"/>
      <c r="E136" s="9"/>
    </row>
    <row r="137" customFormat="false" ht="15" hidden="false" customHeight="false" outlineLevel="0" collapsed="false">
      <c r="A137" s="9"/>
      <c r="B137" s="9"/>
      <c r="C137" s="9"/>
      <c r="D137" s="10"/>
      <c r="E137" s="9"/>
    </row>
    <row r="138" customFormat="false" ht="15" hidden="false" customHeight="false" outlineLevel="0" collapsed="false">
      <c r="A138" s="9"/>
      <c r="B138" s="9"/>
      <c r="C138" s="9"/>
      <c r="D138" s="10"/>
      <c r="E138" s="9"/>
    </row>
    <row r="139" customFormat="false" ht="15" hidden="false" customHeight="false" outlineLevel="0" collapsed="false">
      <c r="A139" s="9"/>
      <c r="B139" s="9"/>
      <c r="C139" s="9"/>
      <c r="D139" s="10"/>
      <c r="E139" s="9"/>
    </row>
    <row r="140" customFormat="false" ht="15" hidden="false" customHeight="false" outlineLevel="0" collapsed="false">
      <c r="A140" s="9"/>
      <c r="B140" s="9"/>
      <c r="C140" s="9"/>
      <c r="D140" s="10"/>
      <c r="E140" s="9"/>
    </row>
    <row r="141" customFormat="false" ht="15" hidden="false" customHeight="false" outlineLevel="0" collapsed="false">
      <c r="A141" s="9"/>
      <c r="B141" s="9"/>
      <c r="C141" s="9"/>
      <c r="D141" s="10"/>
      <c r="E141" s="9"/>
    </row>
    <row r="142" customFormat="false" ht="15" hidden="false" customHeight="false" outlineLevel="0" collapsed="false">
      <c r="A142" s="9"/>
      <c r="B142" s="9"/>
      <c r="C142" s="9"/>
      <c r="D142" s="10"/>
      <c r="E142" s="9"/>
    </row>
    <row r="143" customFormat="false" ht="15" hidden="false" customHeight="false" outlineLevel="0" collapsed="false">
      <c r="A143" s="9"/>
      <c r="B143" s="9"/>
      <c r="C143" s="9"/>
      <c r="D143" s="10"/>
      <c r="E143" s="9"/>
    </row>
    <row r="144" customFormat="false" ht="15" hidden="false" customHeight="false" outlineLevel="0" collapsed="false">
      <c r="A144" s="9"/>
      <c r="B144" s="9"/>
      <c r="C144" s="9"/>
      <c r="D144" s="10"/>
      <c r="E144" s="9"/>
    </row>
    <row r="145" customFormat="false" ht="15" hidden="false" customHeight="false" outlineLevel="0" collapsed="false">
      <c r="A145" s="9"/>
      <c r="B145" s="9"/>
      <c r="C145" s="9"/>
      <c r="D145" s="10"/>
      <c r="E145" s="9"/>
    </row>
    <row r="146" customFormat="false" ht="15" hidden="false" customHeight="false" outlineLevel="0" collapsed="false">
      <c r="A146" s="9"/>
      <c r="B146" s="9"/>
      <c r="C146" s="9"/>
      <c r="D146" s="10"/>
      <c r="E146" s="9"/>
    </row>
    <row r="147" customFormat="false" ht="15" hidden="false" customHeight="false" outlineLevel="0" collapsed="false">
      <c r="A147" s="9"/>
      <c r="B147" s="9"/>
      <c r="C147" s="9"/>
      <c r="D147" s="10"/>
      <c r="E147" s="9"/>
    </row>
    <row r="148" customFormat="false" ht="15" hidden="false" customHeight="false" outlineLevel="0" collapsed="false">
      <c r="A148" s="9"/>
      <c r="B148" s="9"/>
      <c r="C148" s="9"/>
      <c r="D148" s="10"/>
      <c r="E148" s="9"/>
    </row>
    <row r="149" customFormat="false" ht="15" hidden="false" customHeight="false" outlineLevel="0" collapsed="false">
      <c r="A149" s="9"/>
      <c r="B149" s="9"/>
      <c r="C149" s="9"/>
      <c r="D149" s="10"/>
      <c r="E149" s="9"/>
    </row>
    <row r="150" customFormat="false" ht="15" hidden="false" customHeight="false" outlineLevel="0" collapsed="false">
      <c r="A150" s="9"/>
      <c r="B150" s="9"/>
      <c r="C150" s="9"/>
      <c r="D150" s="10"/>
      <c r="E150" s="9"/>
    </row>
    <row r="151" customFormat="false" ht="15" hidden="false" customHeight="false" outlineLevel="0" collapsed="false">
      <c r="A151" s="9"/>
      <c r="B151" s="9"/>
      <c r="C151" s="9"/>
      <c r="D151" s="10"/>
      <c r="E151" s="9"/>
    </row>
    <row r="152" customFormat="false" ht="15" hidden="false" customHeight="false" outlineLevel="0" collapsed="false">
      <c r="A152" s="9"/>
      <c r="B152" s="9"/>
      <c r="C152" s="9"/>
      <c r="D152" s="10"/>
      <c r="E152" s="9"/>
    </row>
    <row r="153" customFormat="false" ht="15" hidden="false" customHeight="false" outlineLevel="0" collapsed="false">
      <c r="A153" s="9"/>
      <c r="B153" s="9"/>
      <c r="C153" s="9"/>
      <c r="D153" s="10"/>
      <c r="E153" s="9"/>
    </row>
    <row r="154" customFormat="false" ht="15" hidden="false" customHeight="false" outlineLevel="0" collapsed="false">
      <c r="A154" s="9"/>
      <c r="B154" s="9"/>
      <c r="C154" s="9"/>
      <c r="D154" s="10"/>
      <c r="E154" s="9"/>
    </row>
    <row r="155" customFormat="false" ht="15" hidden="false" customHeight="false" outlineLevel="0" collapsed="false">
      <c r="A155" s="9"/>
      <c r="B155" s="9"/>
      <c r="C155" s="9"/>
      <c r="D155" s="10"/>
      <c r="E155" s="9"/>
    </row>
    <row r="156" customFormat="false" ht="15" hidden="false" customHeight="false" outlineLevel="0" collapsed="false">
      <c r="A156" s="9"/>
      <c r="B156" s="9"/>
      <c r="C156" s="9"/>
      <c r="D156" s="10"/>
      <c r="E156" s="9"/>
    </row>
    <row r="157" customFormat="false" ht="15" hidden="false" customHeight="false" outlineLevel="0" collapsed="false">
      <c r="A157" s="9"/>
      <c r="B157" s="9"/>
      <c r="C157" s="9"/>
      <c r="D157" s="10"/>
      <c r="E157" s="9"/>
    </row>
    <row r="158" customFormat="false" ht="15" hidden="false" customHeight="false" outlineLevel="0" collapsed="false">
      <c r="A158" s="9"/>
      <c r="B158" s="9"/>
      <c r="C158" s="9"/>
      <c r="D158" s="10"/>
      <c r="E158" s="9"/>
    </row>
    <row r="159" customFormat="false" ht="15" hidden="false" customHeight="false" outlineLevel="0" collapsed="false">
      <c r="A159" s="9"/>
      <c r="B159" s="9"/>
      <c r="C159" s="9"/>
      <c r="D159" s="10"/>
      <c r="E159" s="9"/>
    </row>
    <row r="160" customFormat="false" ht="15" hidden="false" customHeight="false" outlineLevel="0" collapsed="false">
      <c r="A160" s="9"/>
      <c r="B160" s="9"/>
      <c r="C160" s="9"/>
      <c r="D160" s="10"/>
      <c r="E160" s="9"/>
    </row>
    <row r="161" customFormat="false" ht="15" hidden="false" customHeight="false" outlineLevel="0" collapsed="false">
      <c r="A161" s="9"/>
      <c r="B161" s="9"/>
      <c r="C161" s="9"/>
      <c r="D161" s="10"/>
      <c r="E161" s="9"/>
    </row>
    <row r="162" customFormat="false" ht="15" hidden="false" customHeight="false" outlineLevel="0" collapsed="false">
      <c r="A162" s="9"/>
      <c r="B162" s="9"/>
      <c r="C162" s="9"/>
      <c r="D162" s="10"/>
      <c r="E162" s="9"/>
    </row>
    <row r="163" customFormat="false" ht="15" hidden="false" customHeight="false" outlineLevel="0" collapsed="false">
      <c r="A163" s="9"/>
      <c r="B163" s="9"/>
      <c r="C163" s="9"/>
      <c r="D163" s="10"/>
      <c r="E163" s="9"/>
    </row>
    <row r="164" customFormat="false" ht="15" hidden="false" customHeight="false" outlineLevel="0" collapsed="false">
      <c r="A164" s="9"/>
      <c r="B164" s="9"/>
      <c r="C164" s="9"/>
      <c r="D164" s="10"/>
      <c r="E164" s="9"/>
    </row>
    <row r="165" customFormat="false" ht="15" hidden="false" customHeight="false" outlineLevel="0" collapsed="false">
      <c r="A165" s="9"/>
      <c r="B165" s="9"/>
      <c r="C165" s="9"/>
      <c r="D165" s="10"/>
      <c r="E165" s="9"/>
    </row>
    <row r="166" customFormat="false" ht="15" hidden="false" customHeight="false" outlineLevel="0" collapsed="false">
      <c r="A166" s="9"/>
      <c r="B166" s="9"/>
      <c r="C166" s="9"/>
      <c r="D166" s="10"/>
      <c r="E166" s="9"/>
    </row>
    <row r="167" customFormat="false" ht="15" hidden="false" customHeight="false" outlineLevel="0" collapsed="false">
      <c r="A167" s="9"/>
      <c r="B167" s="9"/>
      <c r="C167" s="9"/>
      <c r="D167" s="10"/>
      <c r="E167" s="9"/>
    </row>
    <row r="168" customFormat="false" ht="15" hidden="false" customHeight="false" outlineLevel="0" collapsed="false">
      <c r="A168" s="9"/>
      <c r="B168" s="9"/>
      <c r="C168" s="9"/>
      <c r="D168" s="10"/>
      <c r="E168" s="9"/>
    </row>
    <row r="169" customFormat="false" ht="15" hidden="false" customHeight="false" outlineLevel="0" collapsed="false">
      <c r="A169" s="9"/>
      <c r="B169" s="9"/>
      <c r="C169" s="9"/>
      <c r="D169" s="10"/>
      <c r="E169" s="9"/>
    </row>
    <row r="170" customFormat="false" ht="15" hidden="false" customHeight="false" outlineLevel="0" collapsed="false">
      <c r="A170" s="9"/>
      <c r="B170" s="9"/>
      <c r="C170" s="9"/>
      <c r="D170" s="10"/>
      <c r="E170" s="9"/>
    </row>
    <row r="171" customFormat="false" ht="15" hidden="false" customHeight="false" outlineLevel="0" collapsed="false">
      <c r="A171" s="9"/>
      <c r="B171" s="9"/>
      <c r="C171" s="9"/>
      <c r="D171" s="10"/>
      <c r="E171" s="9"/>
    </row>
    <row r="172" customFormat="false" ht="15" hidden="false" customHeight="false" outlineLevel="0" collapsed="false">
      <c r="A172" s="9"/>
      <c r="B172" s="9"/>
      <c r="C172" s="9"/>
      <c r="D172" s="10"/>
      <c r="E172" s="9"/>
    </row>
    <row r="173" customFormat="false" ht="15" hidden="false" customHeight="false" outlineLevel="0" collapsed="false">
      <c r="A173" s="9"/>
      <c r="B173" s="9"/>
      <c r="C173" s="9"/>
      <c r="D173" s="10"/>
      <c r="E173" s="9"/>
    </row>
    <row r="174" customFormat="false" ht="15" hidden="false" customHeight="false" outlineLevel="0" collapsed="false">
      <c r="A174" s="9"/>
      <c r="B174" s="9"/>
      <c r="C174" s="9"/>
      <c r="D174" s="10"/>
      <c r="E174" s="9"/>
    </row>
    <row r="175" customFormat="false" ht="15" hidden="false" customHeight="false" outlineLevel="0" collapsed="false">
      <c r="A175" s="9"/>
      <c r="B175" s="9"/>
      <c r="C175" s="9"/>
      <c r="D175" s="10"/>
      <c r="E175" s="9"/>
    </row>
    <row r="176" customFormat="false" ht="15" hidden="false" customHeight="false" outlineLevel="0" collapsed="false">
      <c r="A176" s="9"/>
      <c r="B176" s="9"/>
      <c r="C176" s="9"/>
      <c r="D176" s="10"/>
      <c r="E176" s="9"/>
    </row>
    <row r="177" customFormat="false" ht="15" hidden="false" customHeight="false" outlineLevel="0" collapsed="false">
      <c r="A177" s="9"/>
      <c r="B177" s="9"/>
      <c r="C177" s="9"/>
      <c r="D177" s="10"/>
      <c r="E177" s="9"/>
    </row>
    <row r="178" customFormat="false" ht="15" hidden="false" customHeight="false" outlineLevel="0" collapsed="false">
      <c r="A178" s="9"/>
      <c r="B178" s="9"/>
      <c r="C178" s="9"/>
      <c r="D178" s="10"/>
      <c r="E178" s="9"/>
    </row>
    <row r="179" customFormat="false" ht="15" hidden="false" customHeight="false" outlineLevel="0" collapsed="false">
      <c r="A179" s="9"/>
      <c r="B179" s="9"/>
      <c r="C179" s="9"/>
      <c r="D179" s="10"/>
      <c r="E179" s="9"/>
    </row>
    <row r="180" customFormat="false" ht="15" hidden="false" customHeight="false" outlineLevel="0" collapsed="false">
      <c r="A180" s="9"/>
      <c r="B180" s="9"/>
      <c r="C180" s="9"/>
      <c r="D180" s="10"/>
      <c r="E180" s="9"/>
    </row>
    <row r="181" customFormat="false" ht="15" hidden="false" customHeight="false" outlineLevel="0" collapsed="false">
      <c r="A181" s="9"/>
      <c r="B181" s="9"/>
      <c r="C181" s="9"/>
      <c r="D181" s="10"/>
      <c r="E181" s="9"/>
    </row>
    <row r="182" customFormat="false" ht="15" hidden="false" customHeight="false" outlineLevel="0" collapsed="false">
      <c r="A182" s="9"/>
      <c r="B182" s="9"/>
      <c r="C182" s="9"/>
      <c r="D182" s="10"/>
      <c r="E182" s="9"/>
    </row>
    <row r="183" customFormat="false" ht="15" hidden="false" customHeight="false" outlineLevel="0" collapsed="false">
      <c r="A183" s="9"/>
      <c r="B183" s="9"/>
      <c r="C183" s="9"/>
      <c r="D183" s="10"/>
      <c r="E183" s="9"/>
    </row>
    <row r="184" customFormat="false" ht="15" hidden="false" customHeight="false" outlineLevel="0" collapsed="false">
      <c r="A184" s="9"/>
      <c r="B184" s="9"/>
      <c r="C184" s="9"/>
      <c r="D184" s="10"/>
      <c r="E184" s="9"/>
    </row>
    <row r="185" customFormat="false" ht="15" hidden="false" customHeight="false" outlineLevel="0" collapsed="false">
      <c r="A185" s="9"/>
      <c r="B185" s="9"/>
      <c r="C185" s="9"/>
      <c r="D185" s="10"/>
      <c r="E185" s="9"/>
    </row>
    <row r="186" customFormat="false" ht="15" hidden="false" customHeight="false" outlineLevel="0" collapsed="false">
      <c r="A186" s="9"/>
      <c r="B186" s="9"/>
      <c r="C186" s="9"/>
      <c r="D186" s="10"/>
      <c r="E186" s="9"/>
    </row>
    <row r="187" customFormat="false" ht="15" hidden="false" customHeight="false" outlineLevel="0" collapsed="false">
      <c r="A187" s="9"/>
      <c r="B187" s="9"/>
      <c r="C187" s="9"/>
      <c r="D187" s="10"/>
      <c r="E187" s="9"/>
    </row>
    <row r="188" customFormat="false" ht="15" hidden="false" customHeight="false" outlineLevel="0" collapsed="false">
      <c r="A188" s="9"/>
      <c r="B188" s="9"/>
      <c r="C188" s="9"/>
      <c r="D188" s="10"/>
      <c r="E188" s="9"/>
    </row>
    <row r="189" customFormat="false" ht="15" hidden="false" customHeight="false" outlineLevel="0" collapsed="false">
      <c r="A189" s="9"/>
      <c r="B189" s="9"/>
      <c r="C189" s="9"/>
      <c r="D189" s="10"/>
      <c r="E189" s="9"/>
    </row>
    <row r="190" customFormat="false" ht="15" hidden="false" customHeight="false" outlineLevel="0" collapsed="false">
      <c r="A190" s="9"/>
      <c r="B190" s="9"/>
      <c r="C190" s="9"/>
      <c r="D190" s="10"/>
      <c r="E190" s="9"/>
    </row>
    <row r="191" customFormat="false" ht="15" hidden="false" customHeight="false" outlineLevel="0" collapsed="false">
      <c r="A191" s="9"/>
      <c r="B191" s="9"/>
      <c r="C191" s="9"/>
      <c r="D191" s="10"/>
      <c r="E191" s="9"/>
    </row>
    <row r="192" customFormat="false" ht="15" hidden="false" customHeight="false" outlineLevel="0" collapsed="false">
      <c r="A192" s="9"/>
      <c r="B192" s="9"/>
      <c r="C192" s="9"/>
      <c r="D192" s="10"/>
      <c r="E192" s="9"/>
    </row>
    <row r="193" customFormat="false" ht="15" hidden="false" customHeight="false" outlineLevel="0" collapsed="false">
      <c r="A193" s="9"/>
      <c r="B193" s="9"/>
      <c r="C193" s="9"/>
      <c r="D193" s="10"/>
      <c r="E193" s="9"/>
    </row>
    <row r="194" customFormat="false" ht="15" hidden="false" customHeight="false" outlineLevel="0" collapsed="false">
      <c r="A194" s="9"/>
      <c r="B194" s="9"/>
      <c r="C194" s="9"/>
      <c r="D194" s="10"/>
      <c r="E194" s="9"/>
    </row>
    <row r="195" customFormat="false" ht="15" hidden="false" customHeight="false" outlineLevel="0" collapsed="false">
      <c r="A195" s="9"/>
      <c r="B195" s="9"/>
      <c r="C195" s="9"/>
      <c r="D195" s="10"/>
      <c r="E195" s="9"/>
    </row>
    <row r="196" customFormat="false" ht="15" hidden="false" customHeight="false" outlineLevel="0" collapsed="false">
      <c r="A196" s="9"/>
      <c r="B196" s="9"/>
      <c r="C196" s="9"/>
      <c r="D196" s="10"/>
      <c r="E196" s="9"/>
    </row>
    <row r="197" customFormat="false" ht="15" hidden="false" customHeight="false" outlineLevel="0" collapsed="false">
      <c r="A197" s="9"/>
      <c r="B197" s="9"/>
      <c r="C197" s="9"/>
      <c r="D197" s="10"/>
      <c r="E197" s="9"/>
    </row>
    <row r="198" customFormat="false" ht="15" hidden="false" customHeight="false" outlineLevel="0" collapsed="false">
      <c r="A198" s="9"/>
      <c r="B198" s="9"/>
      <c r="C198" s="9"/>
      <c r="D198" s="10"/>
      <c r="E198" s="9"/>
    </row>
    <row r="199" customFormat="false" ht="15" hidden="false" customHeight="false" outlineLevel="0" collapsed="false">
      <c r="A199" s="9"/>
      <c r="B199" s="9"/>
      <c r="C199" s="9"/>
      <c r="D199" s="10"/>
      <c r="E199" s="9"/>
    </row>
    <row r="200" customFormat="false" ht="15" hidden="false" customHeight="false" outlineLevel="0" collapsed="false">
      <c r="A200" s="9"/>
      <c r="B200" s="9"/>
      <c r="C200" s="9"/>
      <c r="D200" s="10"/>
      <c r="E200" s="9"/>
    </row>
    <row r="201" customFormat="false" ht="15" hidden="false" customHeight="false" outlineLevel="0" collapsed="false">
      <c r="A201" s="9"/>
      <c r="B201" s="9"/>
      <c r="C201" s="9"/>
      <c r="D201" s="10"/>
      <c r="E201" s="9"/>
    </row>
    <row r="202" customFormat="false" ht="15" hidden="false" customHeight="false" outlineLevel="0" collapsed="false">
      <c r="A202" s="9"/>
      <c r="B202" s="9"/>
      <c r="C202" s="9"/>
      <c r="D202" s="10"/>
      <c r="E202" s="9"/>
    </row>
    <row r="203" customFormat="false" ht="15" hidden="false" customHeight="false" outlineLevel="0" collapsed="false">
      <c r="A203" s="9"/>
      <c r="B203" s="9"/>
      <c r="C203" s="9"/>
      <c r="D203" s="10"/>
      <c r="E203" s="9"/>
    </row>
    <row r="204" customFormat="false" ht="15" hidden="false" customHeight="false" outlineLevel="0" collapsed="false">
      <c r="A204" s="9"/>
      <c r="B204" s="9"/>
      <c r="C204" s="9"/>
      <c r="D204" s="10"/>
      <c r="E204" s="9"/>
    </row>
    <row r="205" customFormat="false" ht="15" hidden="false" customHeight="false" outlineLevel="0" collapsed="false">
      <c r="A205" s="9"/>
      <c r="B205" s="9"/>
      <c r="C205" s="9"/>
      <c r="D205" s="10"/>
      <c r="E205" s="9"/>
    </row>
    <row r="206" customFormat="false" ht="15" hidden="false" customHeight="false" outlineLevel="0" collapsed="false">
      <c r="A206" s="9"/>
      <c r="B206" s="9"/>
      <c r="C206" s="9"/>
      <c r="D206" s="10"/>
      <c r="E206" s="9"/>
    </row>
    <row r="207" customFormat="false" ht="15" hidden="false" customHeight="false" outlineLevel="0" collapsed="false">
      <c r="A207" s="9"/>
      <c r="B207" s="9"/>
      <c r="C207" s="9"/>
      <c r="D207" s="10"/>
      <c r="E207" s="9"/>
    </row>
    <row r="208" customFormat="false" ht="15" hidden="false" customHeight="false" outlineLevel="0" collapsed="false">
      <c r="A208" s="9"/>
      <c r="B208" s="9"/>
      <c r="C208" s="9"/>
      <c r="D208" s="10"/>
      <c r="E208" s="9"/>
    </row>
    <row r="209" customFormat="false" ht="15" hidden="false" customHeight="false" outlineLevel="0" collapsed="false">
      <c r="A209" s="9"/>
      <c r="B209" s="9"/>
      <c r="C209" s="9"/>
      <c r="D209" s="10"/>
      <c r="E209" s="9"/>
    </row>
    <row r="210" customFormat="false" ht="15" hidden="false" customHeight="false" outlineLevel="0" collapsed="false">
      <c r="A210" s="9"/>
      <c r="B210" s="9"/>
      <c r="C210" s="9"/>
      <c r="D210" s="10"/>
      <c r="E210" s="9"/>
    </row>
    <row r="211" customFormat="false" ht="15" hidden="false" customHeight="false" outlineLevel="0" collapsed="false">
      <c r="A211" s="9"/>
      <c r="B211" s="9"/>
      <c r="C211" s="9"/>
      <c r="D211" s="10"/>
      <c r="E211" s="9"/>
    </row>
    <row r="212" customFormat="false" ht="15" hidden="false" customHeight="false" outlineLevel="0" collapsed="false">
      <c r="A212" s="9"/>
      <c r="B212" s="9"/>
      <c r="C212" s="9"/>
      <c r="D212" s="10"/>
      <c r="E212" s="9"/>
    </row>
    <row r="213" customFormat="false" ht="15" hidden="false" customHeight="false" outlineLevel="0" collapsed="false">
      <c r="A213" s="9"/>
      <c r="B213" s="9"/>
      <c r="C213" s="9"/>
      <c r="D213" s="10"/>
      <c r="E213" s="9"/>
    </row>
    <row r="214" customFormat="false" ht="15" hidden="false" customHeight="false" outlineLevel="0" collapsed="false">
      <c r="A214" s="9"/>
      <c r="B214" s="9"/>
      <c r="C214" s="9"/>
      <c r="D214" s="10"/>
      <c r="E214" s="9"/>
    </row>
    <row r="215" customFormat="false" ht="15" hidden="false" customHeight="false" outlineLevel="0" collapsed="false">
      <c r="A215" s="9"/>
      <c r="B215" s="9"/>
      <c r="C215" s="9"/>
      <c r="D215" s="10"/>
      <c r="E215" s="9"/>
    </row>
    <row r="216" customFormat="false" ht="15" hidden="false" customHeight="false" outlineLevel="0" collapsed="false">
      <c r="A216" s="9"/>
      <c r="B216" s="9"/>
      <c r="C216" s="9"/>
      <c r="D216" s="10"/>
      <c r="E216" s="9"/>
    </row>
    <row r="217" customFormat="false" ht="15" hidden="false" customHeight="false" outlineLevel="0" collapsed="false">
      <c r="A217" s="9"/>
      <c r="B217" s="9"/>
      <c r="C217" s="9"/>
      <c r="D217" s="10"/>
      <c r="E217" s="9"/>
    </row>
    <row r="218" customFormat="false" ht="15" hidden="false" customHeight="false" outlineLevel="0" collapsed="false">
      <c r="A218" s="9"/>
      <c r="B218" s="9"/>
      <c r="C218" s="9"/>
      <c r="D218" s="10"/>
      <c r="E218" s="9"/>
    </row>
    <row r="219" customFormat="false" ht="15" hidden="false" customHeight="false" outlineLevel="0" collapsed="false">
      <c r="A219" s="9"/>
      <c r="B219" s="9"/>
      <c r="C219" s="9"/>
      <c r="D219" s="10"/>
      <c r="E219" s="9"/>
    </row>
    <row r="220" customFormat="false" ht="15" hidden="false" customHeight="false" outlineLevel="0" collapsed="false">
      <c r="A220" s="9"/>
      <c r="B220" s="9"/>
      <c r="C220" s="9"/>
      <c r="D220" s="10"/>
      <c r="E220" s="9"/>
    </row>
    <row r="221" customFormat="false" ht="15" hidden="false" customHeight="false" outlineLevel="0" collapsed="false">
      <c r="A221" s="9"/>
      <c r="B221" s="9"/>
      <c r="C221" s="9"/>
      <c r="D221" s="10"/>
      <c r="E221" s="9"/>
    </row>
    <row r="222" customFormat="false" ht="15" hidden="false" customHeight="false" outlineLevel="0" collapsed="false">
      <c r="A222" s="9"/>
      <c r="B222" s="9"/>
      <c r="C222" s="9"/>
      <c r="D222" s="10"/>
      <c r="E222" s="9"/>
    </row>
    <row r="223" customFormat="false" ht="15" hidden="false" customHeight="false" outlineLevel="0" collapsed="false">
      <c r="A223" s="9"/>
      <c r="B223" s="9"/>
      <c r="C223" s="9"/>
      <c r="D223" s="10"/>
      <c r="E223" s="9"/>
    </row>
    <row r="224" customFormat="false" ht="15" hidden="false" customHeight="false" outlineLevel="0" collapsed="false">
      <c r="A224" s="9"/>
      <c r="B224" s="9"/>
      <c r="C224" s="9"/>
      <c r="D224" s="10"/>
      <c r="E224" s="9"/>
    </row>
    <row r="225" customFormat="false" ht="15" hidden="false" customHeight="false" outlineLevel="0" collapsed="false">
      <c r="A225" s="9"/>
      <c r="B225" s="9"/>
      <c r="C225" s="9"/>
      <c r="D225" s="10"/>
      <c r="E225" s="9"/>
    </row>
    <row r="226" customFormat="false" ht="15" hidden="false" customHeight="false" outlineLevel="0" collapsed="false">
      <c r="A226" s="9"/>
      <c r="B226" s="9"/>
      <c r="C226" s="9"/>
      <c r="D226" s="10"/>
      <c r="E226" s="9"/>
    </row>
    <row r="227" customFormat="false" ht="15" hidden="false" customHeight="false" outlineLevel="0" collapsed="false">
      <c r="A227" s="9"/>
      <c r="B227" s="9"/>
      <c r="C227" s="9"/>
      <c r="D227" s="10"/>
      <c r="E227" s="9"/>
    </row>
    <row r="228" customFormat="false" ht="15" hidden="false" customHeight="false" outlineLevel="0" collapsed="false">
      <c r="A228" s="9"/>
      <c r="B228" s="9"/>
      <c r="C228" s="9"/>
      <c r="D228" s="10"/>
      <c r="E228" s="9"/>
    </row>
    <row r="229" customFormat="false" ht="15" hidden="false" customHeight="false" outlineLevel="0" collapsed="false">
      <c r="A229" s="9"/>
      <c r="B229" s="9"/>
      <c r="C229" s="9"/>
      <c r="D229" s="10"/>
      <c r="E229" s="9"/>
    </row>
    <row r="230" customFormat="false" ht="15" hidden="false" customHeight="false" outlineLevel="0" collapsed="false">
      <c r="A230" s="9"/>
      <c r="B230" s="9"/>
      <c r="C230" s="9"/>
      <c r="D230" s="10"/>
      <c r="E230" s="9"/>
    </row>
    <row r="231" customFormat="false" ht="15" hidden="false" customHeight="false" outlineLevel="0" collapsed="false">
      <c r="A231" s="9"/>
      <c r="B231" s="9"/>
      <c r="C231" s="9"/>
      <c r="D231" s="10"/>
      <c r="E231" s="9"/>
    </row>
    <row r="232" customFormat="false" ht="15" hidden="false" customHeight="false" outlineLevel="0" collapsed="false">
      <c r="A232" s="9"/>
      <c r="B232" s="9"/>
      <c r="C232" s="9"/>
      <c r="D232" s="10"/>
      <c r="E232" s="9"/>
    </row>
    <row r="233" customFormat="false" ht="15" hidden="false" customHeight="false" outlineLevel="0" collapsed="false">
      <c r="A233" s="9"/>
      <c r="B233" s="9"/>
      <c r="C233" s="9"/>
      <c r="D233" s="10"/>
      <c r="E233" s="9"/>
    </row>
    <row r="234" customFormat="false" ht="15" hidden="false" customHeight="false" outlineLevel="0" collapsed="false">
      <c r="A234" s="9"/>
      <c r="B234" s="9"/>
      <c r="C234" s="9"/>
      <c r="D234" s="10"/>
      <c r="E234" s="9"/>
    </row>
    <row r="235" customFormat="false" ht="15" hidden="false" customHeight="false" outlineLevel="0" collapsed="false">
      <c r="A235" s="9"/>
      <c r="B235" s="9"/>
      <c r="C235" s="9"/>
      <c r="D235" s="10"/>
      <c r="E235" s="9"/>
    </row>
    <row r="236" customFormat="false" ht="15" hidden="false" customHeight="false" outlineLevel="0" collapsed="false">
      <c r="A236" s="9"/>
      <c r="B236" s="9"/>
      <c r="C236" s="9"/>
      <c r="D236" s="10"/>
      <c r="E236" s="9"/>
    </row>
    <row r="237" customFormat="false" ht="15" hidden="false" customHeight="false" outlineLevel="0" collapsed="false">
      <c r="A237" s="9"/>
      <c r="B237" s="9"/>
      <c r="C237" s="9"/>
      <c r="D237" s="10"/>
      <c r="E237" s="9"/>
    </row>
    <row r="238" customFormat="false" ht="15" hidden="false" customHeight="false" outlineLevel="0" collapsed="false">
      <c r="A238" s="9"/>
      <c r="B238" s="9"/>
      <c r="C238" s="9"/>
      <c r="D238" s="10"/>
      <c r="E238" s="9"/>
    </row>
    <row r="239" customFormat="false" ht="15" hidden="false" customHeight="false" outlineLevel="0" collapsed="false">
      <c r="A239" s="9"/>
      <c r="B239" s="9"/>
      <c r="C239" s="9"/>
      <c r="D239" s="10"/>
      <c r="E239" s="9"/>
    </row>
    <row r="240" customFormat="false" ht="15" hidden="false" customHeight="false" outlineLevel="0" collapsed="false">
      <c r="A240" s="9"/>
      <c r="B240" s="9"/>
      <c r="C240" s="9"/>
      <c r="D240" s="10"/>
      <c r="E240" s="9"/>
    </row>
    <row r="241" customFormat="false" ht="15" hidden="false" customHeight="false" outlineLevel="0" collapsed="false">
      <c r="A241" s="9"/>
      <c r="B241" s="9"/>
      <c r="C241" s="9"/>
      <c r="D241" s="10"/>
      <c r="E241" s="9"/>
    </row>
    <row r="242" customFormat="false" ht="15" hidden="false" customHeight="false" outlineLevel="0" collapsed="false">
      <c r="A242" s="9"/>
      <c r="B242" s="9"/>
      <c r="C242" s="9"/>
      <c r="D242" s="10"/>
      <c r="E242" s="9"/>
    </row>
    <row r="243" customFormat="false" ht="15" hidden="false" customHeight="false" outlineLevel="0" collapsed="false">
      <c r="A243" s="9"/>
      <c r="B243" s="9"/>
      <c r="C243" s="9"/>
      <c r="D243" s="10"/>
      <c r="E243" s="9"/>
    </row>
    <row r="244" customFormat="false" ht="15" hidden="false" customHeight="false" outlineLevel="0" collapsed="false">
      <c r="A244" s="9"/>
      <c r="B244" s="9"/>
      <c r="C244" s="9"/>
      <c r="D244" s="10"/>
      <c r="E244" s="9"/>
    </row>
    <row r="245" customFormat="false" ht="15" hidden="false" customHeight="false" outlineLevel="0" collapsed="false">
      <c r="A245" s="9"/>
      <c r="B245" s="9"/>
      <c r="C245" s="9"/>
      <c r="D245" s="10"/>
      <c r="E245" s="9"/>
    </row>
    <row r="246" customFormat="false" ht="15" hidden="false" customHeight="false" outlineLevel="0" collapsed="false">
      <c r="A246" s="9"/>
      <c r="B246" s="9"/>
      <c r="C246" s="9"/>
      <c r="D246" s="10"/>
      <c r="E246" s="9"/>
    </row>
    <row r="247" customFormat="false" ht="15" hidden="false" customHeight="false" outlineLevel="0" collapsed="false">
      <c r="A247" s="9"/>
      <c r="B247" s="9"/>
      <c r="C247" s="9"/>
      <c r="D247" s="10"/>
      <c r="E247" s="9"/>
    </row>
    <row r="248" customFormat="false" ht="15" hidden="false" customHeight="false" outlineLevel="0" collapsed="false">
      <c r="A248" s="9"/>
      <c r="B248" s="9"/>
      <c r="C248" s="9"/>
      <c r="D248" s="10"/>
      <c r="E248" s="9"/>
    </row>
    <row r="249" customFormat="false" ht="15" hidden="false" customHeight="false" outlineLevel="0" collapsed="false">
      <c r="A249" s="9"/>
      <c r="B249" s="9"/>
      <c r="C249" s="9"/>
      <c r="D249" s="10"/>
      <c r="E249" s="9"/>
    </row>
    <row r="250" customFormat="false" ht="15" hidden="false" customHeight="false" outlineLevel="0" collapsed="false">
      <c r="A250" s="9"/>
      <c r="B250" s="9"/>
      <c r="C250" s="9"/>
      <c r="D250" s="10"/>
      <c r="E250" s="9"/>
    </row>
    <row r="251" customFormat="false" ht="15" hidden="false" customHeight="false" outlineLevel="0" collapsed="false">
      <c r="A251" s="9"/>
      <c r="B251" s="9"/>
      <c r="C251" s="9"/>
      <c r="D251" s="10"/>
      <c r="E251" s="9"/>
    </row>
    <row r="252" customFormat="false" ht="15" hidden="false" customHeight="false" outlineLevel="0" collapsed="false">
      <c r="A252" s="9"/>
      <c r="B252" s="9"/>
      <c r="C252" s="9"/>
      <c r="D252" s="10"/>
      <c r="E252" s="9"/>
    </row>
    <row r="253" customFormat="false" ht="15" hidden="false" customHeight="false" outlineLevel="0" collapsed="false">
      <c r="A253" s="9"/>
      <c r="B253" s="9"/>
      <c r="C253" s="9"/>
      <c r="D253" s="10"/>
      <c r="E253" s="9"/>
    </row>
    <row r="254" customFormat="false" ht="15" hidden="false" customHeight="false" outlineLevel="0" collapsed="false">
      <c r="A254" s="9"/>
      <c r="B254" s="9"/>
      <c r="C254" s="9"/>
      <c r="D254" s="10"/>
      <c r="E254" s="9"/>
    </row>
    <row r="255" customFormat="false" ht="15" hidden="false" customHeight="false" outlineLevel="0" collapsed="false">
      <c r="A255" s="9"/>
      <c r="B255" s="9"/>
      <c r="C255" s="9"/>
      <c r="D255" s="10"/>
      <c r="E255" s="9"/>
    </row>
    <row r="256" customFormat="false" ht="15" hidden="false" customHeight="false" outlineLevel="0" collapsed="false">
      <c r="A256" s="9"/>
      <c r="B256" s="9"/>
      <c r="C256" s="9"/>
      <c r="D256" s="10"/>
      <c r="E256" s="9"/>
    </row>
    <row r="257" customFormat="false" ht="15" hidden="false" customHeight="false" outlineLevel="0" collapsed="false">
      <c r="A257" s="9"/>
      <c r="B257" s="9"/>
      <c r="C257" s="9"/>
      <c r="D257" s="10"/>
      <c r="E257" s="9"/>
    </row>
    <row r="258" customFormat="false" ht="15" hidden="false" customHeight="false" outlineLevel="0" collapsed="false">
      <c r="A258" s="9"/>
      <c r="B258" s="9"/>
      <c r="C258" s="9"/>
      <c r="D258" s="10"/>
      <c r="E258" s="9"/>
    </row>
    <row r="259" customFormat="false" ht="15" hidden="false" customHeight="false" outlineLevel="0" collapsed="false">
      <c r="A259" s="9"/>
      <c r="B259" s="9"/>
      <c r="C259" s="9"/>
      <c r="D259" s="10"/>
      <c r="E259" s="9"/>
    </row>
    <row r="260" customFormat="false" ht="15" hidden="false" customHeight="false" outlineLevel="0" collapsed="false">
      <c r="A260" s="9"/>
      <c r="B260" s="9"/>
      <c r="C260" s="9"/>
      <c r="D260" s="10"/>
      <c r="E260" s="9"/>
    </row>
    <row r="261" customFormat="false" ht="15" hidden="false" customHeight="false" outlineLevel="0" collapsed="false">
      <c r="A261" s="9"/>
      <c r="B261" s="9"/>
      <c r="C261" s="9"/>
      <c r="D261" s="10"/>
      <c r="E261" s="9"/>
    </row>
    <row r="262" customFormat="false" ht="15" hidden="false" customHeight="false" outlineLevel="0" collapsed="false">
      <c r="A262" s="9"/>
      <c r="B262" s="9"/>
      <c r="C262" s="9"/>
      <c r="D262" s="10"/>
      <c r="E262" s="9"/>
    </row>
    <row r="263" customFormat="false" ht="15" hidden="false" customHeight="false" outlineLevel="0" collapsed="false">
      <c r="A263" s="9"/>
      <c r="B263" s="9"/>
      <c r="C263" s="9"/>
      <c r="D263" s="10"/>
      <c r="E263" s="9"/>
    </row>
    <row r="264" customFormat="false" ht="15" hidden="false" customHeight="false" outlineLevel="0" collapsed="false">
      <c r="A264" s="9"/>
      <c r="B264" s="9"/>
      <c r="C264" s="9"/>
      <c r="D264" s="10"/>
      <c r="E264" s="9"/>
    </row>
    <row r="265" customFormat="false" ht="15" hidden="false" customHeight="false" outlineLevel="0" collapsed="false">
      <c r="A265" s="9"/>
      <c r="B265" s="9"/>
      <c r="C265" s="9"/>
      <c r="D265" s="10"/>
      <c r="E265" s="9"/>
    </row>
    <row r="266" customFormat="false" ht="15" hidden="false" customHeight="false" outlineLevel="0" collapsed="false">
      <c r="A266" s="9"/>
      <c r="B266" s="9"/>
      <c r="C266" s="9"/>
      <c r="D266" s="10"/>
      <c r="E266" s="9"/>
    </row>
    <row r="267" customFormat="false" ht="15" hidden="false" customHeight="false" outlineLevel="0" collapsed="false">
      <c r="A267" s="9"/>
      <c r="B267" s="9"/>
      <c r="C267" s="9"/>
      <c r="D267" s="10"/>
      <c r="E267" s="9"/>
    </row>
    <row r="268" customFormat="false" ht="15" hidden="false" customHeight="false" outlineLevel="0" collapsed="false">
      <c r="A268" s="9"/>
      <c r="B268" s="9"/>
      <c r="C268" s="9"/>
      <c r="D268" s="10"/>
      <c r="E268" s="9"/>
    </row>
    <row r="269" customFormat="false" ht="15" hidden="false" customHeight="false" outlineLevel="0" collapsed="false">
      <c r="A269" s="9"/>
      <c r="B269" s="9"/>
      <c r="C269" s="9"/>
      <c r="D269" s="10"/>
      <c r="E269" s="9"/>
    </row>
    <row r="270" customFormat="false" ht="15" hidden="false" customHeight="false" outlineLevel="0" collapsed="false">
      <c r="A270" s="9"/>
      <c r="B270" s="9"/>
      <c r="C270" s="9"/>
      <c r="D270" s="10"/>
      <c r="E270" s="9"/>
    </row>
    <row r="271" customFormat="false" ht="15" hidden="false" customHeight="false" outlineLevel="0" collapsed="false">
      <c r="A271" s="9"/>
      <c r="B271" s="9"/>
      <c r="C271" s="9"/>
      <c r="D271" s="10"/>
      <c r="E271" s="9"/>
    </row>
    <row r="272" customFormat="false" ht="15" hidden="false" customHeight="false" outlineLevel="0" collapsed="false">
      <c r="A272" s="9"/>
      <c r="B272" s="9"/>
      <c r="C272" s="9"/>
      <c r="D272" s="10"/>
      <c r="E272" s="9"/>
    </row>
    <row r="273" customFormat="false" ht="15" hidden="false" customHeight="false" outlineLevel="0" collapsed="false">
      <c r="A273" s="9"/>
      <c r="B273" s="9"/>
      <c r="C273" s="9"/>
      <c r="D273" s="10"/>
      <c r="E273" s="9"/>
    </row>
    <row r="274" customFormat="false" ht="15" hidden="false" customHeight="false" outlineLevel="0" collapsed="false">
      <c r="A274" s="9"/>
      <c r="B274" s="9"/>
      <c r="C274" s="9"/>
      <c r="D274" s="10"/>
      <c r="E274" s="9"/>
    </row>
    <row r="275" customFormat="false" ht="15" hidden="false" customHeight="false" outlineLevel="0" collapsed="false">
      <c r="A275" s="9"/>
      <c r="B275" s="9"/>
      <c r="C275" s="9"/>
      <c r="D275" s="10"/>
      <c r="E275" s="9"/>
    </row>
    <row r="276" customFormat="false" ht="15" hidden="false" customHeight="false" outlineLevel="0" collapsed="false">
      <c r="A276" s="9"/>
      <c r="B276" s="9"/>
      <c r="C276" s="9"/>
      <c r="D276" s="10"/>
      <c r="E276" s="9"/>
    </row>
    <row r="277" customFormat="false" ht="15" hidden="false" customHeight="false" outlineLevel="0" collapsed="false">
      <c r="A277" s="9"/>
      <c r="B277" s="9"/>
      <c r="C277" s="9"/>
      <c r="D277" s="10"/>
      <c r="E277" s="9"/>
    </row>
    <row r="278" customFormat="false" ht="15" hidden="false" customHeight="false" outlineLevel="0" collapsed="false">
      <c r="A278" s="9"/>
      <c r="B278" s="9"/>
      <c r="C278" s="9"/>
      <c r="D278" s="10"/>
      <c r="E278" s="9"/>
    </row>
    <row r="279" customFormat="false" ht="15" hidden="false" customHeight="false" outlineLevel="0" collapsed="false">
      <c r="A279" s="9"/>
      <c r="B279" s="9"/>
      <c r="C279" s="9"/>
      <c r="D279" s="10"/>
      <c r="E279" s="9"/>
    </row>
    <row r="280" customFormat="false" ht="15" hidden="false" customHeight="false" outlineLevel="0" collapsed="false">
      <c r="A280" s="9"/>
      <c r="B280" s="9"/>
      <c r="C280" s="9"/>
      <c r="D280" s="10"/>
      <c r="E280" s="9"/>
    </row>
    <row r="281" customFormat="false" ht="15" hidden="false" customHeight="false" outlineLevel="0" collapsed="false">
      <c r="A281" s="9"/>
      <c r="B281" s="9"/>
      <c r="C281" s="9"/>
      <c r="D281" s="10"/>
      <c r="E281" s="9"/>
    </row>
    <row r="282" customFormat="false" ht="15" hidden="false" customHeight="false" outlineLevel="0" collapsed="false">
      <c r="A282" s="9"/>
      <c r="B282" s="9"/>
      <c r="C282" s="9"/>
      <c r="D282" s="10"/>
      <c r="E282" s="9"/>
    </row>
    <row r="283" customFormat="false" ht="15" hidden="false" customHeight="false" outlineLevel="0" collapsed="false">
      <c r="A283" s="9"/>
      <c r="B283" s="9"/>
      <c r="C283" s="9"/>
      <c r="D283" s="10"/>
      <c r="E283" s="9"/>
    </row>
    <row r="284" customFormat="false" ht="15" hidden="false" customHeight="false" outlineLevel="0" collapsed="false">
      <c r="A284" s="9"/>
      <c r="B284" s="9"/>
      <c r="C284" s="9"/>
      <c r="D284" s="10"/>
      <c r="E284" s="9"/>
    </row>
    <row r="285" customFormat="false" ht="15" hidden="false" customHeight="false" outlineLevel="0" collapsed="false">
      <c r="A285" s="9"/>
      <c r="B285" s="9"/>
      <c r="C285" s="9"/>
      <c r="D285" s="10"/>
      <c r="E285" s="9"/>
    </row>
    <row r="286" customFormat="false" ht="15" hidden="false" customHeight="false" outlineLevel="0" collapsed="false">
      <c r="A286" s="9"/>
      <c r="B286" s="9"/>
      <c r="C286" s="9"/>
      <c r="D286" s="10"/>
      <c r="E286" s="9"/>
    </row>
    <row r="287" customFormat="false" ht="15" hidden="false" customHeight="false" outlineLevel="0" collapsed="false">
      <c r="A287" s="9"/>
      <c r="B287" s="9"/>
      <c r="C287" s="9"/>
      <c r="D287" s="10"/>
      <c r="E287" s="9"/>
    </row>
    <row r="288" customFormat="false" ht="15" hidden="false" customHeight="false" outlineLevel="0" collapsed="false">
      <c r="A288" s="9"/>
      <c r="B288" s="9"/>
      <c r="C288" s="9"/>
      <c r="D288" s="10"/>
      <c r="E288" s="9"/>
    </row>
    <row r="289" customFormat="false" ht="15" hidden="false" customHeight="false" outlineLevel="0" collapsed="false">
      <c r="A289" s="9"/>
      <c r="B289" s="9"/>
      <c r="C289" s="9"/>
      <c r="D289" s="10"/>
      <c r="E289" s="9"/>
    </row>
    <row r="290" customFormat="false" ht="15" hidden="false" customHeight="false" outlineLevel="0" collapsed="false">
      <c r="A290" s="9"/>
      <c r="B290" s="9"/>
      <c r="C290" s="9"/>
      <c r="D290" s="10"/>
      <c r="E290" s="9"/>
    </row>
    <row r="291" customFormat="false" ht="15" hidden="false" customHeight="false" outlineLevel="0" collapsed="false">
      <c r="A291" s="9"/>
      <c r="B291" s="9"/>
      <c r="C291" s="9"/>
      <c r="D291" s="10"/>
      <c r="E291" s="9"/>
    </row>
    <row r="292" customFormat="false" ht="15" hidden="false" customHeight="false" outlineLevel="0" collapsed="false">
      <c r="A292" s="9"/>
      <c r="B292" s="9"/>
      <c r="C292" s="9"/>
      <c r="D292" s="10"/>
      <c r="E292" s="9"/>
    </row>
    <row r="293" customFormat="false" ht="15" hidden="false" customHeight="false" outlineLevel="0" collapsed="false">
      <c r="A293" s="9"/>
      <c r="B293" s="9"/>
      <c r="C293" s="9"/>
      <c r="D293" s="10"/>
      <c r="E293" s="9"/>
    </row>
    <row r="294" customFormat="false" ht="15" hidden="false" customHeight="false" outlineLevel="0" collapsed="false">
      <c r="A294" s="9"/>
      <c r="B294" s="9"/>
      <c r="C294" s="9"/>
      <c r="D294" s="10"/>
      <c r="E294" s="9"/>
    </row>
    <row r="295" customFormat="false" ht="15" hidden="false" customHeight="false" outlineLevel="0" collapsed="false">
      <c r="A295" s="9"/>
      <c r="B295" s="9"/>
      <c r="C295" s="9"/>
      <c r="D295" s="10"/>
      <c r="E295" s="9"/>
    </row>
    <row r="296" customFormat="false" ht="15" hidden="false" customHeight="false" outlineLevel="0" collapsed="false">
      <c r="A296" s="9"/>
      <c r="B296" s="9"/>
      <c r="C296" s="9"/>
      <c r="D296" s="10"/>
      <c r="E296" s="9"/>
    </row>
    <row r="297" customFormat="false" ht="15" hidden="false" customHeight="false" outlineLevel="0" collapsed="false">
      <c r="A297" s="9"/>
      <c r="B297" s="9"/>
      <c r="C297" s="9"/>
      <c r="D297" s="10"/>
      <c r="E297" s="9"/>
    </row>
    <row r="298" customFormat="false" ht="15" hidden="false" customHeight="false" outlineLevel="0" collapsed="false">
      <c r="A298" s="9"/>
      <c r="B298" s="9"/>
      <c r="C298" s="9"/>
      <c r="D298" s="10"/>
      <c r="E298" s="9"/>
    </row>
    <row r="299" customFormat="false" ht="15" hidden="false" customHeight="false" outlineLevel="0" collapsed="false">
      <c r="A299" s="9"/>
      <c r="B299" s="9"/>
      <c r="C299" s="9"/>
      <c r="D299" s="10"/>
      <c r="E299" s="9"/>
    </row>
    <row r="300" customFormat="false" ht="15" hidden="false" customHeight="false" outlineLevel="0" collapsed="false">
      <c r="A300" s="9"/>
      <c r="B300" s="9"/>
      <c r="C300" s="9"/>
      <c r="D300" s="10"/>
      <c r="E300" s="9"/>
    </row>
    <row r="301" customFormat="false" ht="15" hidden="false" customHeight="false" outlineLevel="0" collapsed="false">
      <c r="A301" s="9"/>
      <c r="B301" s="9"/>
      <c r="C301" s="9"/>
      <c r="D301" s="10"/>
      <c r="E301" s="9"/>
    </row>
  </sheetData>
  <dataValidations count="1">
    <dataValidation allowBlank="true" errorStyle="stop" operator="between" showDropDown="false" showErrorMessage="false" showInputMessage="false" sqref="E2:E301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30" hidden="false" customHeight="true" outlineLevel="0" collapsed="false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</row>
    <row r="2" customFormat="false" ht="15" hidden="false" customHeight="false" outlineLevel="0" collapsed="false">
      <c r="A2" s="11" t="n">
        <v>46318</v>
      </c>
      <c r="B2" s="9" t="s">
        <v>14</v>
      </c>
      <c r="C2" s="9" t="n">
        <v>10</v>
      </c>
      <c r="D2" s="9" t="n">
        <v>2026</v>
      </c>
      <c r="E2" s="10" t="n">
        <v>20000</v>
      </c>
      <c r="F2" s="9" t="s">
        <v>24</v>
      </c>
    </row>
    <row r="3" customFormat="false" ht="15" hidden="false" customHeight="false" outlineLevel="0" collapsed="false">
      <c r="A3" s="11"/>
      <c r="B3" s="9"/>
      <c r="C3" s="9"/>
      <c r="D3" s="9"/>
      <c r="E3" s="10"/>
      <c r="F3" s="9"/>
    </row>
    <row r="4" customFormat="false" ht="15" hidden="false" customHeight="false" outlineLevel="0" collapsed="false">
      <c r="A4" s="11"/>
      <c r="B4" s="9"/>
      <c r="C4" s="9"/>
      <c r="D4" s="9"/>
      <c r="E4" s="10"/>
      <c r="F4" s="9"/>
    </row>
    <row r="5" customFormat="false" ht="15" hidden="false" customHeight="false" outlineLevel="0" collapsed="false">
      <c r="A5" s="11"/>
      <c r="B5" s="9"/>
      <c r="C5" s="9"/>
      <c r="D5" s="9"/>
      <c r="E5" s="10"/>
      <c r="F5" s="9"/>
    </row>
    <row r="6" customFormat="false" ht="15" hidden="false" customHeight="false" outlineLevel="0" collapsed="false">
      <c r="A6" s="11"/>
      <c r="B6" s="9"/>
      <c r="C6" s="9"/>
      <c r="D6" s="9"/>
      <c r="E6" s="10"/>
      <c r="F6" s="9"/>
    </row>
    <row r="7" customFormat="false" ht="15" hidden="false" customHeight="false" outlineLevel="0" collapsed="false">
      <c r="A7" s="11"/>
      <c r="B7" s="9"/>
      <c r="C7" s="9"/>
      <c r="D7" s="9"/>
      <c r="E7" s="10"/>
      <c r="F7" s="9"/>
    </row>
    <row r="8" customFormat="false" ht="15" hidden="false" customHeight="false" outlineLevel="0" collapsed="false">
      <c r="A8" s="11"/>
      <c r="B8" s="9"/>
      <c r="C8" s="9"/>
      <c r="D8" s="9"/>
      <c r="E8" s="10"/>
      <c r="F8" s="9"/>
    </row>
    <row r="9" customFormat="false" ht="15" hidden="false" customHeight="false" outlineLevel="0" collapsed="false">
      <c r="A9" s="11"/>
      <c r="B9" s="9"/>
      <c r="C9" s="9"/>
      <c r="D9" s="9"/>
      <c r="E9" s="10"/>
      <c r="F9" s="9"/>
    </row>
    <row r="10" customFormat="false" ht="15" hidden="false" customHeight="false" outlineLevel="0" collapsed="false">
      <c r="A10" s="11"/>
      <c r="B10" s="9"/>
      <c r="C10" s="9"/>
      <c r="D10" s="9"/>
      <c r="E10" s="10"/>
      <c r="F10" s="9"/>
    </row>
    <row r="11" customFormat="false" ht="15" hidden="false" customHeight="false" outlineLevel="0" collapsed="false">
      <c r="A11" s="11"/>
      <c r="B11" s="9"/>
      <c r="C11" s="9"/>
      <c r="D11" s="9"/>
      <c r="E11" s="10"/>
      <c r="F11" s="9"/>
    </row>
    <row r="12" customFormat="false" ht="15" hidden="false" customHeight="false" outlineLevel="0" collapsed="false">
      <c r="A12" s="11"/>
      <c r="B12" s="9"/>
      <c r="C12" s="9"/>
      <c r="D12" s="9"/>
      <c r="E12" s="10"/>
      <c r="F12" s="9"/>
    </row>
    <row r="13" customFormat="false" ht="15" hidden="false" customHeight="false" outlineLevel="0" collapsed="false">
      <c r="A13" s="11"/>
      <c r="B13" s="9"/>
      <c r="C13" s="9"/>
      <c r="D13" s="9"/>
      <c r="E13" s="10"/>
      <c r="F13" s="9"/>
    </row>
    <row r="14" customFormat="false" ht="15" hidden="false" customHeight="false" outlineLevel="0" collapsed="false">
      <c r="A14" s="11"/>
      <c r="B14" s="9"/>
      <c r="C14" s="9"/>
      <c r="D14" s="9"/>
      <c r="E14" s="10"/>
      <c r="F14" s="9"/>
    </row>
    <row r="15" customFormat="false" ht="15" hidden="false" customHeight="false" outlineLevel="0" collapsed="false">
      <c r="A15" s="11"/>
      <c r="B15" s="9"/>
      <c r="C15" s="9"/>
      <c r="D15" s="9"/>
      <c r="E15" s="10"/>
      <c r="F15" s="9"/>
    </row>
    <row r="16" customFormat="false" ht="15" hidden="false" customHeight="false" outlineLevel="0" collapsed="false">
      <c r="A16" s="11"/>
      <c r="B16" s="9"/>
      <c r="C16" s="9"/>
      <c r="D16" s="9"/>
      <c r="E16" s="10"/>
      <c r="F16" s="9"/>
    </row>
    <row r="17" customFormat="false" ht="15" hidden="false" customHeight="false" outlineLevel="0" collapsed="false">
      <c r="A17" s="11"/>
      <c r="B17" s="9"/>
      <c r="C17" s="9"/>
      <c r="D17" s="9"/>
      <c r="E17" s="10"/>
      <c r="F17" s="9"/>
    </row>
    <row r="18" customFormat="false" ht="15" hidden="false" customHeight="false" outlineLevel="0" collapsed="false">
      <c r="A18" s="11"/>
      <c r="B18" s="9"/>
      <c r="C18" s="9"/>
      <c r="D18" s="9"/>
      <c r="E18" s="10"/>
      <c r="F18" s="9"/>
    </row>
    <row r="19" customFormat="false" ht="15" hidden="false" customHeight="false" outlineLevel="0" collapsed="false">
      <c r="A19" s="11"/>
      <c r="B19" s="9"/>
      <c r="C19" s="9"/>
      <c r="D19" s="9"/>
      <c r="E19" s="10"/>
      <c r="F19" s="9"/>
    </row>
    <row r="20" customFormat="false" ht="15" hidden="false" customHeight="false" outlineLevel="0" collapsed="false">
      <c r="A20" s="11"/>
      <c r="B20" s="9"/>
      <c r="C20" s="9"/>
      <c r="D20" s="9"/>
      <c r="E20" s="10"/>
      <c r="F20" s="9"/>
    </row>
    <row r="21" customFormat="false" ht="15" hidden="false" customHeight="false" outlineLevel="0" collapsed="false">
      <c r="A21" s="11"/>
      <c r="B21" s="9"/>
      <c r="C21" s="9"/>
      <c r="D21" s="9"/>
      <c r="E21" s="10"/>
      <c r="F21" s="9"/>
    </row>
    <row r="22" customFormat="false" ht="15" hidden="false" customHeight="false" outlineLevel="0" collapsed="false">
      <c r="A22" s="11"/>
      <c r="B22" s="9"/>
      <c r="C22" s="9"/>
      <c r="D22" s="9"/>
      <c r="E22" s="10"/>
      <c r="F22" s="9"/>
    </row>
    <row r="23" customFormat="false" ht="15" hidden="false" customHeight="false" outlineLevel="0" collapsed="false">
      <c r="A23" s="11"/>
      <c r="B23" s="9"/>
      <c r="C23" s="9"/>
      <c r="D23" s="9"/>
      <c r="E23" s="10"/>
      <c r="F23" s="9"/>
    </row>
    <row r="24" customFormat="false" ht="15" hidden="false" customHeight="false" outlineLevel="0" collapsed="false">
      <c r="A24" s="11"/>
      <c r="B24" s="9"/>
      <c r="C24" s="9"/>
      <c r="D24" s="9"/>
      <c r="E24" s="10"/>
      <c r="F24" s="9"/>
    </row>
    <row r="25" customFormat="false" ht="15" hidden="false" customHeight="false" outlineLevel="0" collapsed="false">
      <c r="A25" s="11"/>
      <c r="B25" s="9"/>
      <c r="C25" s="9"/>
      <c r="D25" s="9"/>
      <c r="E25" s="10"/>
      <c r="F25" s="9"/>
    </row>
    <row r="26" customFormat="false" ht="15" hidden="false" customHeight="false" outlineLevel="0" collapsed="false">
      <c r="A26" s="11"/>
      <c r="B26" s="9"/>
      <c r="C26" s="9"/>
      <c r="D26" s="9"/>
      <c r="E26" s="10"/>
      <c r="F26" s="9"/>
    </row>
    <row r="27" customFormat="false" ht="15" hidden="false" customHeight="false" outlineLevel="0" collapsed="false">
      <c r="A27" s="11"/>
      <c r="B27" s="9"/>
      <c r="C27" s="9"/>
      <c r="D27" s="9"/>
      <c r="E27" s="10"/>
      <c r="F27" s="9"/>
    </row>
    <row r="28" customFormat="false" ht="15" hidden="false" customHeight="false" outlineLevel="0" collapsed="false">
      <c r="A28" s="11"/>
      <c r="B28" s="9"/>
      <c r="C28" s="9"/>
      <c r="D28" s="9"/>
      <c r="E28" s="10"/>
      <c r="F28" s="9"/>
    </row>
    <row r="29" customFormat="false" ht="15" hidden="false" customHeight="false" outlineLevel="0" collapsed="false">
      <c r="A29" s="11"/>
      <c r="B29" s="9"/>
      <c r="C29" s="9"/>
      <c r="D29" s="9"/>
      <c r="E29" s="10"/>
      <c r="F29" s="9"/>
    </row>
    <row r="30" customFormat="false" ht="15" hidden="false" customHeight="false" outlineLevel="0" collapsed="false">
      <c r="A30" s="11"/>
      <c r="B30" s="9"/>
      <c r="C30" s="9"/>
      <c r="D30" s="9"/>
      <c r="E30" s="10"/>
      <c r="F30" s="9"/>
    </row>
    <row r="31" customFormat="false" ht="15" hidden="false" customHeight="false" outlineLevel="0" collapsed="false">
      <c r="A31" s="11"/>
      <c r="B31" s="9"/>
      <c r="C31" s="9"/>
      <c r="D31" s="9"/>
      <c r="E31" s="10"/>
      <c r="F31" s="9"/>
    </row>
    <row r="32" customFormat="false" ht="15" hidden="false" customHeight="false" outlineLevel="0" collapsed="false">
      <c r="A32" s="11"/>
      <c r="B32" s="9"/>
      <c r="C32" s="9"/>
      <c r="D32" s="9"/>
      <c r="E32" s="10"/>
      <c r="F32" s="9"/>
    </row>
    <row r="33" customFormat="false" ht="15" hidden="false" customHeight="false" outlineLevel="0" collapsed="false">
      <c r="A33" s="11"/>
      <c r="B33" s="9"/>
      <c r="C33" s="9"/>
      <c r="D33" s="9"/>
      <c r="E33" s="10"/>
      <c r="F33" s="9"/>
    </row>
    <row r="34" customFormat="false" ht="15" hidden="false" customHeight="false" outlineLevel="0" collapsed="false">
      <c r="A34" s="11"/>
      <c r="B34" s="9"/>
      <c r="C34" s="9"/>
      <c r="D34" s="9"/>
      <c r="E34" s="10"/>
      <c r="F34" s="9"/>
    </row>
    <row r="35" customFormat="false" ht="15" hidden="false" customHeight="false" outlineLevel="0" collapsed="false">
      <c r="A35" s="11"/>
      <c r="B35" s="9"/>
      <c r="C35" s="9"/>
      <c r="D35" s="9"/>
      <c r="E35" s="10"/>
      <c r="F35" s="9"/>
    </row>
    <row r="36" customFormat="false" ht="15" hidden="false" customHeight="false" outlineLevel="0" collapsed="false">
      <c r="A36" s="11"/>
      <c r="B36" s="9"/>
      <c r="C36" s="9"/>
      <c r="D36" s="9"/>
      <c r="E36" s="10"/>
      <c r="F36" s="9"/>
    </row>
    <row r="37" customFormat="false" ht="15" hidden="false" customHeight="false" outlineLevel="0" collapsed="false">
      <c r="A37" s="11"/>
      <c r="B37" s="9"/>
      <c r="C37" s="9"/>
      <c r="D37" s="9"/>
      <c r="E37" s="10"/>
      <c r="F37" s="9"/>
    </row>
    <row r="38" customFormat="false" ht="15" hidden="false" customHeight="false" outlineLevel="0" collapsed="false">
      <c r="A38" s="11"/>
      <c r="B38" s="9"/>
      <c r="C38" s="9"/>
      <c r="D38" s="9"/>
      <c r="E38" s="10"/>
      <c r="F38" s="9"/>
    </row>
    <row r="39" customFormat="false" ht="15" hidden="false" customHeight="false" outlineLevel="0" collapsed="false">
      <c r="A39" s="11"/>
      <c r="B39" s="9"/>
      <c r="C39" s="9"/>
      <c r="D39" s="9"/>
      <c r="E39" s="10"/>
      <c r="F39" s="9"/>
    </row>
    <row r="40" customFormat="false" ht="15" hidden="false" customHeight="false" outlineLevel="0" collapsed="false">
      <c r="A40" s="11"/>
      <c r="B40" s="9"/>
      <c r="C40" s="9"/>
      <c r="D40" s="9"/>
      <c r="E40" s="10"/>
      <c r="F40" s="9"/>
    </row>
    <row r="41" customFormat="false" ht="15" hidden="false" customHeight="false" outlineLevel="0" collapsed="false">
      <c r="A41" s="11"/>
      <c r="B41" s="9"/>
      <c r="C41" s="9"/>
      <c r="D41" s="9"/>
      <c r="E41" s="10"/>
      <c r="F41" s="9"/>
    </row>
    <row r="42" customFormat="false" ht="15" hidden="false" customHeight="false" outlineLevel="0" collapsed="false">
      <c r="A42" s="11"/>
      <c r="B42" s="9"/>
      <c r="C42" s="9"/>
      <c r="D42" s="9"/>
      <c r="E42" s="10"/>
      <c r="F42" s="9"/>
    </row>
    <row r="43" customFormat="false" ht="15" hidden="false" customHeight="false" outlineLevel="0" collapsed="false">
      <c r="A43" s="11"/>
      <c r="B43" s="9"/>
      <c r="C43" s="9"/>
      <c r="D43" s="9"/>
      <c r="E43" s="10"/>
      <c r="F43" s="9"/>
    </row>
    <row r="44" customFormat="false" ht="15" hidden="false" customHeight="false" outlineLevel="0" collapsed="false">
      <c r="A44" s="11"/>
      <c r="B44" s="9"/>
      <c r="C44" s="9"/>
      <c r="D44" s="9"/>
      <c r="E44" s="10"/>
      <c r="F44" s="9"/>
    </row>
    <row r="45" customFormat="false" ht="15" hidden="false" customHeight="false" outlineLevel="0" collapsed="false">
      <c r="A45" s="11"/>
      <c r="B45" s="9"/>
      <c r="C45" s="9"/>
      <c r="D45" s="9"/>
      <c r="E45" s="10"/>
      <c r="F45" s="9"/>
    </row>
    <row r="46" customFormat="false" ht="15" hidden="false" customHeight="false" outlineLevel="0" collapsed="false">
      <c r="A46" s="11"/>
      <c r="B46" s="9"/>
      <c r="C46" s="9"/>
      <c r="D46" s="9"/>
      <c r="E46" s="10"/>
      <c r="F46" s="9"/>
    </row>
    <row r="47" customFormat="false" ht="15" hidden="false" customHeight="false" outlineLevel="0" collapsed="false">
      <c r="A47" s="11"/>
      <c r="B47" s="9"/>
      <c r="C47" s="9"/>
      <c r="D47" s="9"/>
      <c r="E47" s="10"/>
      <c r="F47" s="9"/>
    </row>
    <row r="48" customFormat="false" ht="15" hidden="false" customHeight="false" outlineLevel="0" collapsed="false">
      <c r="A48" s="11"/>
      <c r="B48" s="9"/>
      <c r="C48" s="9"/>
      <c r="D48" s="9"/>
      <c r="E48" s="10"/>
      <c r="F48" s="9"/>
    </row>
    <row r="49" customFormat="false" ht="15" hidden="false" customHeight="false" outlineLevel="0" collapsed="false">
      <c r="A49" s="11"/>
      <c r="B49" s="9"/>
      <c r="C49" s="9"/>
      <c r="D49" s="9"/>
      <c r="E49" s="10"/>
      <c r="F49" s="9"/>
    </row>
    <row r="50" customFormat="false" ht="15" hidden="false" customHeight="false" outlineLevel="0" collapsed="false">
      <c r="A50" s="11"/>
      <c r="B50" s="9"/>
      <c r="C50" s="9"/>
      <c r="D50" s="9"/>
      <c r="E50" s="10"/>
      <c r="F50" s="9"/>
    </row>
    <row r="51" customFormat="false" ht="15" hidden="false" customHeight="false" outlineLevel="0" collapsed="false">
      <c r="A51" s="11"/>
      <c r="B51" s="9"/>
      <c r="C51" s="9"/>
      <c r="D51" s="9"/>
      <c r="E51" s="10"/>
      <c r="F51" s="9"/>
    </row>
    <row r="52" customFormat="false" ht="15" hidden="false" customHeight="false" outlineLevel="0" collapsed="false">
      <c r="A52" s="11"/>
      <c r="B52" s="9"/>
      <c r="C52" s="9"/>
      <c r="D52" s="9"/>
      <c r="E52" s="10"/>
      <c r="F52" s="9"/>
    </row>
    <row r="53" customFormat="false" ht="15" hidden="false" customHeight="false" outlineLevel="0" collapsed="false">
      <c r="A53" s="11"/>
      <c r="B53" s="9"/>
      <c r="C53" s="9"/>
      <c r="D53" s="9"/>
      <c r="E53" s="10"/>
      <c r="F53" s="9"/>
    </row>
    <row r="54" customFormat="false" ht="15" hidden="false" customHeight="false" outlineLevel="0" collapsed="false">
      <c r="A54" s="11"/>
      <c r="B54" s="9"/>
      <c r="C54" s="9"/>
      <c r="D54" s="9"/>
      <c r="E54" s="10"/>
      <c r="F54" s="9"/>
    </row>
    <row r="55" customFormat="false" ht="15" hidden="false" customHeight="false" outlineLevel="0" collapsed="false">
      <c r="A55" s="11"/>
      <c r="B55" s="9"/>
      <c r="C55" s="9"/>
      <c r="D55" s="9"/>
      <c r="E55" s="10"/>
      <c r="F55" s="9"/>
    </row>
    <row r="56" customFormat="false" ht="15" hidden="false" customHeight="false" outlineLevel="0" collapsed="false">
      <c r="A56" s="11"/>
      <c r="B56" s="9"/>
      <c r="C56" s="9"/>
      <c r="D56" s="9"/>
      <c r="E56" s="10"/>
      <c r="F56" s="9"/>
    </row>
    <row r="57" customFormat="false" ht="15" hidden="false" customHeight="false" outlineLevel="0" collapsed="false">
      <c r="A57" s="11"/>
      <c r="B57" s="9"/>
      <c r="C57" s="9"/>
      <c r="D57" s="9"/>
      <c r="E57" s="10"/>
      <c r="F57" s="9"/>
    </row>
    <row r="58" customFormat="false" ht="15" hidden="false" customHeight="false" outlineLevel="0" collapsed="false">
      <c r="A58" s="11"/>
      <c r="B58" s="9"/>
      <c r="C58" s="9"/>
      <c r="D58" s="9"/>
      <c r="E58" s="10"/>
      <c r="F58" s="9"/>
    </row>
    <row r="59" customFormat="false" ht="15" hidden="false" customHeight="false" outlineLevel="0" collapsed="false">
      <c r="A59" s="11"/>
      <c r="B59" s="9"/>
      <c r="C59" s="9"/>
      <c r="D59" s="9"/>
      <c r="E59" s="10"/>
      <c r="F59" s="9"/>
    </row>
    <row r="60" customFormat="false" ht="15" hidden="false" customHeight="false" outlineLevel="0" collapsed="false">
      <c r="A60" s="11"/>
      <c r="B60" s="9"/>
      <c r="C60" s="9"/>
      <c r="D60" s="9"/>
      <c r="E60" s="10"/>
      <c r="F60" s="9"/>
    </row>
    <row r="61" customFormat="false" ht="15" hidden="false" customHeight="false" outlineLevel="0" collapsed="false">
      <c r="A61" s="11"/>
      <c r="B61" s="9"/>
      <c r="C61" s="9"/>
      <c r="D61" s="9"/>
      <c r="E61" s="10"/>
      <c r="F61" s="9"/>
    </row>
    <row r="62" customFormat="false" ht="15" hidden="false" customHeight="false" outlineLevel="0" collapsed="false">
      <c r="A62" s="11"/>
      <c r="B62" s="9"/>
      <c r="C62" s="9"/>
      <c r="D62" s="9"/>
      <c r="E62" s="10"/>
      <c r="F62" s="9"/>
    </row>
    <row r="63" customFormat="false" ht="15" hidden="false" customHeight="false" outlineLevel="0" collapsed="false">
      <c r="A63" s="11"/>
      <c r="B63" s="9"/>
      <c r="C63" s="9"/>
      <c r="D63" s="9"/>
      <c r="E63" s="10"/>
      <c r="F63" s="9"/>
    </row>
    <row r="64" customFormat="false" ht="15" hidden="false" customHeight="false" outlineLevel="0" collapsed="false">
      <c r="A64" s="11"/>
      <c r="B64" s="9"/>
      <c r="C64" s="9"/>
      <c r="D64" s="9"/>
      <c r="E64" s="10"/>
      <c r="F64" s="9"/>
    </row>
    <row r="65" customFormat="false" ht="15" hidden="false" customHeight="false" outlineLevel="0" collapsed="false">
      <c r="A65" s="11"/>
      <c r="B65" s="9"/>
      <c r="C65" s="9"/>
      <c r="D65" s="9"/>
      <c r="E65" s="10"/>
      <c r="F65" s="9"/>
    </row>
    <row r="66" customFormat="false" ht="15" hidden="false" customHeight="false" outlineLevel="0" collapsed="false">
      <c r="A66" s="11"/>
      <c r="B66" s="9"/>
      <c r="C66" s="9"/>
      <c r="D66" s="9"/>
      <c r="E66" s="10"/>
      <c r="F66" s="9"/>
    </row>
    <row r="67" customFormat="false" ht="15" hidden="false" customHeight="false" outlineLevel="0" collapsed="false">
      <c r="A67" s="11"/>
      <c r="B67" s="9"/>
      <c r="C67" s="9"/>
      <c r="D67" s="9"/>
      <c r="E67" s="10"/>
      <c r="F67" s="9"/>
    </row>
    <row r="68" customFormat="false" ht="15" hidden="false" customHeight="false" outlineLevel="0" collapsed="false">
      <c r="A68" s="11"/>
      <c r="B68" s="9"/>
      <c r="C68" s="9"/>
      <c r="D68" s="9"/>
      <c r="E68" s="10"/>
      <c r="F68" s="9"/>
    </row>
    <row r="69" customFormat="false" ht="15" hidden="false" customHeight="false" outlineLevel="0" collapsed="false">
      <c r="A69" s="11"/>
      <c r="B69" s="9"/>
      <c r="C69" s="9"/>
      <c r="D69" s="9"/>
      <c r="E69" s="10"/>
      <c r="F69" s="9"/>
    </row>
    <row r="70" customFormat="false" ht="15" hidden="false" customHeight="false" outlineLevel="0" collapsed="false">
      <c r="A70" s="11"/>
      <c r="B70" s="9"/>
      <c r="C70" s="9"/>
      <c r="D70" s="9"/>
      <c r="E70" s="10"/>
      <c r="F70" s="9"/>
    </row>
    <row r="71" customFormat="false" ht="15" hidden="false" customHeight="false" outlineLevel="0" collapsed="false">
      <c r="A71" s="11"/>
      <c r="B71" s="9"/>
      <c r="C71" s="9"/>
      <c r="D71" s="9"/>
      <c r="E71" s="10"/>
      <c r="F71" s="9"/>
    </row>
    <row r="72" customFormat="false" ht="15" hidden="false" customHeight="false" outlineLevel="0" collapsed="false">
      <c r="A72" s="11"/>
      <c r="B72" s="9"/>
      <c r="C72" s="9"/>
      <c r="D72" s="9"/>
      <c r="E72" s="10"/>
      <c r="F72" s="9"/>
    </row>
    <row r="73" customFormat="false" ht="15" hidden="false" customHeight="false" outlineLevel="0" collapsed="false">
      <c r="A73" s="11"/>
      <c r="B73" s="9"/>
      <c r="C73" s="9"/>
      <c r="D73" s="9"/>
      <c r="E73" s="10"/>
      <c r="F73" s="9"/>
    </row>
    <row r="74" customFormat="false" ht="15" hidden="false" customHeight="false" outlineLevel="0" collapsed="false">
      <c r="A74" s="11"/>
      <c r="B74" s="9"/>
      <c r="C74" s="9"/>
      <c r="D74" s="9"/>
      <c r="E74" s="10"/>
      <c r="F74" s="9"/>
    </row>
    <row r="75" customFormat="false" ht="15" hidden="false" customHeight="false" outlineLevel="0" collapsed="false">
      <c r="A75" s="11"/>
      <c r="B75" s="9"/>
      <c r="C75" s="9"/>
      <c r="D75" s="9"/>
      <c r="E75" s="10"/>
      <c r="F75" s="9"/>
    </row>
    <row r="76" customFormat="false" ht="15" hidden="false" customHeight="false" outlineLevel="0" collapsed="false">
      <c r="A76" s="11"/>
      <c r="B76" s="9"/>
      <c r="C76" s="9"/>
      <c r="D76" s="9"/>
      <c r="E76" s="10"/>
      <c r="F76" s="9"/>
    </row>
    <row r="77" customFormat="false" ht="15" hidden="false" customHeight="false" outlineLevel="0" collapsed="false">
      <c r="A77" s="11"/>
      <c r="B77" s="9"/>
      <c r="C77" s="9"/>
      <c r="D77" s="9"/>
      <c r="E77" s="10"/>
      <c r="F77" s="9"/>
    </row>
    <row r="78" customFormat="false" ht="15" hidden="false" customHeight="false" outlineLevel="0" collapsed="false">
      <c r="A78" s="11"/>
      <c r="B78" s="9"/>
      <c r="C78" s="9"/>
      <c r="D78" s="9"/>
      <c r="E78" s="10"/>
      <c r="F78" s="9"/>
    </row>
    <row r="79" customFormat="false" ht="15" hidden="false" customHeight="false" outlineLevel="0" collapsed="false">
      <c r="A79" s="11"/>
      <c r="B79" s="9"/>
      <c r="C79" s="9"/>
      <c r="D79" s="9"/>
      <c r="E79" s="10"/>
      <c r="F79" s="9"/>
    </row>
    <row r="80" customFormat="false" ht="15" hidden="false" customHeight="false" outlineLevel="0" collapsed="false">
      <c r="A80" s="11"/>
      <c r="B80" s="9"/>
      <c r="C80" s="9"/>
      <c r="D80" s="9"/>
      <c r="E80" s="10"/>
      <c r="F80" s="9"/>
    </row>
    <row r="81" customFormat="false" ht="15" hidden="false" customHeight="false" outlineLevel="0" collapsed="false">
      <c r="A81" s="11"/>
      <c r="B81" s="9"/>
      <c r="C81" s="9"/>
      <c r="D81" s="9"/>
      <c r="E81" s="10"/>
      <c r="F81" s="9"/>
    </row>
    <row r="82" customFormat="false" ht="15" hidden="false" customHeight="false" outlineLevel="0" collapsed="false">
      <c r="A82" s="11"/>
      <c r="B82" s="9"/>
      <c r="C82" s="9"/>
      <c r="D82" s="9"/>
      <c r="E82" s="10"/>
      <c r="F82" s="9"/>
    </row>
    <row r="83" customFormat="false" ht="15" hidden="false" customHeight="false" outlineLevel="0" collapsed="false">
      <c r="A83" s="11"/>
      <c r="B83" s="9"/>
      <c r="C83" s="9"/>
      <c r="D83" s="9"/>
      <c r="E83" s="10"/>
      <c r="F83" s="9"/>
    </row>
    <row r="84" customFormat="false" ht="15" hidden="false" customHeight="false" outlineLevel="0" collapsed="false">
      <c r="A84" s="11"/>
      <c r="B84" s="9"/>
      <c r="C84" s="9"/>
      <c r="D84" s="9"/>
      <c r="E84" s="10"/>
      <c r="F84" s="9"/>
    </row>
    <row r="85" customFormat="false" ht="15" hidden="false" customHeight="false" outlineLevel="0" collapsed="false">
      <c r="A85" s="11"/>
      <c r="B85" s="9"/>
      <c r="C85" s="9"/>
      <c r="D85" s="9"/>
      <c r="E85" s="10"/>
      <c r="F85" s="9"/>
    </row>
    <row r="86" customFormat="false" ht="15" hidden="false" customHeight="false" outlineLevel="0" collapsed="false">
      <c r="A86" s="11"/>
      <c r="B86" s="9"/>
      <c r="C86" s="9"/>
      <c r="D86" s="9"/>
      <c r="E86" s="10"/>
      <c r="F86" s="9"/>
    </row>
    <row r="87" customFormat="false" ht="15" hidden="false" customHeight="false" outlineLevel="0" collapsed="false">
      <c r="A87" s="11"/>
      <c r="B87" s="9"/>
      <c r="C87" s="9"/>
      <c r="D87" s="9"/>
      <c r="E87" s="10"/>
      <c r="F87" s="9"/>
    </row>
    <row r="88" customFormat="false" ht="15" hidden="false" customHeight="false" outlineLevel="0" collapsed="false">
      <c r="A88" s="11"/>
      <c r="B88" s="9"/>
      <c r="C88" s="9"/>
      <c r="D88" s="9"/>
      <c r="E88" s="10"/>
      <c r="F88" s="9"/>
    </row>
    <row r="89" customFormat="false" ht="15" hidden="false" customHeight="false" outlineLevel="0" collapsed="false">
      <c r="A89" s="11"/>
      <c r="B89" s="9"/>
      <c r="C89" s="9"/>
      <c r="D89" s="9"/>
      <c r="E89" s="10"/>
      <c r="F89" s="9"/>
    </row>
    <row r="90" customFormat="false" ht="15" hidden="false" customHeight="false" outlineLevel="0" collapsed="false">
      <c r="A90" s="11"/>
      <c r="B90" s="9"/>
      <c r="C90" s="9"/>
      <c r="D90" s="9"/>
      <c r="E90" s="10"/>
      <c r="F90" s="9"/>
    </row>
    <row r="91" customFormat="false" ht="15" hidden="false" customHeight="false" outlineLevel="0" collapsed="false">
      <c r="A91" s="11"/>
      <c r="B91" s="9"/>
      <c r="C91" s="9"/>
      <c r="D91" s="9"/>
      <c r="E91" s="10"/>
      <c r="F91" s="9"/>
    </row>
    <row r="92" customFormat="false" ht="15" hidden="false" customHeight="false" outlineLevel="0" collapsed="false">
      <c r="A92" s="11"/>
      <c r="B92" s="9"/>
      <c r="C92" s="9"/>
      <c r="D92" s="9"/>
      <c r="E92" s="10"/>
      <c r="F92" s="9"/>
    </row>
    <row r="93" customFormat="false" ht="15" hidden="false" customHeight="false" outlineLevel="0" collapsed="false">
      <c r="A93" s="11"/>
      <c r="B93" s="9"/>
      <c r="C93" s="9"/>
      <c r="D93" s="9"/>
      <c r="E93" s="10"/>
      <c r="F93" s="9"/>
    </row>
    <row r="94" customFormat="false" ht="15" hidden="false" customHeight="false" outlineLevel="0" collapsed="false">
      <c r="A94" s="11"/>
      <c r="B94" s="9"/>
      <c r="C94" s="9"/>
      <c r="D94" s="9"/>
      <c r="E94" s="10"/>
      <c r="F94" s="9"/>
    </row>
    <row r="95" customFormat="false" ht="15" hidden="false" customHeight="false" outlineLevel="0" collapsed="false">
      <c r="A95" s="11"/>
      <c r="B95" s="9"/>
      <c r="C95" s="9"/>
      <c r="D95" s="9"/>
      <c r="E95" s="10"/>
      <c r="F95" s="9"/>
    </row>
    <row r="96" customFormat="false" ht="15" hidden="false" customHeight="false" outlineLevel="0" collapsed="false">
      <c r="A96" s="11"/>
      <c r="B96" s="9"/>
      <c r="C96" s="9"/>
      <c r="D96" s="9"/>
      <c r="E96" s="10"/>
      <c r="F96" s="9"/>
    </row>
    <row r="97" customFormat="false" ht="15" hidden="false" customHeight="false" outlineLevel="0" collapsed="false">
      <c r="A97" s="11"/>
      <c r="B97" s="9"/>
      <c r="C97" s="9"/>
      <c r="D97" s="9"/>
      <c r="E97" s="10"/>
      <c r="F97" s="9"/>
    </row>
    <row r="98" customFormat="false" ht="15" hidden="false" customHeight="false" outlineLevel="0" collapsed="false">
      <c r="A98" s="11"/>
      <c r="B98" s="9"/>
      <c r="C98" s="9"/>
      <c r="D98" s="9"/>
      <c r="E98" s="10"/>
      <c r="F98" s="9"/>
    </row>
    <row r="99" customFormat="false" ht="15" hidden="false" customHeight="false" outlineLevel="0" collapsed="false">
      <c r="A99" s="11"/>
      <c r="B99" s="9"/>
      <c r="C99" s="9"/>
      <c r="D99" s="9"/>
      <c r="E99" s="10"/>
      <c r="F99" s="9"/>
    </row>
    <row r="100" customFormat="false" ht="15" hidden="false" customHeight="false" outlineLevel="0" collapsed="false">
      <c r="A100" s="11"/>
      <c r="B100" s="9"/>
      <c r="C100" s="9"/>
      <c r="D100" s="9"/>
      <c r="E100" s="10"/>
      <c r="F100" s="9"/>
    </row>
    <row r="101" customFormat="false" ht="15" hidden="false" customHeight="false" outlineLevel="0" collapsed="false">
      <c r="A101" s="11"/>
      <c r="B101" s="9"/>
      <c r="C101" s="9"/>
      <c r="D101" s="9"/>
      <c r="E101" s="10"/>
      <c r="F101" s="9"/>
    </row>
    <row r="102" customFormat="false" ht="15" hidden="false" customHeight="false" outlineLevel="0" collapsed="false">
      <c r="A102" s="11"/>
      <c r="B102" s="9"/>
      <c r="C102" s="9"/>
      <c r="D102" s="9"/>
      <c r="E102" s="10"/>
      <c r="F102" s="9"/>
    </row>
    <row r="103" customFormat="false" ht="15" hidden="false" customHeight="false" outlineLevel="0" collapsed="false">
      <c r="A103" s="11"/>
      <c r="B103" s="9"/>
      <c r="C103" s="9"/>
      <c r="D103" s="9"/>
      <c r="E103" s="10"/>
      <c r="F103" s="9"/>
    </row>
    <row r="104" customFormat="false" ht="15" hidden="false" customHeight="false" outlineLevel="0" collapsed="false">
      <c r="A104" s="11"/>
      <c r="B104" s="9"/>
      <c r="C104" s="9"/>
      <c r="D104" s="9"/>
      <c r="E104" s="10"/>
      <c r="F104" s="9"/>
    </row>
    <row r="105" customFormat="false" ht="15" hidden="false" customHeight="false" outlineLevel="0" collapsed="false">
      <c r="A105" s="11"/>
      <c r="B105" s="9"/>
      <c r="C105" s="9"/>
      <c r="D105" s="9"/>
      <c r="E105" s="10"/>
      <c r="F105" s="9"/>
    </row>
    <row r="106" customFormat="false" ht="15" hidden="false" customHeight="false" outlineLevel="0" collapsed="false">
      <c r="A106" s="11"/>
      <c r="B106" s="9"/>
      <c r="C106" s="9"/>
      <c r="D106" s="9"/>
      <c r="E106" s="10"/>
      <c r="F106" s="9"/>
    </row>
    <row r="107" customFormat="false" ht="15" hidden="false" customHeight="false" outlineLevel="0" collapsed="false">
      <c r="A107" s="11"/>
      <c r="B107" s="9"/>
      <c r="C107" s="9"/>
      <c r="D107" s="9"/>
      <c r="E107" s="10"/>
      <c r="F107" s="9"/>
    </row>
    <row r="108" customFormat="false" ht="15" hidden="false" customHeight="false" outlineLevel="0" collapsed="false">
      <c r="A108" s="11"/>
      <c r="B108" s="9"/>
      <c r="C108" s="9"/>
      <c r="D108" s="9"/>
      <c r="E108" s="10"/>
      <c r="F108" s="9"/>
    </row>
    <row r="109" customFormat="false" ht="15" hidden="false" customHeight="false" outlineLevel="0" collapsed="false">
      <c r="A109" s="11"/>
      <c r="B109" s="9"/>
      <c r="C109" s="9"/>
      <c r="D109" s="9"/>
      <c r="E109" s="10"/>
      <c r="F109" s="9"/>
    </row>
    <row r="110" customFormat="false" ht="15" hidden="false" customHeight="false" outlineLevel="0" collapsed="false">
      <c r="A110" s="11"/>
      <c r="B110" s="9"/>
      <c r="C110" s="9"/>
      <c r="D110" s="9"/>
      <c r="E110" s="10"/>
      <c r="F110" s="9"/>
    </row>
    <row r="111" customFormat="false" ht="15" hidden="false" customHeight="false" outlineLevel="0" collapsed="false">
      <c r="A111" s="11"/>
      <c r="B111" s="9"/>
      <c r="C111" s="9"/>
      <c r="D111" s="9"/>
      <c r="E111" s="10"/>
      <c r="F111" s="9"/>
    </row>
    <row r="112" customFormat="false" ht="15" hidden="false" customHeight="false" outlineLevel="0" collapsed="false">
      <c r="A112" s="11"/>
      <c r="B112" s="9"/>
      <c r="C112" s="9"/>
      <c r="D112" s="9"/>
      <c r="E112" s="10"/>
      <c r="F112" s="9"/>
    </row>
    <row r="113" customFormat="false" ht="15" hidden="false" customHeight="false" outlineLevel="0" collapsed="false">
      <c r="A113" s="11"/>
      <c r="B113" s="9"/>
      <c r="C113" s="9"/>
      <c r="D113" s="9"/>
      <c r="E113" s="10"/>
      <c r="F113" s="9"/>
    </row>
    <row r="114" customFormat="false" ht="15" hidden="false" customHeight="false" outlineLevel="0" collapsed="false">
      <c r="A114" s="11"/>
      <c r="B114" s="9"/>
      <c r="C114" s="9"/>
      <c r="D114" s="9"/>
      <c r="E114" s="10"/>
      <c r="F114" s="9"/>
    </row>
    <row r="115" customFormat="false" ht="15" hidden="false" customHeight="false" outlineLevel="0" collapsed="false">
      <c r="A115" s="11"/>
      <c r="B115" s="9"/>
      <c r="C115" s="9"/>
      <c r="D115" s="9"/>
      <c r="E115" s="10"/>
      <c r="F115" s="9"/>
    </row>
    <row r="116" customFormat="false" ht="15" hidden="false" customHeight="false" outlineLevel="0" collapsed="false">
      <c r="A116" s="11"/>
      <c r="B116" s="9"/>
      <c r="C116" s="9"/>
      <c r="D116" s="9"/>
      <c r="E116" s="10"/>
      <c r="F116" s="9"/>
    </row>
    <row r="117" customFormat="false" ht="15" hidden="false" customHeight="false" outlineLevel="0" collapsed="false">
      <c r="A117" s="11"/>
      <c r="B117" s="9"/>
      <c r="C117" s="9"/>
      <c r="D117" s="9"/>
      <c r="E117" s="10"/>
      <c r="F117" s="9"/>
    </row>
    <row r="118" customFormat="false" ht="15" hidden="false" customHeight="false" outlineLevel="0" collapsed="false">
      <c r="A118" s="11"/>
      <c r="B118" s="9"/>
      <c r="C118" s="9"/>
      <c r="D118" s="9"/>
      <c r="E118" s="10"/>
      <c r="F118" s="9"/>
    </row>
    <row r="119" customFormat="false" ht="15" hidden="false" customHeight="false" outlineLevel="0" collapsed="false">
      <c r="A119" s="11"/>
      <c r="B119" s="9"/>
      <c r="C119" s="9"/>
      <c r="D119" s="9"/>
      <c r="E119" s="10"/>
      <c r="F119" s="9"/>
    </row>
    <row r="120" customFormat="false" ht="15" hidden="false" customHeight="false" outlineLevel="0" collapsed="false">
      <c r="A120" s="11"/>
      <c r="B120" s="9"/>
      <c r="C120" s="9"/>
      <c r="D120" s="9"/>
      <c r="E120" s="10"/>
      <c r="F120" s="9"/>
    </row>
    <row r="121" customFormat="false" ht="15" hidden="false" customHeight="false" outlineLevel="0" collapsed="false">
      <c r="A121" s="11"/>
      <c r="B121" s="9"/>
      <c r="C121" s="9"/>
      <c r="D121" s="9"/>
      <c r="E121" s="10"/>
      <c r="F121" s="9"/>
    </row>
    <row r="122" customFormat="false" ht="15" hidden="false" customHeight="false" outlineLevel="0" collapsed="false">
      <c r="A122" s="11"/>
      <c r="B122" s="9"/>
      <c r="C122" s="9"/>
      <c r="D122" s="9"/>
      <c r="E122" s="10"/>
      <c r="F122" s="9"/>
    </row>
    <row r="123" customFormat="false" ht="15" hidden="false" customHeight="false" outlineLevel="0" collapsed="false">
      <c r="A123" s="11"/>
      <c r="B123" s="9"/>
      <c r="C123" s="9"/>
      <c r="D123" s="9"/>
      <c r="E123" s="10"/>
      <c r="F123" s="9"/>
    </row>
    <row r="124" customFormat="false" ht="15" hidden="false" customHeight="false" outlineLevel="0" collapsed="false">
      <c r="A124" s="11"/>
      <c r="B124" s="9"/>
      <c r="C124" s="9"/>
      <c r="D124" s="9"/>
      <c r="E124" s="10"/>
      <c r="F124" s="9"/>
    </row>
    <row r="125" customFormat="false" ht="15" hidden="false" customHeight="false" outlineLevel="0" collapsed="false">
      <c r="A125" s="11"/>
      <c r="B125" s="9"/>
      <c r="C125" s="9"/>
      <c r="D125" s="9"/>
      <c r="E125" s="10"/>
      <c r="F125" s="9"/>
    </row>
    <row r="126" customFormat="false" ht="15" hidden="false" customHeight="false" outlineLevel="0" collapsed="false">
      <c r="A126" s="11"/>
      <c r="B126" s="9"/>
      <c r="C126" s="9"/>
      <c r="D126" s="9"/>
      <c r="E126" s="10"/>
      <c r="F126" s="9"/>
    </row>
    <row r="127" customFormat="false" ht="15" hidden="false" customHeight="false" outlineLevel="0" collapsed="false">
      <c r="A127" s="11"/>
      <c r="B127" s="9"/>
      <c r="C127" s="9"/>
      <c r="D127" s="9"/>
      <c r="E127" s="10"/>
      <c r="F127" s="9"/>
    </row>
    <row r="128" customFormat="false" ht="15" hidden="false" customHeight="false" outlineLevel="0" collapsed="false">
      <c r="A128" s="11"/>
      <c r="B128" s="9"/>
      <c r="C128" s="9"/>
      <c r="D128" s="9"/>
      <c r="E128" s="10"/>
      <c r="F128" s="9"/>
    </row>
    <row r="129" customFormat="false" ht="15" hidden="false" customHeight="false" outlineLevel="0" collapsed="false">
      <c r="A129" s="11"/>
      <c r="B129" s="9"/>
      <c r="C129" s="9"/>
      <c r="D129" s="9"/>
      <c r="E129" s="10"/>
      <c r="F129" s="9"/>
    </row>
    <row r="130" customFormat="false" ht="15" hidden="false" customHeight="false" outlineLevel="0" collapsed="false">
      <c r="A130" s="11"/>
      <c r="B130" s="9"/>
      <c r="C130" s="9"/>
      <c r="D130" s="9"/>
      <c r="E130" s="10"/>
      <c r="F130" s="9"/>
    </row>
    <row r="131" customFormat="false" ht="15" hidden="false" customHeight="false" outlineLevel="0" collapsed="false">
      <c r="A131" s="11"/>
      <c r="B131" s="9"/>
      <c r="C131" s="9"/>
      <c r="D131" s="9"/>
      <c r="E131" s="10"/>
      <c r="F131" s="9"/>
    </row>
    <row r="132" customFormat="false" ht="15" hidden="false" customHeight="false" outlineLevel="0" collapsed="false">
      <c r="A132" s="11"/>
      <c r="B132" s="9"/>
      <c r="C132" s="9"/>
      <c r="D132" s="9"/>
      <c r="E132" s="10"/>
      <c r="F132" s="9"/>
    </row>
    <row r="133" customFormat="false" ht="15" hidden="false" customHeight="false" outlineLevel="0" collapsed="false">
      <c r="A133" s="11"/>
      <c r="B133" s="9"/>
      <c r="C133" s="9"/>
      <c r="D133" s="9"/>
      <c r="E133" s="10"/>
      <c r="F133" s="9"/>
    </row>
    <row r="134" customFormat="false" ht="15" hidden="false" customHeight="false" outlineLevel="0" collapsed="false">
      <c r="A134" s="11"/>
      <c r="B134" s="9"/>
      <c r="C134" s="9"/>
      <c r="D134" s="9"/>
      <c r="E134" s="10"/>
      <c r="F134" s="9"/>
    </row>
    <row r="135" customFormat="false" ht="15" hidden="false" customHeight="false" outlineLevel="0" collapsed="false">
      <c r="A135" s="11"/>
      <c r="B135" s="9"/>
      <c r="C135" s="9"/>
      <c r="D135" s="9"/>
      <c r="E135" s="10"/>
      <c r="F135" s="9"/>
    </row>
    <row r="136" customFormat="false" ht="15" hidden="false" customHeight="false" outlineLevel="0" collapsed="false">
      <c r="A136" s="11"/>
      <c r="B136" s="9"/>
      <c r="C136" s="9"/>
      <c r="D136" s="9"/>
      <c r="E136" s="10"/>
      <c r="F136" s="9"/>
    </row>
    <row r="137" customFormat="false" ht="15" hidden="false" customHeight="false" outlineLevel="0" collapsed="false">
      <c r="A137" s="11"/>
      <c r="B137" s="9"/>
      <c r="C137" s="9"/>
      <c r="D137" s="9"/>
      <c r="E137" s="10"/>
      <c r="F137" s="9"/>
    </row>
    <row r="138" customFormat="false" ht="15" hidden="false" customHeight="false" outlineLevel="0" collapsed="false">
      <c r="A138" s="11"/>
      <c r="B138" s="9"/>
      <c r="C138" s="9"/>
      <c r="D138" s="9"/>
      <c r="E138" s="10"/>
      <c r="F138" s="9"/>
    </row>
    <row r="139" customFormat="false" ht="15" hidden="false" customHeight="false" outlineLevel="0" collapsed="false">
      <c r="A139" s="11"/>
      <c r="B139" s="9"/>
      <c r="C139" s="9"/>
      <c r="D139" s="9"/>
      <c r="E139" s="10"/>
      <c r="F139" s="9"/>
    </row>
    <row r="140" customFormat="false" ht="15" hidden="false" customHeight="false" outlineLevel="0" collapsed="false">
      <c r="A140" s="11"/>
      <c r="B140" s="9"/>
      <c r="C140" s="9"/>
      <c r="D140" s="9"/>
      <c r="E140" s="10"/>
      <c r="F140" s="9"/>
    </row>
    <row r="141" customFormat="false" ht="15" hidden="false" customHeight="false" outlineLevel="0" collapsed="false">
      <c r="A141" s="11"/>
      <c r="B141" s="9"/>
      <c r="C141" s="9"/>
      <c r="D141" s="9"/>
      <c r="E141" s="10"/>
      <c r="F141" s="9"/>
    </row>
    <row r="142" customFormat="false" ht="15" hidden="false" customHeight="false" outlineLevel="0" collapsed="false">
      <c r="A142" s="11"/>
      <c r="B142" s="9"/>
      <c r="C142" s="9"/>
      <c r="D142" s="9"/>
      <c r="E142" s="10"/>
      <c r="F142" s="9"/>
    </row>
    <row r="143" customFormat="false" ht="15" hidden="false" customHeight="false" outlineLevel="0" collapsed="false">
      <c r="A143" s="11"/>
      <c r="B143" s="9"/>
      <c r="C143" s="9"/>
      <c r="D143" s="9"/>
      <c r="E143" s="10"/>
      <c r="F143" s="9"/>
    </row>
    <row r="144" customFormat="false" ht="15" hidden="false" customHeight="false" outlineLevel="0" collapsed="false">
      <c r="A144" s="11"/>
      <c r="B144" s="9"/>
      <c r="C144" s="9"/>
      <c r="D144" s="9"/>
      <c r="E144" s="10"/>
      <c r="F144" s="9"/>
    </row>
    <row r="145" customFormat="false" ht="15" hidden="false" customHeight="false" outlineLevel="0" collapsed="false">
      <c r="A145" s="11"/>
      <c r="B145" s="9"/>
      <c r="C145" s="9"/>
      <c r="D145" s="9"/>
      <c r="E145" s="10"/>
      <c r="F145" s="9"/>
    </row>
    <row r="146" customFormat="false" ht="15" hidden="false" customHeight="false" outlineLevel="0" collapsed="false">
      <c r="A146" s="11"/>
      <c r="B146" s="9"/>
      <c r="C146" s="9"/>
      <c r="D146" s="9"/>
      <c r="E146" s="10"/>
      <c r="F146" s="9"/>
    </row>
    <row r="147" customFormat="false" ht="15" hidden="false" customHeight="false" outlineLevel="0" collapsed="false">
      <c r="A147" s="11"/>
      <c r="B147" s="9"/>
      <c r="C147" s="9"/>
      <c r="D147" s="9"/>
      <c r="E147" s="10"/>
      <c r="F147" s="9"/>
    </row>
    <row r="148" customFormat="false" ht="15" hidden="false" customHeight="false" outlineLevel="0" collapsed="false">
      <c r="A148" s="11"/>
      <c r="B148" s="9"/>
      <c r="C148" s="9"/>
      <c r="D148" s="9"/>
      <c r="E148" s="10"/>
      <c r="F148" s="9"/>
    </row>
    <row r="149" customFormat="false" ht="15" hidden="false" customHeight="false" outlineLevel="0" collapsed="false">
      <c r="A149" s="11"/>
      <c r="B149" s="9"/>
      <c r="C149" s="9"/>
      <c r="D149" s="9"/>
      <c r="E149" s="10"/>
      <c r="F149" s="9"/>
    </row>
    <row r="150" customFormat="false" ht="15" hidden="false" customHeight="false" outlineLevel="0" collapsed="false">
      <c r="A150" s="11"/>
      <c r="B150" s="9"/>
      <c r="C150" s="9"/>
      <c r="D150" s="9"/>
      <c r="E150" s="10"/>
      <c r="F150" s="9"/>
    </row>
    <row r="151" customFormat="false" ht="15" hidden="false" customHeight="false" outlineLevel="0" collapsed="false">
      <c r="A151" s="11"/>
      <c r="B151" s="9"/>
      <c r="C151" s="9"/>
      <c r="D151" s="9"/>
      <c r="E151" s="10"/>
      <c r="F151" s="9"/>
    </row>
    <row r="152" customFormat="false" ht="15" hidden="false" customHeight="false" outlineLevel="0" collapsed="false">
      <c r="A152" s="11"/>
      <c r="B152" s="9"/>
      <c r="C152" s="9"/>
      <c r="D152" s="9"/>
      <c r="E152" s="10"/>
      <c r="F152" s="9"/>
    </row>
    <row r="153" customFormat="false" ht="15" hidden="false" customHeight="false" outlineLevel="0" collapsed="false">
      <c r="A153" s="11"/>
      <c r="B153" s="9"/>
      <c r="C153" s="9"/>
      <c r="D153" s="9"/>
      <c r="E153" s="10"/>
      <c r="F153" s="9"/>
    </row>
    <row r="154" customFormat="false" ht="15" hidden="false" customHeight="false" outlineLevel="0" collapsed="false">
      <c r="A154" s="11"/>
      <c r="B154" s="9"/>
      <c r="C154" s="9"/>
      <c r="D154" s="9"/>
      <c r="E154" s="10"/>
      <c r="F154" s="9"/>
    </row>
    <row r="155" customFormat="false" ht="15" hidden="false" customHeight="false" outlineLevel="0" collapsed="false">
      <c r="A155" s="11"/>
      <c r="B155" s="9"/>
      <c r="C155" s="9"/>
      <c r="D155" s="9"/>
      <c r="E155" s="10"/>
      <c r="F155" s="9"/>
    </row>
    <row r="156" customFormat="false" ht="15" hidden="false" customHeight="false" outlineLevel="0" collapsed="false">
      <c r="A156" s="11"/>
      <c r="B156" s="9"/>
      <c r="C156" s="9"/>
      <c r="D156" s="9"/>
      <c r="E156" s="10"/>
      <c r="F156" s="9"/>
    </row>
    <row r="157" customFormat="false" ht="15" hidden="false" customHeight="false" outlineLevel="0" collapsed="false">
      <c r="A157" s="11"/>
      <c r="B157" s="9"/>
      <c r="C157" s="9"/>
      <c r="D157" s="9"/>
      <c r="E157" s="10"/>
      <c r="F157" s="9"/>
    </row>
    <row r="158" customFormat="false" ht="15" hidden="false" customHeight="false" outlineLevel="0" collapsed="false">
      <c r="A158" s="11"/>
      <c r="B158" s="9"/>
      <c r="C158" s="9"/>
      <c r="D158" s="9"/>
      <c r="E158" s="10"/>
      <c r="F158" s="9"/>
    </row>
    <row r="159" customFormat="false" ht="15" hidden="false" customHeight="false" outlineLevel="0" collapsed="false">
      <c r="A159" s="11"/>
      <c r="B159" s="9"/>
      <c r="C159" s="9"/>
      <c r="D159" s="9"/>
      <c r="E159" s="10"/>
      <c r="F159" s="9"/>
    </row>
    <row r="160" customFormat="false" ht="15" hidden="false" customHeight="false" outlineLevel="0" collapsed="false">
      <c r="A160" s="11"/>
      <c r="B160" s="9"/>
      <c r="C160" s="9"/>
      <c r="D160" s="9"/>
      <c r="E160" s="10"/>
      <c r="F160" s="9"/>
    </row>
    <row r="161" customFormat="false" ht="15" hidden="false" customHeight="false" outlineLevel="0" collapsed="false">
      <c r="A161" s="11"/>
      <c r="B161" s="9"/>
      <c r="C161" s="9"/>
      <c r="D161" s="9"/>
      <c r="E161" s="10"/>
      <c r="F161" s="9"/>
    </row>
    <row r="162" customFormat="false" ht="15" hidden="false" customHeight="false" outlineLevel="0" collapsed="false">
      <c r="A162" s="11"/>
      <c r="B162" s="9"/>
      <c r="C162" s="9"/>
      <c r="D162" s="9"/>
      <c r="E162" s="10"/>
      <c r="F162" s="9"/>
    </row>
    <row r="163" customFormat="false" ht="15" hidden="false" customHeight="false" outlineLevel="0" collapsed="false">
      <c r="A163" s="11"/>
      <c r="B163" s="9"/>
      <c r="C163" s="9"/>
      <c r="D163" s="9"/>
      <c r="E163" s="10"/>
      <c r="F163" s="9"/>
    </row>
    <row r="164" customFormat="false" ht="15" hidden="false" customHeight="false" outlineLevel="0" collapsed="false">
      <c r="A164" s="11"/>
      <c r="B164" s="9"/>
      <c r="C164" s="9"/>
      <c r="D164" s="9"/>
      <c r="E164" s="10"/>
      <c r="F164" s="9"/>
    </row>
    <row r="165" customFormat="false" ht="15" hidden="false" customHeight="false" outlineLevel="0" collapsed="false">
      <c r="A165" s="11"/>
      <c r="B165" s="9"/>
      <c r="C165" s="9"/>
      <c r="D165" s="9"/>
      <c r="E165" s="10"/>
      <c r="F165" s="9"/>
    </row>
    <row r="166" customFormat="false" ht="15" hidden="false" customHeight="false" outlineLevel="0" collapsed="false">
      <c r="A166" s="11"/>
      <c r="B166" s="9"/>
      <c r="C166" s="9"/>
      <c r="D166" s="9"/>
      <c r="E166" s="10"/>
      <c r="F166" s="9"/>
    </row>
    <row r="167" customFormat="false" ht="15" hidden="false" customHeight="false" outlineLevel="0" collapsed="false">
      <c r="A167" s="11"/>
      <c r="B167" s="9"/>
      <c r="C167" s="9"/>
      <c r="D167" s="9"/>
      <c r="E167" s="10"/>
      <c r="F167" s="9"/>
    </row>
    <row r="168" customFormat="false" ht="15" hidden="false" customHeight="false" outlineLevel="0" collapsed="false">
      <c r="A168" s="11"/>
      <c r="B168" s="9"/>
      <c r="C168" s="9"/>
      <c r="D168" s="9"/>
      <c r="E168" s="10"/>
      <c r="F168" s="9"/>
    </row>
    <row r="169" customFormat="false" ht="15" hidden="false" customHeight="false" outlineLevel="0" collapsed="false">
      <c r="A169" s="11"/>
      <c r="B169" s="9"/>
      <c r="C169" s="9"/>
      <c r="D169" s="9"/>
      <c r="E169" s="10"/>
      <c r="F169" s="9"/>
    </row>
    <row r="170" customFormat="false" ht="15" hidden="false" customHeight="false" outlineLevel="0" collapsed="false">
      <c r="A170" s="11"/>
      <c r="B170" s="9"/>
      <c r="C170" s="9"/>
      <c r="D170" s="9"/>
      <c r="E170" s="10"/>
      <c r="F170" s="9"/>
    </row>
    <row r="171" customFormat="false" ht="15" hidden="false" customHeight="false" outlineLevel="0" collapsed="false">
      <c r="A171" s="11"/>
      <c r="B171" s="9"/>
      <c r="C171" s="9"/>
      <c r="D171" s="9"/>
      <c r="E171" s="10"/>
      <c r="F171" s="9"/>
    </row>
    <row r="172" customFormat="false" ht="15" hidden="false" customHeight="false" outlineLevel="0" collapsed="false">
      <c r="A172" s="11"/>
      <c r="B172" s="9"/>
      <c r="C172" s="9"/>
      <c r="D172" s="9"/>
      <c r="E172" s="10"/>
      <c r="F172" s="9"/>
    </row>
    <row r="173" customFormat="false" ht="15" hidden="false" customHeight="false" outlineLevel="0" collapsed="false">
      <c r="A173" s="11"/>
      <c r="B173" s="9"/>
      <c r="C173" s="9"/>
      <c r="D173" s="9"/>
      <c r="E173" s="10"/>
      <c r="F173" s="9"/>
    </row>
    <row r="174" customFormat="false" ht="15" hidden="false" customHeight="false" outlineLevel="0" collapsed="false">
      <c r="A174" s="11"/>
      <c r="B174" s="9"/>
      <c r="C174" s="9"/>
      <c r="D174" s="9"/>
      <c r="E174" s="10"/>
      <c r="F174" s="9"/>
    </row>
    <row r="175" customFormat="false" ht="15" hidden="false" customHeight="false" outlineLevel="0" collapsed="false">
      <c r="A175" s="11"/>
      <c r="B175" s="9"/>
      <c r="C175" s="9"/>
      <c r="D175" s="9"/>
      <c r="E175" s="10"/>
      <c r="F175" s="9"/>
    </row>
    <row r="176" customFormat="false" ht="15" hidden="false" customHeight="false" outlineLevel="0" collapsed="false">
      <c r="A176" s="11"/>
      <c r="B176" s="9"/>
      <c r="C176" s="9"/>
      <c r="D176" s="9"/>
      <c r="E176" s="10"/>
      <c r="F176" s="9"/>
    </row>
    <row r="177" customFormat="false" ht="15" hidden="false" customHeight="false" outlineLevel="0" collapsed="false">
      <c r="A177" s="11"/>
      <c r="B177" s="9"/>
      <c r="C177" s="9"/>
      <c r="D177" s="9"/>
      <c r="E177" s="10"/>
      <c r="F177" s="9"/>
    </row>
    <row r="178" customFormat="false" ht="15" hidden="false" customHeight="false" outlineLevel="0" collapsed="false">
      <c r="A178" s="11"/>
      <c r="B178" s="9"/>
      <c r="C178" s="9"/>
      <c r="D178" s="9"/>
      <c r="E178" s="10"/>
      <c r="F178" s="9"/>
    </row>
    <row r="179" customFormat="false" ht="15" hidden="false" customHeight="false" outlineLevel="0" collapsed="false">
      <c r="A179" s="11"/>
      <c r="B179" s="9"/>
      <c r="C179" s="9"/>
      <c r="D179" s="9"/>
      <c r="E179" s="10"/>
      <c r="F179" s="9"/>
    </row>
    <row r="180" customFormat="false" ht="15" hidden="false" customHeight="false" outlineLevel="0" collapsed="false">
      <c r="A180" s="11"/>
      <c r="B180" s="9"/>
      <c r="C180" s="9"/>
      <c r="D180" s="9"/>
      <c r="E180" s="10"/>
      <c r="F180" s="9"/>
    </row>
    <row r="181" customFormat="false" ht="15" hidden="false" customHeight="false" outlineLevel="0" collapsed="false">
      <c r="A181" s="11"/>
      <c r="B181" s="9"/>
      <c r="C181" s="9"/>
      <c r="D181" s="9"/>
      <c r="E181" s="10"/>
      <c r="F181" s="9"/>
    </row>
    <row r="182" customFormat="false" ht="15" hidden="false" customHeight="false" outlineLevel="0" collapsed="false">
      <c r="A182" s="11"/>
      <c r="B182" s="9"/>
      <c r="C182" s="9"/>
      <c r="D182" s="9"/>
      <c r="E182" s="10"/>
      <c r="F182" s="9"/>
    </row>
    <row r="183" customFormat="false" ht="15" hidden="false" customHeight="false" outlineLevel="0" collapsed="false">
      <c r="A183" s="11"/>
      <c r="B183" s="9"/>
      <c r="C183" s="9"/>
      <c r="D183" s="9"/>
      <c r="E183" s="10"/>
      <c r="F183" s="9"/>
    </row>
    <row r="184" customFormat="false" ht="15" hidden="false" customHeight="false" outlineLevel="0" collapsed="false">
      <c r="A184" s="11"/>
      <c r="B184" s="9"/>
      <c r="C184" s="9"/>
      <c r="D184" s="9"/>
      <c r="E184" s="10"/>
      <c r="F184" s="9"/>
    </row>
    <row r="185" customFormat="false" ht="15" hidden="false" customHeight="false" outlineLevel="0" collapsed="false">
      <c r="A185" s="11"/>
      <c r="B185" s="9"/>
      <c r="C185" s="9"/>
      <c r="D185" s="9"/>
      <c r="E185" s="10"/>
      <c r="F185" s="9"/>
    </row>
    <row r="186" customFormat="false" ht="15" hidden="false" customHeight="false" outlineLevel="0" collapsed="false">
      <c r="A186" s="11"/>
      <c r="B186" s="9"/>
      <c r="C186" s="9"/>
      <c r="D186" s="9"/>
      <c r="E186" s="10"/>
      <c r="F186" s="9"/>
    </row>
    <row r="187" customFormat="false" ht="15" hidden="false" customHeight="false" outlineLevel="0" collapsed="false">
      <c r="A187" s="11"/>
      <c r="B187" s="9"/>
      <c r="C187" s="9"/>
      <c r="D187" s="9"/>
      <c r="E187" s="10"/>
      <c r="F187" s="9"/>
    </row>
    <row r="188" customFormat="false" ht="15" hidden="false" customHeight="false" outlineLevel="0" collapsed="false">
      <c r="A188" s="11"/>
      <c r="B188" s="9"/>
      <c r="C188" s="9"/>
      <c r="D188" s="9"/>
      <c r="E188" s="10"/>
      <c r="F188" s="9"/>
    </row>
    <row r="189" customFormat="false" ht="15" hidden="false" customHeight="false" outlineLevel="0" collapsed="false">
      <c r="A189" s="11"/>
      <c r="B189" s="9"/>
      <c r="C189" s="9"/>
      <c r="D189" s="9"/>
      <c r="E189" s="10"/>
      <c r="F189" s="9"/>
    </row>
    <row r="190" customFormat="false" ht="15" hidden="false" customHeight="false" outlineLevel="0" collapsed="false">
      <c r="A190" s="11"/>
      <c r="B190" s="9"/>
      <c r="C190" s="9"/>
      <c r="D190" s="9"/>
      <c r="E190" s="10"/>
      <c r="F190" s="9"/>
    </row>
    <row r="191" customFormat="false" ht="15" hidden="false" customHeight="false" outlineLevel="0" collapsed="false">
      <c r="A191" s="11"/>
      <c r="B191" s="9"/>
      <c r="C191" s="9"/>
      <c r="D191" s="9"/>
      <c r="E191" s="10"/>
      <c r="F191" s="9"/>
    </row>
    <row r="192" customFormat="false" ht="15" hidden="false" customHeight="false" outlineLevel="0" collapsed="false">
      <c r="A192" s="11"/>
      <c r="B192" s="9"/>
      <c r="C192" s="9"/>
      <c r="D192" s="9"/>
      <c r="E192" s="10"/>
      <c r="F192" s="9"/>
    </row>
    <row r="193" customFormat="false" ht="15" hidden="false" customHeight="false" outlineLevel="0" collapsed="false">
      <c r="A193" s="11"/>
      <c r="B193" s="9"/>
      <c r="C193" s="9"/>
      <c r="D193" s="9"/>
      <c r="E193" s="10"/>
      <c r="F193" s="9"/>
    </row>
    <row r="194" customFormat="false" ht="15" hidden="false" customHeight="false" outlineLevel="0" collapsed="false">
      <c r="A194" s="11"/>
      <c r="B194" s="9"/>
      <c r="C194" s="9"/>
      <c r="D194" s="9"/>
      <c r="E194" s="10"/>
      <c r="F194" s="9"/>
    </row>
    <row r="195" customFormat="false" ht="15" hidden="false" customHeight="false" outlineLevel="0" collapsed="false">
      <c r="A195" s="11"/>
      <c r="B195" s="9"/>
      <c r="C195" s="9"/>
      <c r="D195" s="9"/>
      <c r="E195" s="10"/>
      <c r="F195" s="9"/>
    </row>
    <row r="196" customFormat="false" ht="15" hidden="false" customHeight="false" outlineLevel="0" collapsed="false">
      <c r="A196" s="11"/>
      <c r="B196" s="9"/>
      <c r="C196" s="9"/>
      <c r="D196" s="9"/>
      <c r="E196" s="10"/>
      <c r="F196" s="9"/>
    </row>
    <row r="197" customFormat="false" ht="15" hidden="false" customHeight="false" outlineLevel="0" collapsed="false">
      <c r="A197" s="11"/>
      <c r="B197" s="9"/>
      <c r="C197" s="9"/>
      <c r="D197" s="9"/>
      <c r="E197" s="10"/>
      <c r="F197" s="9"/>
    </row>
    <row r="198" customFormat="false" ht="15" hidden="false" customHeight="false" outlineLevel="0" collapsed="false">
      <c r="A198" s="11"/>
      <c r="B198" s="9"/>
      <c r="C198" s="9"/>
      <c r="D198" s="9"/>
      <c r="E198" s="10"/>
      <c r="F198" s="9"/>
    </row>
    <row r="199" customFormat="false" ht="15" hidden="false" customHeight="false" outlineLevel="0" collapsed="false">
      <c r="A199" s="11"/>
      <c r="B199" s="9"/>
      <c r="C199" s="9"/>
      <c r="D199" s="9"/>
      <c r="E199" s="10"/>
      <c r="F199" s="9"/>
    </row>
    <row r="200" customFormat="false" ht="15" hidden="false" customHeight="false" outlineLevel="0" collapsed="false">
      <c r="A200" s="11"/>
      <c r="B200" s="9"/>
      <c r="C200" s="9"/>
      <c r="D200" s="9"/>
      <c r="E200" s="10"/>
      <c r="F200" s="9"/>
    </row>
    <row r="201" customFormat="false" ht="15" hidden="false" customHeight="false" outlineLevel="0" collapsed="false">
      <c r="A201" s="11"/>
      <c r="B201" s="9"/>
      <c r="C201" s="9"/>
      <c r="D201" s="9"/>
      <c r="E201" s="10"/>
      <c r="F201" s="9"/>
    </row>
    <row r="202" customFormat="false" ht="15" hidden="false" customHeight="false" outlineLevel="0" collapsed="false">
      <c r="A202" s="11"/>
      <c r="B202" s="9"/>
      <c r="C202" s="9"/>
      <c r="D202" s="9"/>
      <c r="E202" s="10"/>
      <c r="F202" s="9"/>
    </row>
    <row r="203" customFormat="false" ht="15" hidden="false" customHeight="false" outlineLevel="0" collapsed="false">
      <c r="A203" s="11"/>
      <c r="B203" s="9"/>
      <c r="C203" s="9"/>
      <c r="D203" s="9"/>
      <c r="E203" s="10"/>
      <c r="F203" s="9"/>
    </row>
    <row r="204" customFormat="false" ht="15" hidden="false" customHeight="false" outlineLevel="0" collapsed="false">
      <c r="A204" s="11"/>
      <c r="B204" s="9"/>
      <c r="C204" s="9"/>
      <c r="D204" s="9"/>
      <c r="E204" s="10"/>
      <c r="F204" s="9"/>
    </row>
    <row r="205" customFormat="false" ht="15" hidden="false" customHeight="false" outlineLevel="0" collapsed="false">
      <c r="A205" s="11"/>
      <c r="B205" s="9"/>
      <c r="C205" s="9"/>
      <c r="D205" s="9"/>
      <c r="E205" s="10"/>
      <c r="F205" s="9"/>
    </row>
    <row r="206" customFormat="false" ht="15" hidden="false" customHeight="false" outlineLevel="0" collapsed="false">
      <c r="A206" s="11"/>
      <c r="B206" s="9"/>
      <c r="C206" s="9"/>
      <c r="D206" s="9"/>
      <c r="E206" s="10"/>
      <c r="F206" s="9"/>
    </row>
    <row r="207" customFormat="false" ht="15" hidden="false" customHeight="false" outlineLevel="0" collapsed="false">
      <c r="A207" s="11"/>
      <c r="B207" s="9"/>
      <c r="C207" s="9"/>
      <c r="D207" s="9"/>
      <c r="E207" s="10"/>
      <c r="F207" s="9"/>
    </row>
    <row r="208" customFormat="false" ht="15" hidden="false" customHeight="false" outlineLevel="0" collapsed="false">
      <c r="A208" s="11"/>
      <c r="B208" s="9"/>
      <c r="C208" s="9"/>
      <c r="D208" s="9"/>
      <c r="E208" s="10"/>
      <c r="F208" s="9"/>
    </row>
    <row r="209" customFormat="false" ht="15" hidden="false" customHeight="false" outlineLevel="0" collapsed="false">
      <c r="A209" s="11"/>
      <c r="B209" s="9"/>
      <c r="C209" s="9"/>
      <c r="D209" s="9"/>
      <c r="E209" s="10"/>
      <c r="F209" s="9"/>
    </row>
    <row r="210" customFormat="false" ht="15" hidden="false" customHeight="false" outlineLevel="0" collapsed="false">
      <c r="A210" s="11"/>
      <c r="B210" s="9"/>
      <c r="C210" s="9"/>
      <c r="D210" s="9"/>
      <c r="E210" s="10"/>
      <c r="F210" s="9"/>
    </row>
    <row r="211" customFormat="false" ht="15" hidden="false" customHeight="false" outlineLevel="0" collapsed="false">
      <c r="A211" s="11"/>
      <c r="B211" s="9"/>
      <c r="C211" s="9"/>
      <c r="D211" s="9"/>
      <c r="E211" s="10"/>
      <c r="F211" s="9"/>
    </row>
    <row r="212" customFormat="false" ht="15" hidden="false" customHeight="false" outlineLevel="0" collapsed="false">
      <c r="A212" s="11"/>
      <c r="B212" s="9"/>
      <c r="C212" s="9"/>
      <c r="D212" s="9"/>
      <c r="E212" s="10"/>
      <c r="F212" s="9"/>
    </row>
    <row r="213" customFormat="false" ht="15" hidden="false" customHeight="false" outlineLevel="0" collapsed="false">
      <c r="A213" s="11"/>
      <c r="B213" s="9"/>
      <c r="C213" s="9"/>
      <c r="D213" s="9"/>
      <c r="E213" s="10"/>
      <c r="F213" s="9"/>
    </row>
    <row r="214" customFormat="false" ht="15" hidden="false" customHeight="false" outlineLevel="0" collapsed="false">
      <c r="A214" s="11"/>
      <c r="B214" s="9"/>
      <c r="C214" s="9"/>
      <c r="D214" s="9"/>
      <c r="E214" s="10"/>
      <c r="F214" s="9"/>
    </row>
    <row r="215" customFormat="false" ht="15" hidden="false" customHeight="false" outlineLevel="0" collapsed="false">
      <c r="A215" s="11"/>
      <c r="B215" s="9"/>
      <c r="C215" s="9"/>
      <c r="D215" s="9"/>
      <c r="E215" s="10"/>
      <c r="F215" s="9"/>
    </row>
    <row r="216" customFormat="false" ht="15" hidden="false" customHeight="false" outlineLevel="0" collapsed="false">
      <c r="A216" s="11"/>
      <c r="B216" s="9"/>
      <c r="C216" s="9"/>
      <c r="D216" s="9"/>
      <c r="E216" s="10"/>
      <c r="F216" s="9"/>
    </row>
    <row r="217" customFormat="false" ht="15" hidden="false" customHeight="false" outlineLevel="0" collapsed="false">
      <c r="A217" s="11"/>
      <c r="B217" s="9"/>
      <c r="C217" s="9"/>
      <c r="D217" s="9"/>
      <c r="E217" s="10"/>
      <c r="F217" s="9"/>
    </row>
    <row r="218" customFormat="false" ht="15" hidden="false" customHeight="false" outlineLevel="0" collapsed="false">
      <c r="A218" s="11"/>
      <c r="B218" s="9"/>
      <c r="C218" s="9"/>
      <c r="D218" s="9"/>
      <c r="E218" s="10"/>
      <c r="F218" s="9"/>
    </row>
    <row r="219" customFormat="false" ht="15" hidden="false" customHeight="false" outlineLevel="0" collapsed="false">
      <c r="A219" s="11"/>
      <c r="B219" s="9"/>
      <c r="C219" s="9"/>
      <c r="D219" s="9"/>
      <c r="E219" s="10"/>
      <c r="F219" s="9"/>
    </row>
    <row r="220" customFormat="false" ht="15" hidden="false" customHeight="false" outlineLevel="0" collapsed="false">
      <c r="A220" s="11"/>
      <c r="B220" s="9"/>
      <c r="C220" s="9"/>
      <c r="D220" s="9"/>
      <c r="E220" s="10"/>
      <c r="F220" s="9"/>
    </row>
    <row r="221" customFormat="false" ht="15" hidden="false" customHeight="false" outlineLevel="0" collapsed="false">
      <c r="A221" s="11"/>
      <c r="B221" s="9"/>
      <c r="C221" s="9"/>
      <c r="D221" s="9"/>
      <c r="E221" s="10"/>
      <c r="F221" s="9"/>
    </row>
    <row r="222" customFormat="false" ht="15" hidden="false" customHeight="false" outlineLevel="0" collapsed="false">
      <c r="A222" s="11"/>
      <c r="B222" s="9"/>
      <c r="C222" s="9"/>
      <c r="D222" s="9"/>
      <c r="E222" s="10"/>
      <c r="F222" s="9"/>
    </row>
    <row r="223" customFormat="false" ht="15" hidden="false" customHeight="false" outlineLevel="0" collapsed="false">
      <c r="A223" s="11"/>
      <c r="B223" s="9"/>
      <c r="C223" s="9"/>
      <c r="D223" s="9"/>
      <c r="E223" s="10"/>
      <c r="F223" s="9"/>
    </row>
    <row r="224" customFormat="false" ht="15" hidden="false" customHeight="false" outlineLevel="0" collapsed="false">
      <c r="A224" s="11"/>
      <c r="B224" s="9"/>
      <c r="C224" s="9"/>
      <c r="D224" s="9"/>
      <c r="E224" s="10"/>
      <c r="F224" s="9"/>
    </row>
    <row r="225" customFormat="false" ht="15" hidden="false" customHeight="false" outlineLevel="0" collapsed="false">
      <c r="A225" s="11"/>
      <c r="B225" s="9"/>
      <c r="C225" s="9"/>
      <c r="D225" s="9"/>
      <c r="E225" s="10"/>
      <c r="F225" s="9"/>
    </row>
    <row r="226" customFormat="false" ht="15" hidden="false" customHeight="false" outlineLevel="0" collapsed="false">
      <c r="A226" s="11"/>
      <c r="B226" s="9"/>
      <c r="C226" s="9"/>
      <c r="D226" s="9"/>
      <c r="E226" s="10"/>
      <c r="F226" s="9"/>
    </row>
    <row r="227" customFormat="false" ht="15" hidden="false" customHeight="false" outlineLevel="0" collapsed="false">
      <c r="A227" s="11"/>
      <c r="B227" s="9"/>
      <c r="C227" s="9"/>
      <c r="D227" s="9"/>
      <c r="E227" s="10"/>
      <c r="F227" s="9"/>
    </row>
    <row r="228" customFormat="false" ht="15" hidden="false" customHeight="false" outlineLevel="0" collapsed="false">
      <c r="A228" s="11"/>
      <c r="B228" s="9"/>
      <c r="C228" s="9"/>
      <c r="D228" s="9"/>
      <c r="E228" s="10"/>
      <c r="F228" s="9"/>
    </row>
    <row r="229" customFormat="false" ht="15" hidden="false" customHeight="false" outlineLevel="0" collapsed="false">
      <c r="A229" s="11"/>
      <c r="B229" s="9"/>
      <c r="C229" s="9"/>
      <c r="D229" s="9"/>
      <c r="E229" s="10"/>
      <c r="F229" s="9"/>
    </row>
    <row r="230" customFormat="false" ht="15" hidden="false" customHeight="false" outlineLevel="0" collapsed="false">
      <c r="A230" s="11"/>
      <c r="B230" s="9"/>
      <c r="C230" s="9"/>
      <c r="D230" s="9"/>
      <c r="E230" s="10"/>
      <c r="F230" s="9"/>
    </row>
    <row r="231" customFormat="false" ht="15" hidden="false" customHeight="false" outlineLevel="0" collapsed="false">
      <c r="A231" s="11"/>
      <c r="B231" s="9"/>
      <c r="C231" s="9"/>
      <c r="D231" s="9"/>
      <c r="E231" s="10"/>
      <c r="F231" s="9"/>
    </row>
    <row r="232" customFormat="false" ht="15" hidden="false" customHeight="false" outlineLevel="0" collapsed="false">
      <c r="A232" s="11"/>
      <c r="B232" s="9"/>
      <c r="C232" s="9"/>
      <c r="D232" s="9"/>
      <c r="E232" s="10"/>
      <c r="F232" s="9"/>
    </row>
    <row r="233" customFormat="false" ht="15" hidden="false" customHeight="false" outlineLevel="0" collapsed="false">
      <c r="A233" s="11"/>
      <c r="B233" s="9"/>
      <c r="C233" s="9"/>
      <c r="D233" s="9"/>
      <c r="E233" s="10"/>
      <c r="F233" s="9"/>
    </row>
    <row r="234" customFormat="false" ht="15" hidden="false" customHeight="false" outlineLevel="0" collapsed="false">
      <c r="A234" s="11"/>
      <c r="B234" s="9"/>
      <c r="C234" s="9"/>
      <c r="D234" s="9"/>
      <c r="E234" s="10"/>
      <c r="F234" s="9"/>
    </row>
    <row r="235" customFormat="false" ht="15" hidden="false" customHeight="false" outlineLevel="0" collapsed="false">
      <c r="A235" s="11"/>
      <c r="B235" s="9"/>
      <c r="C235" s="9"/>
      <c r="D235" s="9"/>
      <c r="E235" s="10"/>
      <c r="F235" s="9"/>
    </row>
    <row r="236" customFormat="false" ht="15" hidden="false" customHeight="false" outlineLevel="0" collapsed="false">
      <c r="A236" s="11"/>
      <c r="B236" s="9"/>
      <c r="C236" s="9"/>
      <c r="D236" s="9"/>
      <c r="E236" s="10"/>
      <c r="F236" s="9"/>
    </row>
    <row r="237" customFormat="false" ht="15" hidden="false" customHeight="false" outlineLevel="0" collapsed="false">
      <c r="A237" s="11"/>
      <c r="B237" s="9"/>
      <c r="C237" s="9"/>
      <c r="D237" s="9"/>
      <c r="E237" s="10"/>
      <c r="F237" s="9"/>
    </row>
    <row r="238" customFormat="false" ht="15" hidden="false" customHeight="false" outlineLevel="0" collapsed="false">
      <c r="A238" s="11"/>
      <c r="B238" s="9"/>
      <c r="C238" s="9"/>
      <c r="D238" s="9"/>
      <c r="E238" s="10"/>
      <c r="F238" s="9"/>
    </row>
    <row r="239" customFormat="false" ht="15" hidden="false" customHeight="false" outlineLevel="0" collapsed="false">
      <c r="A239" s="11"/>
      <c r="B239" s="9"/>
      <c r="C239" s="9"/>
      <c r="D239" s="9"/>
      <c r="E239" s="10"/>
      <c r="F239" s="9"/>
    </row>
    <row r="240" customFormat="false" ht="15" hidden="false" customHeight="false" outlineLevel="0" collapsed="false">
      <c r="A240" s="11"/>
      <c r="B240" s="9"/>
      <c r="C240" s="9"/>
      <c r="D240" s="9"/>
      <c r="E240" s="10"/>
      <c r="F240" s="9"/>
    </row>
    <row r="241" customFormat="false" ht="15" hidden="false" customHeight="false" outlineLevel="0" collapsed="false">
      <c r="A241" s="11"/>
      <c r="B241" s="9"/>
      <c r="C241" s="9"/>
      <c r="D241" s="9"/>
      <c r="E241" s="10"/>
      <c r="F241" s="9"/>
    </row>
    <row r="242" customFormat="false" ht="15" hidden="false" customHeight="false" outlineLevel="0" collapsed="false">
      <c r="A242" s="11"/>
      <c r="B242" s="9"/>
      <c r="C242" s="9"/>
      <c r="D242" s="9"/>
      <c r="E242" s="10"/>
      <c r="F242" s="9"/>
    </row>
    <row r="243" customFormat="false" ht="15" hidden="false" customHeight="false" outlineLevel="0" collapsed="false">
      <c r="A243" s="11"/>
      <c r="B243" s="9"/>
      <c r="C243" s="9"/>
      <c r="D243" s="9"/>
      <c r="E243" s="10"/>
      <c r="F243" s="9"/>
    </row>
    <row r="244" customFormat="false" ht="15" hidden="false" customHeight="false" outlineLevel="0" collapsed="false">
      <c r="A244" s="11"/>
      <c r="B244" s="9"/>
      <c r="C244" s="9"/>
      <c r="D244" s="9"/>
      <c r="E244" s="10"/>
      <c r="F244" s="9"/>
    </row>
    <row r="245" customFormat="false" ht="15" hidden="false" customHeight="false" outlineLevel="0" collapsed="false">
      <c r="A245" s="11"/>
      <c r="B245" s="9"/>
      <c r="C245" s="9"/>
      <c r="D245" s="9"/>
      <c r="E245" s="10"/>
      <c r="F245" s="9"/>
    </row>
    <row r="246" customFormat="false" ht="15" hidden="false" customHeight="false" outlineLevel="0" collapsed="false">
      <c r="A246" s="11"/>
      <c r="B246" s="9"/>
      <c r="C246" s="9"/>
      <c r="D246" s="9"/>
      <c r="E246" s="10"/>
      <c r="F246" s="9"/>
    </row>
    <row r="247" customFormat="false" ht="15" hidden="false" customHeight="false" outlineLevel="0" collapsed="false">
      <c r="A247" s="11"/>
      <c r="B247" s="9"/>
      <c r="C247" s="9"/>
      <c r="D247" s="9"/>
      <c r="E247" s="10"/>
      <c r="F247" s="9"/>
    </row>
    <row r="248" customFormat="false" ht="15" hidden="false" customHeight="false" outlineLevel="0" collapsed="false">
      <c r="A248" s="11"/>
      <c r="B248" s="9"/>
      <c r="C248" s="9"/>
      <c r="D248" s="9"/>
      <c r="E248" s="10"/>
      <c r="F248" s="9"/>
    </row>
    <row r="249" customFormat="false" ht="15" hidden="false" customHeight="false" outlineLevel="0" collapsed="false">
      <c r="A249" s="11"/>
      <c r="B249" s="9"/>
      <c r="C249" s="9"/>
      <c r="D249" s="9"/>
      <c r="E249" s="10"/>
      <c r="F249" s="9"/>
    </row>
    <row r="250" customFormat="false" ht="15" hidden="false" customHeight="false" outlineLevel="0" collapsed="false">
      <c r="A250" s="11"/>
      <c r="B250" s="9"/>
      <c r="C250" s="9"/>
      <c r="D250" s="9"/>
      <c r="E250" s="10"/>
      <c r="F250" s="9"/>
    </row>
    <row r="251" customFormat="false" ht="15" hidden="false" customHeight="false" outlineLevel="0" collapsed="false">
      <c r="A251" s="11"/>
      <c r="B251" s="9"/>
      <c r="C251" s="9"/>
      <c r="D251" s="9"/>
      <c r="E251" s="10"/>
      <c r="F251" s="9"/>
    </row>
    <row r="252" customFormat="false" ht="15" hidden="false" customHeight="false" outlineLevel="0" collapsed="false">
      <c r="A252" s="11"/>
      <c r="B252" s="9"/>
      <c r="C252" s="9"/>
      <c r="D252" s="9"/>
      <c r="E252" s="10"/>
      <c r="F252" s="9"/>
    </row>
    <row r="253" customFormat="false" ht="15" hidden="false" customHeight="false" outlineLevel="0" collapsed="false">
      <c r="A253" s="11"/>
      <c r="B253" s="9"/>
      <c r="C253" s="9"/>
      <c r="D253" s="9"/>
      <c r="E253" s="10"/>
      <c r="F253" s="9"/>
    </row>
    <row r="254" customFormat="false" ht="15" hidden="false" customHeight="false" outlineLevel="0" collapsed="false">
      <c r="A254" s="11"/>
      <c r="B254" s="9"/>
      <c r="C254" s="9"/>
      <c r="D254" s="9"/>
      <c r="E254" s="10"/>
      <c r="F254" s="9"/>
    </row>
    <row r="255" customFormat="false" ht="15" hidden="false" customHeight="false" outlineLevel="0" collapsed="false">
      <c r="A255" s="11"/>
      <c r="B255" s="9"/>
      <c r="C255" s="9"/>
      <c r="D255" s="9"/>
      <c r="E255" s="10"/>
      <c r="F255" s="9"/>
    </row>
    <row r="256" customFormat="false" ht="15" hidden="false" customHeight="false" outlineLevel="0" collapsed="false">
      <c r="A256" s="11"/>
      <c r="B256" s="9"/>
      <c r="C256" s="9"/>
      <c r="D256" s="9"/>
      <c r="E256" s="10"/>
      <c r="F256" s="9"/>
    </row>
    <row r="257" customFormat="false" ht="15" hidden="false" customHeight="false" outlineLevel="0" collapsed="false">
      <c r="A257" s="11"/>
      <c r="B257" s="9"/>
      <c r="C257" s="9"/>
      <c r="D257" s="9"/>
      <c r="E257" s="10"/>
      <c r="F257" s="9"/>
    </row>
    <row r="258" customFormat="false" ht="15" hidden="false" customHeight="false" outlineLevel="0" collapsed="false">
      <c r="A258" s="11"/>
      <c r="B258" s="9"/>
      <c r="C258" s="9"/>
      <c r="D258" s="9"/>
      <c r="E258" s="10"/>
      <c r="F258" s="9"/>
    </row>
    <row r="259" customFormat="false" ht="15" hidden="false" customHeight="false" outlineLevel="0" collapsed="false">
      <c r="A259" s="11"/>
      <c r="B259" s="9"/>
      <c r="C259" s="9"/>
      <c r="D259" s="9"/>
      <c r="E259" s="10"/>
      <c r="F259" s="9"/>
    </row>
    <row r="260" customFormat="false" ht="15" hidden="false" customHeight="false" outlineLevel="0" collapsed="false">
      <c r="A260" s="11"/>
      <c r="B260" s="9"/>
      <c r="C260" s="9"/>
      <c r="D260" s="9"/>
      <c r="E260" s="10"/>
      <c r="F260" s="9"/>
    </row>
    <row r="261" customFormat="false" ht="15" hidden="false" customHeight="false" outlineLevel="0" collapsed="false">
      <c r="A261" s="11"/>
      <c r="B261" s="9"/>
      <c r="C261" s="9"/>
      <c r="D261" s="9"/>
      <c r="E261" s="10"/>
      <c r="F261" s="9"/>
    </row>
    <row r="262" customFormat="false" ht="15" hidden="false" customHeight="false" outlineLevel="0" collapsed="false">
      <c r="A262" s="11"/>
      <c r="B262" s="9"/>
      <c r="C262" s="9"/>
      <c r="D262" s="9"/>
      <c r="E262" s="10"/>
      <c r="F262" s="9"/>
    </row>
    <row r="263" customFormat="false" ht="15" hidden="false" customHeight="false" outlineLevel="0" collapsed="false">
      <c r="A263" s="11"/>
      <c r="B263" s="9"/>
      <c r="C263" s="9"/>
      <c r="D263" s="9"/>
      <c r="E263" s="10"/>
      <c r="F263" s="9"/>
    </row>
    <row r="264" customFormat="false" ht="15" hidden="false" customHeight="false" outlineLevel="0" collapsed="false">
      <c r="A264" s="11"/>
      <c r="B264" s="9"/>
      <c r="C264" s="9"/>
      <c r="D264" s="9"/>
      <c r="E264" s="10"/>
      <c r="F264" s="9"/>
    </row>
    <row r="265" customFormat="false" ht="15" hidden="false" customHeight="false" outlineLevel="0" collapsed="false">
      <c r="A265" s="11"/>
      <c r="B265" s="9"/>
      <c r="C265" s="9"/>
      <c r="D265" s="9"/>
      <c r="E265" s="10"/>
      <c r="F265" s="9"/>
    </row>
    <row r="266" customFormat="false" ht="15" hidden="false" customHeight="false" outlineLevel="0" collapsed="false">
      <c r="A266" s="11"/>
      <c r="B266" s="9"/>
      <c r="C266" s="9"/>
      <c r="D266" s="9"/>
      <c r="E266" s="10"/>
      <c r="F266" s="9"/>
    </row>
    <row r="267" customFormat="false" ht="15" hidden="false" customHeight="false" outlineLevel="0" collapsed="false">
      <c r="A267" s="11"/>
      <c r="B267" s="9"/>
      <c r="C267" s="9"/>
      <c r="D267" s="9"/>
      <c r="E267" s="10"/>
      <c r="F267" s="9"/>
    </row>
    <row r="268" customFormat="false" ht="15" hidden="false" customHeight="false" outlineLevel="0" collapsed="false">
      <c r="A268" s="11"/>
      <c r="B268" s="9"/>
      <c r="C268" s="9"/>
      <c r="D268" s="9"/>
      <c r="E268" s="10"/>
      <c r="F268" s="9"/>
    </row>
    <row r="269" customFormat="false" ht="15" hidden="false" customHeight="false" outlineLevel="0" collapsed="false">
      <c r="A269" s="11"/>
      <c r="B269" s="9"/>
      <c r="C269" s="9"/>
      <c r="D269" s="9"/>
      <c r="E269" s="10"/>
      <c r="F269" s="9"/>
    </row>
    <row r="270" customFormat="false" ht="15" hidden="false" customHeight="false" outlineLevel="0" collapsed="false">
      <c r="A270" s="11"/>
      <c r="B270" s="9"/>
      <c r="C270" s="9"/>
      <c r="D270" s="9"/>
      <c r="E270" s="10"/>
      <c r="F270" s="9"/>
    </row>
    <row r="271" customFormat="false" ht="15" hidden="false" customHeight="false" outlineLevel="0" collapsed="false">
      <c r="A271" s="11"/>
      <c r="B271" s="9"/>
      <c r="C271" s="9"/>
      <c r="D271" s="9"/>
      <c r="E271" s="10"/>
      <c r="F271" s="9"/>
    </row>
    <row r="272" customFormat="false" ht="15" hidden="false" customHeight="false" outlineLevel="0" collapsed="false">
      <c r="A272" s="11"/>
      <c r="B272" s="9"/>
      <c r="C272" s="9"/>
      <c r="D272" s="9"/>
      <c r="E272" s="10"/>
      <c r="F272" s="9"/>
    </row>
    <row r="273" customFormat="false" ht="15" hidden="false" customHeight="false" outlineLevel="0" collapsed="false">
      <c r="A273" s="11"/>
      <c r="B273" s="9"/>
      <c r="C273" s="9"/>
      <c r="D273" s="9"/>
      <c r="E273" s="10"/>
      <c r="F273" s="9"/>
    </row>
    <row r="274" customFormat="false" ht="15" hidden="false" customHeight="false" outlineLevel="0" collapsed="false">
      <c r="A274" s="11"/>
      <c r="B274" s="9"/>
      <c r="C274" s="9"/>
      <c r="D274" s="9"/>
      <c r="E274" s="10"/>
      <c r="F274" s="9"/>
    </row>
    <row r="275" customFormat="false" ht="15" hidden="false" customHeight="false" outlineLevel="0" collapsed="false">
      <c r="A275" s="11"/>
      <c r="B275" s="9"/>
      <c r="C275" s="9"/>
      <c r="D275" s="9"/>
      <c r="E275" s="10"/>
      <c r="F275" s="9"/>
    </row>
    <row r="276" customFormat="false" ht="15" hidden="false" customHeight="false" outlineLevel="0" collapsed="false">
      <c r="A276" s="11"/>
      <c r="B276" s="9"/>
      <c r="C276" s="9"/>
      <c r="D276" s="9"/>
      <c r="E276" s="10"/>
      <c r="F276" s="9"/>
    </row>
    <row r="277" customFormat="false" ht="15" hidden="false" customHeight="false" outlineLevel="0" collapsed="false">
      <c r="A277" s="11"/>
      <c r="B277" s="9"/>
      <c r="C277" s="9"/>
      <c r="D277" s="9"/>
      <c r="E277" s="10"/>
      <c r="F277" s="9"/>
    </row>
    <row r="278" customFormat="false" ht="15" hidden="false" customHeight="false" outlineLevel="0" collapsed="false">
      <c r="A278" s="11"/>
      <c r="B278" s="9"/>
      <c r="C278" s="9"/>
      <c r="D278" s="9"/>
      <c r="E278" s="10"/>
      <c r="F278" s="9"/>
    </row>
    <row r="279" customFormat="false" ht="15" hidden="false" customHeight="false" outlineLevel="0" collapsed="false">
      <c r="A279" s="11"/>
      <c r="B279" s="9"/>
      <c r="C279" s="9"/>
      <c r="D279" s="9"/>
      <c r="E279" s="10"/>
      <c r="F279" s="9"/>
    </row>
    <row r="280" customFormat="false" ht="15" hidden="false" customHeight="false" outlineLevel="0" collapsed="false">
      <c r="A280" s="11"/>
      <c r="B280" s="9"/>
      <c r="C280" s="9"/>
      <c r="D280" s="9"/>
      <c r="E280" s="10"/>
      <c r="F280" s="9"/>
    </row>
    <row r="281" customFormat="false" ht="15" hidden="false" customHeight="false" outlineLevel="0" collapsed="false">
      <c r="A281" s="11"/>
      <c r="B281" s="9"/>
      <c r="C281" s="9"/>
      <c r="D281" s="9"/>
      <c r="E281" s="10"/>
      <c r="F281" s="9"/>
    </row>
    <row r="282" customFormat="false" ht="15" hidden="false" customHeight="false" outlineLevel="0" collapsed="false">
      <c r="A282" s="11"/>
      <c r="B282" s="9"/>
      <c r="C282" s="9"/>
      <c r="D282" s="9"/>
      <c r="E282" s="10"/>
      <c r="F282" s="9"/>
    </row>
    <row r="283" customFormat="false" ht="15" hidden="false" customHeight="false" outlineLevel="0" collapsed="false">
      <c r="A283" s="11"/>
      <c r="B283" s="9"/>
      <c r="C283" s="9"/>
      <c r="D283" s="9"/>
      <c r="E283" s="10"/>
      <c r="F283" s="9"/>
    </row>
    <row r="284" customFormat="false" ht="15" hidden="false" customHeight="false" outlineLevel="0" collapsed="false">
      <c r="A284" s="11"/>
      <c r="B284" s="9"/>
      <c r="C284" s="9"/>
      <c r="D284" s="9"/>
      <c r="E284" s="10"/>
      <c r="F284" s="9"/>
    </row>
    <row r="285" customFormat="false" ht="15" hidden="false" customHeight="false" outlineLevel="0" collapsed="false">
      <c r="A285" s="11"/>
      <c r="B285" s="9"/>
      <c r="C285" s="9"/>
      <c r="D285" s="9"/>
      <c r="E285" s="10"/>
      <c r="F285" s="9"/>
    </row>
    <row r="286" customFormat="false" ht="15" hidden="false" customHeight="false" outlineLevel="0" collapsed="false">
      <c r="A286" s="11"/>
      <c r="B286" s="9"/>
      <c r="C286" s="9"/>
      <c r="D286" s="9"/>
      <c r="E286" s="10"/>
      <c r="F286" s="9"/>
    </row>
    <row r="287" customFormat="false" ht="15" hidden="false" customHeight="false" outlineLevel="0" collapsed="false">
      <c r="A287" s="11"/>
      <c r="B287" s="9"/>
      <c r="C287" s="9"/>
      <c r="D287" s="9"/>
      <c r="E287" s="10"/>
      <c r="F287" s="9"/>
    </row>
    <row r="288" customFormat="false" ht="15" hidden="false" customHeight="false" outlineLevel="0" collapsed="false">
      <c r="A288" s="11"/>
      <c r="B288" s="9"/>
      <c r="C288" s="9"/>
      <c r="D288" s="9"/>
      <c r="E288" s="10"/>
      <c r="F288" s="9"/>
    </row>
    <row r="289" customFormat="false" ht="15" hidden="false" customHeight="false" outlineLevel="0" collapsed="false">
      <c r="A289" s="11"/>
      <c r="B289" s="9"/>
      <c r="C289" s="9"/>
      <c r="D289" s="9"/>
      <c r="E289" s="10"/>
      <c r="F289" s="9"/>
    </row>
    <row r="290" customFormat="false" ht="15" hidden="false" customHeight="false" outlineLevel="0" collapsed="false">
      <c r="A290" s="11"/>
      <c r="B290" s="9"/>
      <c r="C290" s="9"/>
      <c r="D290" s="9"/>
      <c r="E290" s="10"/>
      <c r="F290" s="9"/>
    </row>
    <row r="291" customFormat="false" ht="15" hidden="false" customHeight="false" outlineLevel="0" collapsed="false">
      <c r="A291" s="11"/>
      <c r="B291" s="9"/>
      <c r="C291" s="9"/>
      <c r="D291" s="9"/>
      <c r="E291" s="10"/>
      <c r="F291" s="9"/>
    </row>
    <row r="292" customFormat="false" ht="15" hidden="false" customHeight="false" outlineLevel="0" collapsed="false">
      <c r="A292" s="11"/>
      <c r="B292" s="9"/>
      <c r="C292" s="9"/>
      <c r="D292" s="9"/>
      <c r="E292" s="10"/>
      <c r="F292" s="9"/>
    </row>
    <row r="293" customFormat="false" ht="15" hidden="false" customHeight="false" outlineLevel="0" collapsed="false">
      <c r="A293" s="11"/>
      <c r="B293" s="9"/>
      <c r="C293" s="9"/>
      <c r="D293" s="9"/>
      <c r="E293" s="10"/>
      <c r="F293" s="9"/>
    </row>
    <row r="294" customFormat="false" ht="15" hidden="false" customHeight="false" outlineLevel="0" collapsed="false">
      <c r="A294" s="11"/>
      <c r="B294" s="9"/>
      <c r="C294" s="9"/>
      <c r="D294" s="9"/>
      <c r="E294" s="10"/>
      <c r="F294" s="9"/>
    </row>
    <row r="295" customFormat="false" ht="15" hidden="false" customHeight="false" outlineLevel="0" collapsed="false">
      <c r="A295" s="11"/>
      <c r="B295" s="9"/>
      <c r="C295" s="9"/>
      <c r="D295" s="9"/>
      <c r="E295" s="10"/>
      <c r="F295" s="9"/>
    </row>
    <row r="296" customFormat="false" ht="15" hidden="false" customHeight="false" outlineLevel="0" collapsed="false">
      <c r="A296" s="11"/>
      <c r="B296" s="9"/>
      <c r="C296" s="9"/>
      <c r="D296" s="9"/>
      <c r="E296" s="10"/>
      <c r="F296" s="9"/>
    </row>
    <row r="297" customFormat="false" ht="15" hidden="false" customHeight="false" outlineLevel="0" collapsed="false">
      <c r="A297" s="11"/>
      <c r="B297" s="9"/>
      <c r="C297" s="9"/>
      <c r="D297" s="9"/>
      <c r="E297" s="10"/>
      <c r="F297" s="9"/>
    </row>
    <row r="298" customFormat="false" ht="15" hidden="false" customHeight="false" outlineLevel="0" collapsed="false">
      <c r="A298" s="11"/>
      <c r="B298" s="9"/>
      <c r="C298" s="9"/>
      <c r="D298" s="9"/>
      <c r="E298" s="10"/>
      <c r="F298" s="9"/>
    </row>
    <row r="299" customFormat="false" ht="15" hidden="false" customHeight="false" outlineLevel="0" collapsed="false">
      <c r="A299" s="11"/>
      <c r="B299" s="9"/>
      <c r="C299" s="9"/>
      <c r="D299" s="9"/>
      <c r="E299" s="10"/>
      <c r="F299" s="9"/>
    </row>
    <row r="300" customFormat="false" ht="15" hidden="false" customHeight="false" outlineLevel="0" collapsed="false">
      <c r="A300" s="11"/>
      <c r="B300" s="9"/>
      <c r="C300" s="9"/>
      <c r="D300" s="9"/>
      <c r="E300" s="10"/>
      <c r="F300" s="9"/>
    </row>
    <row r="301" customFormat="false" ht="15" hidden="false" customHeight="false" outlineLevel="0" collapsed="false">
      <c r="A301" s="11"/>
      <c r="B301" s="9"/>
      <c r="C301" s="9"/>
      <c r="D301" s="9"/>
      <c r="E301" s="10"/>
      <c r="F301" s="9"/>
    </row>
    <row r="302" customFormat="false" ht="15" hidden="false" customHeight="false" outlineLevel="0" collapsed="false">
      <c r="A302" s="11"/>
      <c r="B302" s="9"/>
      <c r="C302" s="9"/>
      <c r="D302" s="9"/>
      <c r="E302" s="10"/>
      <c r="F302" s="9"/>
    </row>
    <row r="303" customFormat="false" ht="15" hidden="false" customHeight="false" outlineLevel="0" collapsed="false">
      <c r="A303" s="11"/>
      <c r="B303" s="9"/>
      <c r="C303" s="9"/>
      <c r="D303" s="9"/>
      <c r="E303" s="10"/>
      <c r="F303" s="9"/>
    </row>
    <row r="304" customFormat="false" ht="15" hidden="false" customHeight="false" outlineLevel="0" collapsed="false">
      <c r="A304" s="11"/>
      <c r="B304" s="9"/>
      <c r="C304" s="9"/>
      <c r="D304" s="9"/>
      <c r="E304" s="10"/>
      <c r="F304" s="9"/>
    </row>
    <row r="305" customFormat="false" ht="15" hidden="false" customHeight="false" outlineLevel="0" collapsed="false">
      <c r="A305" s="11"/>
      <c r="B305" s="9"/>
      <c r="C305" s="9"/>
      <c r="D305" s="9"/>
      <c r="E305" s="10"/>
      <c r="F305" s="9"/>
    </row>
    <row r="306" customFormat="false" ht="15" hidden="false" customHeight="false" outlineLevel="0" collapsed="false">
      <c r="A306" s="11"/>
      <c r="B306" s="9"/>
      <c r="C306" s="9"/>
      <c r="D306" s="9"/>
      <c r="E306" s="10"/>
      <c r="F306" s="9"/>
    </row>
    <row r="307" customFormat="false" ht="15" hidden="false" customHeight="false" outlineLevel="0" collapsed="false">
      <c r="A307" s="11"/>
      <c r="B307" s="9"/>
      <c r="C307" s="9"/>
      <c r="D307" s="9"/>
      <c r="E307" s="10"/>
      <c r="F307" s="9"/>
    </row>
    <row r="308" customFormat="false" ht="15" hidden="false" customHeight="false" outlineLevel="0" collapsed="false">
      <c r="A308" s="11"/>
      <c r="B308" s="9"/>
      <c r="C308" s="9"/>
      <c r="D308" s="9"/>
      <c r="E308" s="10"/>
      <c r="F308" s="9"/>
    </row>
    <row r="309" customFormat="false" ht="15" hidden="false" customHeight="false" outlineLevel="0" collapsed="false">
      <c r="A309" s="11"/>
      <c r="B309" s="9"/>
      <c r="C309" s="9"/>
      <c r="D309" s="9"/>
      <c r="E309" s="10"/>
      <c r="F309" s="9"/>
    </row>
    <row r="310" customFormat="false" ht="15" hidden="false" customHeight="false" outlineLevel="0" collapsed="false">
      <c r="A310" s="11"/>
      <c r="B310" s="9"/>
      <c r="C310" s="9"/>
      <c r="D310" s="9"/>
      <c r="E310" s="10"/>
      <c r="F310" s="9"/>
    </row>
    <row r="311" customFormat="false" ht="15" hidden="false" customHeight="false" outlineLevel="0" collapsed="false">
      <c r="A311" s="11"/>
      <c r="B311" s="9"/>
      <c r="C311" s="9"/>
      <c r="D311" s="9"/>
      <c r="E311" s="10"/>
      <c r="F311" s="9"/>
    </row>
    <row r="312" customFormat="false" ht="15" hidden="false" customHeight="false" outlineLevel="0" collapsed="false">
      <c r="A312" s="11"/>
      <c r="B312" s="9"/>
      <c r="C312" s="9"/>
      <c r="D312" s="9"/>
      <c r="E312" s="10"/>
      <c r="F312" s="9"/>
    </row>
    <row r="313" customFormat="false" ht="15" hidden="false" customHeight="false" outlineLevel="0" collapsed="false">
      <c r="A313" s="11"/>
      <c r="B313" s="9"/>
      <c r="C313" s="9"/>
      <c r="D313" s="9"/>
      <c r="E313" s="10"/>
      <c r="F313" s="9"/>
    </row>
    <row r="314" customFormat="false" ht="15" hidden="false" customHeight="false" outlineLevel="0" collapsed="false">
      <c r="A314" s="11"/>
      <c r="B314" s="9"/>
      <c r="C314" s="9"/>
      <c r="D314" s="9"/>
      <c r="E314" s="10"/>
      <c r="F314" s="9"/>
    </row>
    <row r="315" customFormat="false" ht="15" hidden="false" customHeight="false" outlineLevel="0" collapsed="false">
      <c r="A315" s="11"/>
      <c r="B315" s="9"/>
      <c r="C315" s="9"/>
      <c r="D315" s="9"/>
      <c r="E315" s="10"/>
      <c r="F315" s="9"/>
    </row>
    <row r="316" customFormat="false" ht="15" hidden="false" customHeight="false" outlineLevel="0" collapsed="false">
      <c r="A316" s="11"/>
      <c r="B316" s="9"/>
      <c r="C316" s="9"/>
      <c r="D316" s="9"/>
      <c r="E316" s="10"/>
      <c r="F316" s="9"/>
    </row>
    <row r="317" customFormat="false" ht="15" hidden="false" customHeight="false" outlineLevel="0" collapsed="false">
      <c r="A317" s="11"/>
      <c r="B317" s="9"/>
      <c r="C317" s="9"/>
      <c r="D317" s="9"/>
      <c r="E317" s="10"/>
      <c r="F317" s="9"/>
    </row>
    <row r="318" customFormat="false" ht="15" hidden="false" customHeight="false" outlineLevel="0" collapsed="false">
      <c r="A318" s="11"/>
      <c r="B318" s="9"/>
      <c r="C318" s="9"/>
      <c r="D318" s="9"/>
      <c r="E318" s="10"/>
      <c r="F318" s="9"/>
    </row>
    <row r="319" customFormat="false" ht="15" hidden="false" customHeight="false" outlineLevel="0" collapsed="false">
      <c r="A319" s="11"/>
      <c r="B319" s="9"/>
      <c r="C319" s="9"/>
      <c r="D319" s="9"/>
      <c r="E319" s="10"/>
      <c r="F319" s="9"/>
    </row>
    <row r="320" customFormat="false" ht="15" hidden="false" customHeight="false" outlineLevel="0" collapsed="false">
      <c r="A320" s="11"/>
      <c r="B320" s="9"/>
      <c r="C320" s="9"/>
      <c r="D320" s="9"/>
      <c r="E320" s="10"/>
      <c r="F320" s="9"/>
    </row>
    <row r="321" customFormat="false" ht="15" hidden="false" customHeight="false" outlineLevel="0" collapsed="false">
      <c r="A321" s="11"/>
      <c r="B321" s="9"/>
      <c r="C321" s="9"/>
      <c r="D321" s="9"/>
      <c r="E321" s="10"/>
      <c r="F321" s="9"/>
    </row>
    <row r="322" customFormat="false" ht="15" hidden="false" customHeight="false" outlineLevel="0" collapsed="false">
      <c r="A322" s="11"/>
      <c r="B322" s="9"/>
      <c r="C322" s="9"/>
      <c r="D322" s="9"/>
      <c r="E322" s="10"/>
      <c r="F322" s="9"/>
    </row>
    <row r="323" customFormat="false" ht="15" hidden="false" customHeight="false" outlineLevel="0" collapsed="false">
      <c r="A323" s="11"/>
      <c r="B323" s="9"/>
      <c r="C323" s="9"/>
      <c r="D323" s="9"/>
      <c r="E323" s="10"/>
      <c r="F323" s="9"/>
    </row>
    <row r="324" customFormat="false" ht="15" hidden="false" customHeight="false" outlineLevel="0" collapsed="false">
      <c r="A324" s="11"/>
      <c r="B324" s="9"/>
      <c r="C324" s="9"/>
      <c r="D324" s="9"/>
      <c r="E324" s="10"/>
      <c r="F324" s="9"/>
    </row>
    <row r="325" customFormat="false" ht="15" hidden="false" customHeight="false" outlineLevel="0" collapsed="false">
      <c r="A325" s="11"/>
      <c r="B325" s="9"/>
      <c r="C325" s="9"/>
      <c r="D325" s="9"/>
      <c r="E325" s="10"/>
      <c r="F325" s="9"/>
    </row>
    <row r="326" customFormat="false" ht="15" hidden="false" customHeight="false" outlineLevel="0" collapsed="false">
      <c r="A326" s="11"/>
      <c r="B326" s="9"/>
      <c r="C326" s="9"/>
      <c r="D326" s="9"/>
      <c r="E326" s="10"/>
      <c r="F326" s="9"/>
    </row>
    <row r="327" customFormat="false" ht="15" hidden="false" customHeight="false" outlineLevel="0" collapsed="false">
      <c r="A327" s="11"/>
      <c r="B327" s="9"/>
      <c r="C327" s="9"/>
      <c r="D327" s="9"/>
      <c r="E327" s="10"/>
      <c r="F327" s="9"/>
    </row>
    <row r="328" customFormat="false" ht="15" hidden="false" customHeight="false" outlineLevel="0" collapsed="false">
      <c r="A328" s="11"/>
      <c r="B328" s="9"/>
      <c r="C328" s="9"/>
      <c r="D328" s="9"/>
      <c r="E328" s="10"/>
      <c r="F328" s="9"/>
    </row>
    <row r="329" customFormat="false" ht="15" hidden="false" customHeight="false" outlineLevel="0" collapsed="false">
      <c r="A329" s="11"/>
      <c r="B329" s="9"/>
      <c r="C329" s="9"/>
      <c r="D329" s="9"/>
      <c r="E329" s="10"/>
      <c r="F329" s="9"/>
    </row>
    <row r="330" customFormat="false" ht="15" hidden="false" customHeight="false" outlineLevel="0" collapsed="false">
      <c r="A330" s="11"/>
      <c r="B330" s="9"/>
      <c r="C330" s="9"/>
      <c r="D330" s="9"/>
      <c r="E330" s="10"/>
      <c r="F330" s="9"/>
    </row>
    <row r="331" customFormat="false" ht="15" hidden="false" customHeight="false" outlineLevel="0" collapsed="false">
      <c r="A331" s="11"/>
      <c r="B331" s="9"/>
      <c r="C331" s="9"/>
      <c r="D331" s="9"/>
      <c r="E331" s="10"/>
      <c r="F331" s="9"/>
    </row>
    <row r="332" customFormat="false" ht="15" hidden="false" customHeight="false" outlineLevel="0" collapsed="false">
      <c r="A332" s="11"/>
      <c r="B332" s="9"/>
      <c r="C332" s="9"/>
      <c r="D332" s="9"/>
      <c r="E332" s="10"/>
      <c r="F332" s="9"/>
    </row>
    <row r="333" customFormat="false" ht="15" hidden="false" customHeight="false" outlineLevel="0" collapsed="false">
      <c r="A333" s="11"/>
      <c r="B333" s="9"/>
      <c r="C333" s="9"/>
      <c r="D333" s="9"/>
      <c r="E333" s="10"/>
      <c r="F333" s="9"/>
    </row>
    <row r="334" customFormat="false" ht="15" hidden="false" customHeight="false" outlineLevel="0" collapsed="false">
      <c r="A334" s="11"/>
      <c r="B334" s="9"/>
      <c r="C334" s="9"/>
      <c r="D334" s="9"/>
      <c r="E334" s="10"/>
      <c r="F334" s="9"/>
    </row>
    <row r="335" customFormat="false" ht="15" hidden="false" customHeight="false" outlineLevel="0" collapsed="false">
      <c r="A335" s="11"/>
      <c r="B335" s="9"/>
      <c r="C335" s="9"/>
      <c r="D335" s="9"/>
      <c r="E335" s="10"/>
      <c r="F335" s="9"/>
    </row>
    <row r="336" customFormat="false" ht="15" hidden="false" customHeight="false" outlineLevel="0" collapsed="false">
      <c r="A336" s="11"/>
      <c r="B336" s="9"/>
      <c r="C336" s="9"/>
      <c r="D336" s="9"/>
      <c r="E336" s="10"/>
      <c r="F336" s="9"/>
    </row>
    <row r="337" customFormat="false" ht="15" hidden="false" customHeight="false" outlineLevel="0" collapsed="false">
      <c r="A337" s="11"/>
      <c r="B337" s="9"/>
      <c r="C337" s="9"/>
      <c r="D337" s="9"/>
      <c r="E337" s="10"/>
      <c r="F337" s="9"/>
    </row>
    <row r="338" customFormat="false" ht="15" hidden="false" customHeight="false" outlineLevel="0" collapsed="false">
      <c r="A338" s="11"/>
      <c r="B338" s="9"/>
      <c r="C338" s="9"/>
      <c r="D338" s="9"/>
      <c r="E338" s="10"/>
      <c r="F338" s="9"/>
    </row>
    <row r="339" customFormat="false" ht="15" hidden="false" customHeight="false" outlineLevel="0" collapsed="false">
      <c r="A339" s="11"/>
      <c r="B339" s="9"/>
      <c r="C339" s="9"/>
      <c r="D339" s="9"/>
      <c r="E339" s="10"/>
      <c r="F339" s="9"/>
    </row>
    <row r="340" customFormat="false" ht="15" hidden="false" customHeight="false" outlineLevel="0" collapsed="false">
      <c r="A340" s="11"/>
      <c r="B340" s="9"/>
      <c r="C340" s="9"/>
      <c r="D340" s="9"/>
      <c r="E340" s="10"/>
      <c r="F340" s="9"/>
    </row>
    <row r="341" customFormat="false" ht="15" hidden="false" customHeight="false" outlineLevel="0" collapsed="false">
      <c r="A341" s="11"/>
      <c r="B341" s="9"/>
      <c r="C341" s="9"/>
      <c r="D341" s="9"/>
      <c r="E341" s="10"/>
      <c r="F341" s="9"/>
    </row>
    <row r="342" customFormat="false" ht="15" hidden="false" customHeight="false" outlineLevel="0" collapsed="false">
      <c r="A342" s="11"/>
      <c r="B342" s="9"/>
      <c r="C342" s="9"/>
      <c r="D342" s="9"/>
      <c r="E342" s="10"/>
      <c r="F342" s="9"/>
    </row>
    <row r="343" customFormat="false" ht="15" hidden="false" customHeight="false" outlineLevel="0" collapsed="false">
      <c r="A343" s="11"/>
      <c r="B343" s="9"/>
      <c r="C343" s="9"/>
      <c r="D343" s="9"/>
      <c r="E343" s="10"/>
      <c r="F343" s="9"/>
    </row>
    <row r="344" customFormat="false" ht="15" hidden="false" customHeight="false" outlineLevel="0" collapsed="false">
      <c r="A344" s="11"/>
      <c r="B344" s="9"/>
      <c r="C344" s="9"/>
      <c r="D344" s="9"/>
      <c r="E344" s="10"/>
      <c r="F344" s="9"/>
    </row>
    <row r="345" customFormat="false" ht="15" hidden="false" customHeight="false" outlineLevel="0" collapsed="false">
      <c r="A345" s="11"/>
      <c r="B345" s="9"/>
      <c r="C345" s="9"/>
      <c r="D345" s="9"/>
      <c r="E345" s="10"/>
      <c r="F345" s="9"/>
    </row>
    <row r="346" customFormat="false" ht="15" hidden="false" customHeight="false" outlineLevel="0" collapsed="false">
      <c r="A346" s="11"/>
      <c r="B346" s="9"/>
      <c r="C346" s="9"/>
      <c r="D346" s="9"/>
      <c r="E346" s="10"/>
      <c r="F346" s="9"/>
    </row>
    <row r="347" customFormat="false" ht="15" hidden="false" customHeight="false" outlineLevel="0" collapsed="false">
      <c r="A347" s="11"/>
      <c r="B347" s="9"/>
      <c r="C347" s="9"/>
      <c r="D347" s="9"/>
      <c r="E347" s="10"/>
      <c r="F347" s="9"/>
    </row>
    <row r="348" customFormat="false" ht="15" hidden="false" customHeight="false" outlineLevel="0" collapsed="false">
      <c r="A348" s="11"/>
      <c r="B348" s="9"/>
      <c r="C348" s="9"/>
      <c r="D348" s="9"/>
      <c r="E348" s="10"/>
      <c r="F348" s="9"/>
    </row>
    <row r="349" customFormat="false" ht="15" hidden="false" customHeight="false" outlineLevel="0" collapsed="false">
      <c r="A349" s="11"/>
      <c r="B349" s="9"/>
      <c r="C349" s="9"/>
      <c r="D349" s="9"/>
      <c r="E349" s="10"/>
      <c r="F349" s="9"/>
    </row>
    <row r="350" customFormat="false" ht="15" hidden="false" customHeight="false" outlineLevel="0" collapsed="false">
      <c r="A350" s="11"/>
      <c r="B350" s="9"/>
      <c r="C350" s="9"/>
      <c r="D350" s="9"/>
      <c r="E350" s="10"/>
      <c r="F350" s="9"/>
    </row>
    <row r="351" customFormat="false" ht="15" hidden="false" customHeight="false" outlineLevel="0" collapsed="false">
      <c r="A351" s="11"/>
      <c r="B351" s="9"/>
      <c r="C351" s="9"/>
      <c r="D351" s="9"/>
      <c r="E351" s="10"/>
      <c r="F351" s="9"/>
    </row>
    <row r="352" customFormat="false" ht="15" hidden="false" customHeight="false" outlineLevel="0" collapsed="false">
      <c r="A352" s="11"/>
      <c r="B352" s="9"/>
      <c r="C352" s="9"/>
      <c r="D352" s="9"/>
      <c r="E352" s="10"/>
      <c r="F352" s="9"/>
    </row>
    <row r="353" customFormat="false" ht="15" hidden="false" customHeight="false" outlineLevel="0" collapsed="false">
      <c r="A353" s="11"/>
      <c r="B353" s="9"/>
      <c r="C353" s="9"/>
      <c r="D353" s="9"/>
      <c r="E353" s="10"/>
      <c r="F353" s="9"/>
    </row>
    <row r="354" customFormat="false" ht="15" hidden="false" customHeight="false" outlineLevel="0" collapsed="false">
      <c r="A354" s="11"/>
      <c r="B354" s="9"/>
      <c r="C354" s="9"/>
      <c r="D354" s="9"/>
      <c r="E354" s="10"/>
      <c r="F354" s="9"/>
    </row>
    <row r="355" customFormat="false" ht="15" hidden="false" customHeight="false" outlineLevel="0" collapsed="false">
      <c r="A355" s="11"/>
      <c r="B355" s="9"/>
      <c r="C355" s="9"/>
      <c r="D355" s="9"/>
      <c r="E355" s="10"/>
      <c r="F355" s="9"/>
    </row>
    <row r="356" customFormat="false" ht="15" hidden="false" customHeight="false" outlineLevel="0" collapsed="false">
      <c r="A356" s="11"/>
      <c r="B356" s="9"/>
      <c r="C356" s="9"/>
      <c r="D356" s="9"/>
      <c r="E356" s="10"/>
      <c r="F356" s="9"/>
    </row>
    <row r="357" customFormat="false" ht="15" hidden="false" customHeight="false" outlineLevel="0" collapsed="false">
      <c r="A357" s="11"/>
      <c r="B357" s="9"/>
      <c r="C357" s="9"/>
      <c r="D357" s="9"/>
      <c r="E357" s="10"/>
      <c r="F357" s="9"/>
    </row>
    <row r="358" customFormat="false" ht="15" hidden="false" customHeight="false" outlineLevel="0" collapsed="false">
      <c r="A358" s="11"/>
      <c r="B358" s="9"/>
      <c r="C358" s="9"/>
      <c r="D358" s="9"/>
      <c r="E358" s="10"/>
      <c r="F358" s="9"/>
    </row>
    <row r="359" customFormat="false" ht="15" hidden="false" customHeight="false" outlineLevel="0" collapsed="false">
      <c r="A359" s="11"/>
      <c r="B359" s="9"/>
      <c r="C359" s="9"/>
      <c r="D359" s="9"/>
      <c r="E359" s="10"/>
      <c r="F359" s="9"/>
    </row>
    <row r="360" customFormat="false" ht="15" hidden="false" customHeight="false" outlineLevel="0" collapsed="false">
      <c r="A360" s="11"/>
      <c r="B360" s="9"/>
      <c r="C360" s="9"/>
      <c r="D360" s="9"/>
      <c r="E360" s="10"/>
      <c r="F360" s="9"/>
    </row>
    <row r="361" customFormat="false" ht="15" hidden="false" customHeight="false" outlineLevel="0" collapsed="false">
      <c r="A361" s="11"/>
      <c r="B361" s="9"/>
      <c r="C361" s="9"/>
      <c r="D361" s="9"/>
      <c r="E361" s="10"/>
      <c r="F361" s="9"/>
    </row>
    <row r="362" customFormat="false" ht="15" hidden="false" customHeight="false" outlineLevel="0" collapsed="false">
      <c r="A362" s="11"/>
      <c r="B362" s="9"/>
      <c r="C362" s="9"/>
      <c r="D362" s="9"/>
      <c r="E362" s="10"/>
      <c r="F362" s="9"/>
    </row>
    <row r="363" customFormat="false" ht="15" hidden="false" customHeight="false" outlineLevel="0" collapsed="false">
      <c r="A363" s="11"/>
      <c r="B363" s="9"/>
      <c r="C363" s="9"/>
      <c r="D363" s="9"/>
      <c r="E363" s="10"/>
      <c r="F363" s="9"/>
    </row>
    <row r="364" customFormat="false" ht="15" hidden="false" customHeight="false" outlineLevel="0" collapsed="false">
      <c r="A364" s="11"/>
      <c r="B364" s="9"/>
      <c r="C364" s="9"/>
      <c r="D364" s="9"/>
      <c r="E364" s="10"/>
      <c r="F364" s="9"/>
    </row>
    <row r="365" customFormat="false" ht="15" hidden="false" customHeight="false" outlineLevel="0" collapsed="false">
      <c r="A365" s="11"/>
      <c r="B365" s="9"/>
      <c r="C365" s="9"/>
      <c r="D365" s="9"/>
      <c r="E365" s="10"/>
      <c r="F365" s="9"/>
    </row>
    <row r="366" customFormat="false" ht="15" hidden="false" customHeight="false" outlineLevel="0" collapsed="false">
      <c r="A366" s="11"/>
      <c r="B366" s="9"/>
      <c r="C366" s="9"/>
      <c r="D366" s="9"/>
      <c r="E366" s="10"/>
      <c r="F366" s="9"/>
    </row>
    <row r="367" customFormat="false" ht="15" hidden="false" customHeight="false" outlineLevel="0" collapsed="false">
      <c r="A367" s="11"/>
      <c r="B367" s="9"/>
      <c r="C367" s="9"/>
      <c r="D367" s="9"/>
      <c r="E367" s="10"/>
      <c r="F367" s="9"/>
    </row>
    <row r="368" customFormat="false" ht="15" hidden="false" customHeight="false" outlineLevel="0" collapsed="false">
      <c r="A368" s="11"/>
      <c r="B368" s="9"/>
      <c r="C368" s="9"/>
      <c r="D368" s="9"/>
      <c r="E368" s="10"/>
      <c r="F368" s="9"/>
    </row>
    <row r="369" customFormat="false" ht="15" hidden="false" customHeight="false" outlineLevel="0" collapsed="false">
      <c r="A369" s="11"/>
      <c r="B369" s="9"/>
      <c r="C369" s="9"/>
      <c r="D369" s="9"/>
      <c r="E369" s="10"/>
      <c r="F369" s="9"/>
    </row>
    <row r="370" customFormat="false" ht="15" hidden="false" customHeight="false" outlineLevel="0" collapsed="false">
      <c r="A370" s="11"/>
      <c r="B370" s="9"/>
      <c r="C370" s="9"/>
      <c r="D370" s="9"/>
      <c r="E370" s="10"/>
      <c r="F370" s="9"/>
    </row>
    <row r="371" customFormat="false" ht="15" hidden="false" customHeight="false" outlineLevel="0" collapsed="false">
      <c r="A371" s="11"/>
      <c r="B371" s="9"/>
      <c r="C371" s="9"/>
      <c r="D371" s="9"/>
      <c r="E371" s="10"/>
      <c r="F371" s="9"/>
    </row>
    <row r="372" customFormat="false" ht="15" hidden="false" customHeight="false" outlineLevel="0" collapsed="false">
      <c r="A372" s="11"/>
      <c r="B372" s="9"/>
      <c r="C372" s="9"/>
      <c r="D372" s="9"/>
      <c r="E372" s="10"/>
      <c r="F372" s="9"/>
    </row>
    <row r="373" customFormat="false" ht="15" hidden="false" customHeight="false" outlineLevel="0" collapsed="false">
      <c r="A373" s="11"/>
      <c r="B373" s="9"/>
      <c r="C373" s="9"/>
      <c r="D373" s="9"/>
      <c r="E373" s="10"/>
      <c r="F373" s="9"/>
    </row>
    <row r="374" customFormat="false" ht="15" hidden="false" customHeight="false" outlineLevel="0" collapsed="false">
      <c r="A374" s="11"/>
      <c r="B374" s="9"/>
      <c r="C374" s="9"/>
      <c r="D374" s="9"/>
      <c r="E374" s="10"/>
      <c r="F374" s="9"/>
    </row>
    <row r="375" customFormat="false" ht="15" hidden="false" customHeight="false" outlineLevel="0" collapsed="false">
      <c r="A375" s="11"/>
      <c r="B375" s="9"/>
      <c r="C375" s="9"/>
      <c r="D375" s="9"/>
      <c r="E375" s="10"/>
      <c r="F375" s="9"/>
    </row>
    <row r="376" customFormat="false" ht="15" hidden="false" customHeight="false" outlineLevel="0" collapsed="false">
      <c r="A376" s="11"/>
      <c r="B376" s="9"/>
      <c r="C376" s="9"/>
      <c r="D376" s="9"/>
      <c r="E376" s="10"/>
      <c r="F376" s="9"/>
    </row>
    <row r="377" customFormat="false" ht="15" hidden="false" customHeight="false" outlineLevel="0" collapsed="false">
      <c r="A377" s="11"/>
      <c r="B377" s="9"/>
      <c r="C377" s="9"/>
      <c r="D377" s="9"/>
      <c r="E377" s="10"/>
      <c r="F377" s="9"/>
    </row>
    <row r="378" customFormat="false" ht="15" hidden="false" customHeight="false" outlineLevel="0" collapsed="false">
      <c r="A378" s="11"/>
      <c r="B378" s="9"/>
      <c r="C378" s="9"/>
      <c r="D378" s="9"/>
      <c r="E378" s="10"/>
      <c r="F378" s="9"/>
    </row>
    <row r="379" customFormat="false" ht="15" hidden="false" customHeight="false" outlineLevel="0" collapsed="false">
      <c r="A379" s="11"/>
      <c r="B379" s="9"/>
      <c r="C379" s="9"/>
      <c r="D379" s="9"/>
      <c r="E379" s="10"/>
      <c r="F379" s="9"/>
    </row>
    <row r="380" customFormat="false" ht="15" hidden="false" customHeight="false" outlineLevel="0" collapsed="false">
      <c r="A380" s="11"/>
      <c r="B380" s="9"/>
      <c r="C380" s="9"/>
      <c r="D380" s="9"/>
      <c r="E380" s="10"/>
      <c r="F380" s="9"/>
    </row>
    <row r="381" customFormat="false" ht="15" hidden="false" customHeight="false" outlineLevel="0" collapsed="false">
      <c r="A381" s="11"/>
      <c r="B381" s="9"/>
      <c r="C381" s="9"/>
      <c r="D381" s="9"/>
      <c r="E381" s="10"/>
      <c r="F381" s="9"/>
    </row>
    <row r="382" customFormat="false" ht="15" hidden="false" customHeight="false" outlineLevel="0" collapsed="false">
      <c r="A382" s="11"/>
      <c r="B382" s="9"/>
      <c r="C382" s="9"/>
      <c r="D382" s="9"/>
      <c r="E382" s="10"/>
      <c r="F382" s="9"/>
    </row>
    <row r="383" customFormat="false" ht="15" hidden="false" customHeight="false" outlineLevel="0" collapsed="false">
      <c r="A383" s="11"/>
      <c r="B383" s="9"/>
      <c r="C383" s="9"/>
      <c r="D383" s="9"/>
      <c r="E383" s="10"/>
      <c r="F383" s="9"/>
    </row>
    <row r="384" customFormat="false" ht="15" hidden="false" customHeight="false" outlineLevel="0" collapsed="false">
      <c r="A384" s="11"/>
      <c r="B384" s="9"/>
      <c r="C384" s="9"/>
      <c r="D384" s="9"/>
      <c r="E384" s="10"/>
      <c r="F384" s="9"/>
    </row>
    <row r="385" customFormat="false" ht="15" hidden="false" customHeight="false" outlineLevel="0" collapsed="false">
      <c r="A385" s="11"/>
      <c r="B385" s="9"/>
      <c r="C385" s="9"/>
      <c r="D385" s="9"/>
      <c r="E385" s="10"/>
      <c r="F385" s="9"/>
    </row>
    <row r="386" customFormat="false" ht="15" hidden="false" customHeight="false" outlineLevel="0" collapsed="false">
      <c r="A386" s="11"/>
      <c r="B386" s="9"/>
      <c r="C386" s="9"/>
      <c r="D386" s="9"/>
      <c r="E386" s="10"/>
      <c r="F386" s="9"/>
    </row>
    <row r="387" customFormat="false" ht="15" hidden="false" customHeight="false" outlineLevel="0" collapsed="false">
      <c r="A387" s="11"/>
      <c r="B387" s="9"/>
      <c r="C387" s="9"/>
      <c r="D387" s="9"/>
      <c r="E387" s="10"/>
      <c r="F387" s="9"/>
    </row>
    <row r="388" customFormat="false" ht="15" hidden="false" customHeight="false" outlineLevel="0" collapsed="false">
      <c r="A388" s="11"/>
      <c r="B388" s="9"/>
      <c r="C388" s="9"/>
      <c r="D388" s="9"/>
      <c r="E388" s="10"/>
      <c r="F388" s="9"/>
    </row>
    <row r="389" customFormat="false" ht="15" hidden="false" customHeight="false" outlineLevel="0" collapsed="false">
      <c r="A389" s="11"/>
      <c r="B389" s="9"/>
      <c r="C389" s="9"/>
      <c r="D389" s="9"/>
      <c r="E389" s="10"/>
      <c r="F389" s="9"/>
    </row>
    <row r="390" customFormat="false" ht="15" hidden="false" customHeight="false" outlineLevel="0" collapsed="false">
      <c r="A390" s="11"/>
      <c r="B390" s="9"/>
      <c r="C390" s="9"/>
      <c r="D390" s="9"/>
      <c r="E390" s="10"/>
      <c r="F390" s="9"/>
    </row>
    <row r="391" customFormat="false" ht="15" hidden="false" customHeight="false" outlineLevel="0" collapsed="false">
      <c r="A391" s="11"/>
      <c r="B391" s="9"/>
      <c r="C391" s="9"/>
      <c r="D391" s="9"/>
      <c r="E391" s="10"/>
      <c r="F391" s="9"/>
    </row>
    <row r="392" customFormat="false" ht="15" hidden="false" customHeight="false" outlineLevel="0" collapsed="false">
      <c r="A392" s="11"/>
      <c r="B392" s="9"/>
      <c r="C392" s="9"/>
      <c r="D392" s="9"/>
      <c r="E392" s="10"/>
      <c r="F392" s="9"/>
    </row>
    <row r="393" customFormat="false" ht="15" hidden="false" customHeight="false" outlineLevel="0" collapsed="false">
      <c r="A393" s="11"/>
      <c r="B393" s="9"/>
      <c r="C393" s="9"/>
      <c r="D393" s="9"/>
      <c r="E393" s="10"/>
      <c r="F393" s="9"/>
    </row>
    <row r="394" customFormat="false" ht="15" hidden="false" customHeight="false" outlineLevel="0" collapsed="false">
      <c r="A394" s="11"/>
      <c r="B394" s="9"/>
      <c r="C394" s="9"/>
      <c r="D394" s="9"/>
      <c r="E394" s="10"/>
      <c r="F394" s="9"/>
    </row>
    <row r="395" customFormat="false" ht="15" hidden="false" customHeight="false" outlineLevel="0" collapsed="false">
      <c r="A395" s="11"/>
      <c r="B395" s="9"/>
      <c r="C395" s="9"/>
      <c r="D395" s="9"/>
      <c r="E395" s="10"/>
      <c r="F395" s="9"/>
    </row>
    <row r="396" customFormat="false" ht="15" hidden="false" customHeight="false" outlineLevel="0" collapsed="false">
      <c r="A396" s="11"/>
      <c r="B396" s="9"/>
      <c r="C396" s="9"/>
      <c r="D396" s="9"/>
      <c r="E396" s="10"/>
      <c r="F396" s="9"/>
    </row>
    <row r="397" customFormat="false" ht="15" hidden="false" customHeight="false" outlineLevel="0" collapsed="false">
      <c r="A397" s="11"/>
      <c r="B397" s="9"/>
      <c r="C397" s="9"/>
      <c r="D397" s="9"/>
      <c r="E397" s="10"/>
      <c r="F397" s="9"/>
    </row>
    <row r="398" customFormat="false" ht="15" hidden="false" customHeight="false" outlineLevel="0" collapsed="false">
      <c r="A398" s="11"/>
      <c r="B398" s="9"/>
      <c r="C398" s="9"/>
      <c r="D398" s="9"/>
      <c r="E398" s="10"/>
      <c r="F398" s="9"/>
    </row>
    <row r="399" customFormat="false" ht="15" hidden="false" customHeight="false" outlineLevel="0" collapsed="false">
      <c r="A399" s="11"/>
      <c r="B399" s="9"/>
      <c r="C399" s="9"/>
      <c r="D399" s="9"/>
      <c r="E399" s="10"/>
      <c r="F399" s="9"/>
    </row>
    <row r="400" customFormat="false" ht="15" hidden="false" customHeight="false" outlineLevel="0" collapsed="false">
      <c r="A400" s="11"/>
      <c r="B400" s="9"/>
      <c r="C400" s="9"/>
      <c r="D400" s="9"/>
      <c r="E400" s="10"/>
      <c r="F400" s="9"/>
    </row>
    <row r="401" customFormat="false" ht="15" hidden="false" customHeight="false" outlineLevel="0" collapsed="false">
      <c r="A401" s="11"/>
      <c r="B401" s="9"/>
      <c r="C401" s="9"/>
      <c r="D401" s="9"/>
      <c r="E401" s="10"/>
      <c r="F401" s="9"/>
    </row>
    <row r="402" customFormat="false" ht="15" hidden="false" customHeight="false" outlineLevel="0" collapsed="false">
      <c r="A402" s="11"/>
      <c r="B402" s="9"/>
      <c r="C402" s="9"/>
      <c r="D402" s="9"/>
      <c r="E402" s="10"/>
      <c r="F402" s="9"/>
    </row>
    <row r="403" customFormat="false" ht="15" hidden="false" customHeight="false" outlineLevel="0" collapsed="false">
      <c r="A403" s="11"/>
      <c r="B403" s="9"/>
      <c r="C403" s="9"/>
      <c r="D403" s="9"/>
      <c r="E403" s="10"/>
      <c r="F403" s="9"/>
    </row>
    <row r="404" customFormat="false" ht="15" hidden="false" customHeight="false" outlineLevel="0" collapsed="false">
      <c r="A404" s="11"/>
      <c r="B404" s="9"/>
      <c r="C404" s="9"/>
      <c r="D404" s="9"/>
      <c r="E404" s="10"/>
      <c r="F404" s="9"/>
    </row>
    <row r="405" customFormat="false" ht="15" hidden="false" customHeight="false" outlineLevel="0" collapsed="false">
      <c r="A405" s="11"/>
      <c r="B405" s="9"/>
      <c r="C405" s="9"/>
      <c r="D405" s="9"/>
      <c r="E405" s="10"/>
      <c r="F405" s="9"/>
    </row>
    <row r="406" customFormat="false" ht="15" hidden="false" customHeight="false" outlineLevel="0" collapsed="false">
      <c r="A406" s="11"/>
      <c r="B406" s="9"/>
      <c r="C406" s="9"/>
      <c r="D406" s="9"/>
      <c r="E406" s="10"/>
      <c r="F406" s="9"/>
    </row>
    <row r="407" customFormat="false" ht="15" hidden="false" customHeight="false" outlineLevel="0" collapsed="false">
      <c r="A407" s="11"/>
      <c r="B407" s="9"/>
      <c r="C407" s="9"/>
      <c r="D407" s="9"/>
      <c r="E407" s="10"/>
      <c r="F407" s="9"/>
    </row>
    <row r="408" customFormat="false" ht="15" hidden="false" customHeight="false" outlineLevel="0" collapsed="false">
      <c r="A408" s="11"/>
      <c r="B408" s="9"/>
      <c r="C408" s="9"/>
      <c r="D408" s="9"/>
      <c r="E408" s="10"/>
      <c r="F408" s="9"/>
    </row>
    <row r="409" customFormat="false" ht="15" hidden="false" customHeight="false" outlineLevel="0" collapsed="false">
      <c r="A409" s="11"/>
      <c r="B409" s="9"/>
      <c r="C409" s="9"/>
      <c r="D409" s="9"/>
      <c r="E409" s="10"/>
      <c r="F409" s="9"/>
    </row>
    <row r="410" customFormat="false" ht="15" hidden="false" customHeight="false" outlineLevel="0" collapsed="false">
      <c r="A410" s="11"/>
      <c r="B410" s="9"/>
      <c r="C410" s="9"/>
      <c r="D410" s="9"/>
      <c r="E410" s="10"/>
      <c r="F410" s="9"/>
    </row>
    <row r="411" customFormat="false" ht="15" hidden="false" customHeight="false" outlineLevel="0" collapsed="false">
      <c r="A411" s="11"/>
      <c r="B411" s="9"/>
      <c r="C411" s="9"/>
      <c r="D411" s="9"/>
      <c r="E411" s="10"/>
      <c r="F411" s="9"/>
    </row>
    <row r="412" customFormat="false" ht="15" hidden="false" customHeight="false" outlineLevel="0" collapsed="false">
      <c r="A412" s="11"/>
      <c r="B412" s="9"/>
      <c r="C412" s="9"/>
      <c r="D412" s="9"/>
      <c r="E412" s="10"/>
      <c r="F412" s="9"/>
    </row>
    <row r="413" customFormat="false" ht="15" hidden="false" customHeight="false" outlineLevel="0" collapsed="false">
      <c r="A413" s="11"/>
      <c r="B413" s="9"/>
      <c r="C413" s="9"/>
      <c r="D413" s="9"/>
      <c r="E413" s="10"/>
      <c r="F413" s="9"/>
    </row>
    <row r="414" customFormat="false" ht="15" hidden="false" customHeight="false" outlineLevel="0" collapsed="false">
      <c r="A414" s="11"/>
      <c r="B414" s="9"/>
      <c r="C414" s="9"/>
      <c r="D414" s="9"/>
      <c r="E414" s="10"/>
      <c r="F414" s="9"/>
    </row>
    <row r="415" customFormat="false" ht="15" hidden="false" customHeight="false" outlineLevel="0" collapsed="false">
      <c r="A415" s="11"/>
      <c r="B415" s="9"/>
      <c r="C415" s="9"/>
      <c r="D415" s="9"/>
      <c r="E415" s="10"/>
      <c r="F415" s="9"/>
    </row>
    <row r="416" customFormat="false" ht="15" hidden="false" customHeight="false" outlineLevel="0" collapsed="false">
      <c r="A416" s="11"/>
      <c r="B416" s="9"/>
      <c r="C416" s="9"/>
      <c r="D416" s="9"/>
      <c r="E416" s="10"/>
      <c r="F416" s="9"/>
    </row>
    <row r="417" customFormat="false" ht="15" hidden="false" customHeight="false" outlineLevel="0" collapsed="false">
      <c r="A417" s="11"/>
      <c r="B417" s="9"/>
      <c r="C417" s="9"/>
      <c r="D417" s="9"/>
      <c r="E417" s="10"/>
      <c r="F417" s="9"/>
    </row>
    <row r="418" customFormat="false" ht="15" hidden="false" customHeight="false" outlineLevel="0" collapsed="false">
      <c r="A418" s="11"/>
      <c r="B418" s="9"/>
      <c r="C418" s="9"/>
      <c r="D418" s="9"/>
      <c r="E418" s="10"/>
      <c r="F418" s="9"/>
    </row>
    <row r="419" customFormat="false" ht="15" hidden="false" customHeight="false" outlineLevel="0" collapsed="false">
      <c r="A419" s="11"/>
      <c r="B419" s="9"/>
      <c r="C419" s="9"/>
      <c r="D419" s="9"/>
      <c r="E419" s="10"/>
      <c r="F419" s="9"/>
    </row>
    <row r="420" customFormat="false" ht="15" hidden="false" customHeight="false" outlineLevel="0" collapsed="false">
      <c r="A420" s="11"/>
      <c r="B420" s="9"/>
      <c r="C420" s="9"/>
      <c r="D420" s="9"/>
      <c r="E420" s="10"/>
      <c r="F420" s="9"/>
    </row>
    <row r="421" customFormat="false" ht="15" hidden="false" customHeight="false" outlineLevel="0" collapsed="false">
      <c r="A421" s="11"/>
      <c r="B421" s="9"/>
      <c r="C421" s="9"/>
      <c r="D421" s="9"/>
      <c r="E421" s="10"/>
      <c r="F421" s="9"/>
    </row>
    <row r="422" customFormat="false" ht="15" hidden="false" customHeight="false" outlineLevel="0" collapsed="false">
      <c r="A422" s="11"/>
      <c r="B422" s="9"/>
      <c r="C422" s="9"/>
      <c r="D422" s="9"/>
      <c r="E422" s="10"/>
      <c r="F422" s="9"/>
    </row>
    <row r="423" customFormat="false" ht="15" hidden="false" customHeight="false" outlineLevel="0" collapsed="false">
      <c r="A423" s="11"/>
      <c r="B423" s="9"/>
      <c r="C423" s="9"/>
      <c r="D423" s="9"/>
      <c r="E423" s="10"/>
      <c r="F423" s="9"/>
    </row>
    <row r="424" customFormat="false" ht="15" hidden="false" customHeight="false" outlineLevel="0" collapsed="false">
      <c r="A424" s="11"/>
      <c r="B424" s="9"/>
      <c r="C424" s="9"/>
      <c r="D424" s="9"/>
      <c r="E424" s="10"/>
      <c r="F424" s="9"/>
    </row>
    <row r="425" customFormat="false" ht="15" hidden="false" customHeight="false" outlineLevel="0" collapsed="false">
      <c r="A425" s="11"/>
      <c r="B425" s="9"/>
      <c r="C425" s="9"/>
      <c r="D425" s="9"/>
      <c r="E425" s="10"/>
      <c r="F425" s="9"/>
    </row>
    <row r="426" customFormat="false" ht="15" hidden="false" customHeight="false" outlineLevel="0" collapsed="false">
      <c r="A426" s="11"/>
      <c r="B426" s="9"/>
      <c r="C426" s="9"/>
      <c r="D426" s="9"/>
      <c r="E426" s="10"/>
      <c r="F426" s="9"/>
    </row>
    <row r="427" customFormat="false" ht="15" hidden="false" customHeight="false" outlineLevel="0" collapsed="false">
      <c r="A427" s="11"/>
      <c r="B427" s="9"/>
      <c r="C427" s="9"/>
      <c r="D427" s="9"/>
      <c r="E427" s="10"/>
      <c r="F427" s="9"/>
    </row>
    <row r="428" customFormat="false" ht="15" hidden="false" customHeight="false" outlineLevel="0" collapsed="false">
      <c r="A428" s="11"/>
      <c r="B428" s="9"/>
      <c r="C428" s="9"/>
      <c r="D428" s="9"/>
      <c r="E428" s="10"/>
      <c r="F428" s="9"/>
    </row>
    <row r="429" customFormat="false" ht="15" hidden="false" customHeight="false" outlineLevel="0" collapsed="false">
      <c r="A429" s="11"/>
      <c r="B429" s="9"/>
      <c r="C429" s="9"/>
      <c r="D429" s="9"/>
      <c r="E429" s="10"/>
      <c r="F429" s="9"/>
    </row>
    <row r="430" customFormat="false" ht="15" hidden="false" customHeight="false" outlineLevel="0" collapsed="false">
      <c r="A430" s="11"/>
      <c r="B430" s="9"/>
      <c r="C430" s="9"/>
      <c r="D430" s="9"/>
      <c r="E430" s="10"/>
      <c r="F430" s="9"/>
    </row>
    <row r="431" customFormat="false" ht="15" hidden="false" customHeight="false" outlineLevel="0" collapsed="false">
      <c r="A431" s="11"/>
      <c r="B431" s="9"/>
      <c r="C431" s="9"/>
      <c r="D431" s="9"/>
      <c r="E431" s="10"/>
      <c r="F431" s="9"/>
    </row>
    <row r="432" customFormat="false" ht="15" hidden="false" customHeight="false" outlineLevel="0" collapsed="false">
      <c r="A432" s="11"/>
      <c r="B432" s="9"/>
      <c r="C432" s="9"/>
      <c r="D432" s="9"/>
      <c r="E432" s="10"/>
      <c r="F432" s="9"/>
    </row>
    <row r="433" customFormat="false" ht="15" hidden="false" customHeight="false" outlineLevel="0" collapsed="false">
      <c r="A433" s="11"/>
      <c r="B433" s="9"/>
      <c r="C433" s="9"/>
      <c r="D433" s="9"/>
      <c r="E433" s="10"/>
      <c r="F433" s="9"/>
    </row>
    <row r="434" customFormat="false" ht="15" hidden="false" customHeight="false" outlineLevel="0" collapsed="false">
      <c r="A434" s="11"/>
      <c r="B434" s="9"/>
      <c r="C434" s="9"/>
      <c r="D434" s="9"/>
      <c r="E434" s="10"/>
      <c r="F434" s="9"/>
    </row>
    <row r="435" customFormat="false" ht="15" hidden="false" customHeight="false" outlineLevel="0" collapsed="false">
      <c r="A435" s="11"/>
      <c r="B435" s="9"/>
      <c r="C435" s="9"/>
      <c r="D435" s="9"/>
      <c r="E435" s="10"/>
      <c r="F435" s="9"/>
    </row>
    <row r="436" customFormat="false" ht="15" hidden="false" customHeight="false" outlineLevel="0" collapsed="false">
      <c r="A436" s="11"/>
      <c r="B436" s="9"/>
      <c r="C436" s="9"/>
      <c r="D436" s="9"/>
      <c r="E436" s="10"/>
      <c r="F436" s="9"/>
    </row>
    <row r="437" customFormat="false" ht="15" hidden="false" customHeight="false" outlineLevel="0" collapsed="false">
      <c r="A437" s="11"/>
      <c r="B437" s="9"/>
      <c r="C437" s="9"/>
      <c r="D437" s="9"/>
      <c r="E437" s="10"/>
      <c r="F437" s="9"/>
    </row>
    <row r="438" customFormat="false" ht="15" hidden="false" customHeight="false" outlineLevel="0" collapsed="false">
      <c r="A438" s="11"/>
      <c r="B438" s="9"/>
      <c r="C438" s="9"/>
      <c r="D438" s="9"/>
      <c r="E438" s="10"/>
      <c r="F438" s="9"/>
    </row>
    <row r="439" customFormat="false" ht="15" hidden="false" customHeight="false" outlineLevel="0" collapsed="false">
      <c r="A439" s="11"/>
      <c r="B439" s="9"/>
      <c r="C439" s="9"/>
      <c r="D439" s="9"/>
      <c r="E439" s="10"/>
      <c r="F439" s="9"/>
    </row>
    <row r="440" customFormat="false" ht="15" hidden="false" customHeight="false" outlineLevel="0" collapsed="false">
      <c r="A440" s="11"/>
      <c r="B440" s="9"/>
      <c r="C440" s="9"/>
      <c r="D440" s="9"/>
      <c r="E440" s="10"/>
      <c r="F440" s="9"/>
    </row>
    <row r="441" customFormat="false" ht="15" hidden="false" customHeight="false" outlineLevel="0" collapsed="false">
      <c r="A441" s="11"/>
      <c r="B441" s="9"/>
      <c r="C441" s="9"/>
      <c r="D441" s="9"/>
      <c r="E441" s="10"/>
      <c r="F441" s="9"/>
    </row>
    <row r="442" customFormat="false" ht="15" hidden="false" customHeight="false" outlineLevel="0" collapsed="false">
      <c r="A442" s="11"/>
      <c r="B442" s="9"/>
      <c r="C442" s="9"/>
      <c r="D442" s="9"/>
      <c r="E442" s="10"/>
      <c r="F442" s="9"/>
    </row>
    <row r="443" customFormat="false" ht="15" hidden="false" customHeight="false" outlineLevel="0" collapsed="false">
      <c r="A443" s="11"/>
      <c r="B443" s="9"/>
      <c r="C443" s="9"/>
      <c r="D443" s="9"/>
      <c r="E443" s="10"/>
      <c r="F443" s="9"/>
    </row>
    <row r="444" customFormat="false" ht="15" hidden="false" customHeight="false" outlineLevel="0" collapsed="false">
      <c r="A444" s="11"/>
      <c r="B444" s="9"/>
      <c r="C444" s="9"/>
      <c r="D444" s="9"/>
      <c r="E444" s="10"/>
      <c r="F444" s="9"/>
    </row>
    <row r="445" customFormat="false" ht="15" hidden="false" customHeight="false" outlineLevel="0" collapsed="false">
      <c r="A445" s="11"/>
      <c r="B445" s="9"/>
      <c r="C445" s="9"/>
      <c r="D445" s="9"/>
      <c r="E445" s="10"/>
      <c r="F445" s="9"/>
    </row>
    <row r="446" customFormat="false" ht="15" hidden="false" customHeight="false" outlineLevel="0" collapsed="false">
      <c r="A446" s="11"/>
      <c r="B446" s="9"/>
      <c r="C446" s="9"/>
      <c r="D446" s="9"/>
      <c r="E446" s="10"/>
      <c r="F446" s="9"/>
    </row>
    <row r="447" customFormat="false" ht="15" hidden="false" customHeight="false" outlineLevel="0" collapsed="false">
      <c r="A447" s="11"/>
      <c r="B447" s="9"/>
      <c r="C447" s="9"/>
      <c r="D447" s="9"/>
      <c r="E447" s="10"/>
      <c r="F447" s="9"/>
    </row>
    <row r="448" customFormat="false" ht="15" hidden="false" customHeight="false" outlineLevel="0" collapsed="false">
      <c r="A448" s="11"/>
      <c r="B448" s="9"/>
      <c r="C448" s="9"/>
      <c r="D448" s="9"/>
      <c r="E448" s="10"/>
      <c r="F448" s="9"/>
    </row>
    <row r="449" customFormat="false" ht="15" hidden="false" customHeight="false" outlineLevel="0" collapsed="false">
      <c r="A449" s="11"/>
      <c r="B449" s="9"/>
      <c r="C449" s="9"/>
      <c r="D449" s="9"/>
      <c r="E449" s="10"/>
      <c r="F449" s="9"/>
    </row>
    <row r="450" customFormat="false" ht="15" hidden="false" customHeight="false" outlineLevel="0" collapsed="false">
      <c r="A450" s="11"/>
      <c r="B450" s="9"/>
      <c r="C450" s="9"/>
      <c r="D450" s="9"/>
      <c r="E450" s="10"/>
      <c r="F450" s="9"/>
    </row>
    <row r="451" customFormat="false" ht="15" hidden="false" customHeight="false" outlineLevel="0" collapsed="false">
      <c r="A451" s="11"/>
      <c r="B451" s="9"/>
      <c r="C451" s="9"/>
      <c r="D451" s="9"/>
      <c r="E451" s="10"/>
      <c r="F451" s="9"/>
    </row>
    <row r="452" customFormat="false" ht="15" hidden="false" customHeight="false" outlineLevel="0" collapsed="false">
      <c r="A452" s="11"/>
      <c r="B452" s="9"/>
      <c r="C452" s="9"/>
      <c r="D452" s="9"/>
      <c r="E452" s="10"/>
      <c r="F452" s="9"/>
    </row>
    <row r="453" customFormat="false" ht="15" hidden="false" customHeight="false" outlineLevel="0" collapsed="false">
      <c r="A453" s="11"/>
      <c r="B453" s="9"/>
      <c r="C453" s="9"/>
      <c r="D453" s="9"/>
      <c r="E453" s="10"/>
      <c r="F453" s="9"/>
    </row>
    <row r="454" customFormat="false" ht="15" hidden="false" customHeight="false" outlineLevel="0" collapsed="false">
      <c r="A454" s="11"/>
      <c r="B454" s="9"/>
      <c r="C454" s="9"/>
      <c r="D454" s="9"/>
      <c r="E454" s="10"/>
      <c r="F454" s="9"/>
    </row>
    <row r="455" customFormat="false" ht="15" hidden="false" customHeight="false" outlineLevel="0" collapsed="false">
      <c r="A455" s="11"/>
      <c r="B455" s="9"/>
      <c r="C455" s="9"/>
      <c r="D455" s="9"/>
      <c r="E455" s="10"/>
      <c r="F455" s="9"/>
    </row>
    <row r="456" customFormat="false" ht="15" hidden="false" customHeight="false" outlineLevel="0" collapsed="false">
      <c r="A456" s="11"/>
      <c r="B456" s="9"/>
      <c r="C456" s="9"/>
      <c r="D456" s="9"/>
      <c r="E456" s="10"/>
      <c r="F456" s="9"/>
    </row>
    <row r="457" customFormat="false" ht="15" hidden="false" customHeight="false" outlineLevel="0" collapsed="false">
      <c r="A457" s="11"/>
      <c r="B457" s="9"/>
      <c r="C457" s="9"/>
      <c r="D457" s="9"/>
      <c r="E457" s="10"/>
      <c r="F457" s="9"/>
    </row>
    <row r="458" customFormat="false" ht="15" hidden="false" customHeight="false" outlineLevel="0" collapsed="false">
      <c r="A458" s="11"/>
      <c r="B458" s="9"/>
      <c r="C458" s="9"/>
      <c r="D458" s="9"/>
      <c r="E458" s="10"/>
      <c r="F458" s="9"/>
    </row>
    <row r="459" customFormat="false" ht="15" hidden="false" customHeight="false" outlineLevel="0" collapsed="false">
      <c r="A459" s="11"/>
      <c r="B459" s="9"/>
      <c r="C459" s="9"/>
      <c r="D459" s="9"/>
      <c r="E459" s="10"/>
      <c r="F459" s="9"/>
    </row>
    <row r="460" customFormat="false" ht="15" hidden="false" customHeight="false" outlineLevel="0" collapsed="false">
      <c r="A460" s="11"/>
      <c r="B460" s="9"/>
      <c r="C460" s="9"/>
      <c r="D460" s="9"/>
      <c r="E460" s="10"/>
      <c r="F460" s="9"/>
    </row>
    <row r="461" customFormat="false" ht="15" hidden="false" customHeight="false" outlineLevel="0" collapsed="false">
      <c r="A461" s="11"/>
      <c r="B461" s="9"/>
      <c r="C461" s="9"/>
      <c r="D461" s="9"/>
      <c r="E461" s="10"/>
      <c r="F461" s="9"/>
    </row>
    <row r="462" customFormat="false" ht="15" hidden="false" customHeight="false" outlineLevel="0" collapsed="false">
      <c r="A462" s="11"/>
      <c r="B462" s="9"/>
      <c r="C462" s="9"/>
      <c r="D462" s="9"/>
      <c r="E462" s="10"/>
      <c r="F462" s="9"/>
    </row>
    <row r="463" customFormat="false" ht="15" hidden="false" customHeight="false" outlineLevel="0" collapsed="false">
      <c r="A463" s="11"/>
      <c r="B463" s="9"/>
      <c r="C463" s="9"/>
      <c r="D463" s="9"/>
      <c r="E463" s="10"/>
      <c r="F463" s="9"/>
    </row>
    <row r="464" customFormat="false" ht="15" hidden="false" customHeight="false" outlineLevel="0" collapsed="false">
      <c r="A464" s="11"/>
      <c r="B464" s="9"/>
      <c r="C464" s="9"/>
      <c r="D464" s="9"/>
      <c r="E464" s="10"/>
      <c r="F464" s="9"/>
    </row>
    <row r="465" customFormat="false" ht="15" hidden="false" customHeight="false" outlineLevel="0" collapsed="false">
      <c r="A465" s="11"/>
      <c r="B465" s="9"/>
      <c r="C465" s="9"/>
      <c r="D465" s="9"/>
      <c r="E465" s="10"/>
      <c r="F465" s="9"/>
    </row>
    <row r="466" customFormat="false" ht="15" hidden="false" customHeight="false" outlineLevel="0" collapsed="false">
      <c r="A466" s="11"/>
      <c r="B466" s="9"/>
      <c r="C466" s="9"/>
      <c r="D466" s="9"/>
      <c r="E466" s="10"/>
      <c r="F466" s="9"/>
    </row>
    <row r="467" customFormat="false" ht="15" hidden="false" customHeight="false" outlineLevel="0" collapsed="false">
      <c r="A467" s="11"/>
      <c r="B467" s="9"/>
      <c r="C467" s="9"/>
      <c r="D467" s="9"/>
      <c r="E467" s="10"/>
      <c r="F467" s="9"/>
    </row>
    <row r="468" customFormat="false" ht="15" hidden="false" customHeight="false" outlineLevel="0" collapsed="false">
      <c r="A468" s="11"/>
      <c r="B468" s="9"/>
      <c r="C468" s="9"/>
      <c r="D468" s="9"/>
      <c r="E468" s="10"/>
      <c r="F468" s="9"/>
    </row>
    <row r="469" customFormat="false" ht="15" hidden="false" customHeight="false" outlineLevel="0" collapsed="false">
      <c r="A469" s="11"/>
      <c r="B469" s="9"/>
      <c r="C469" s="9"/>
      <c r="D469" s="9"/>
      <c r="E469" s="10"/>
      <c r="F469" s="9"/>
    </row>
    <row r="470" customFormat="false" ht="15" hidden="false" customHeight="false" outlineLevel="0" collapsed="false">
      <c r="A470" s="11"/>
      <c r="B470" s="9"/>
      <c r="C470" s="9"/>
      <c r="D470" s="9"/>
      <c r="E470" s="10"/>
      <c r="F470" s="9"/>
    </row>
    <row r="471" customFormat="false" ht="15" hidden="false" customHeight="false" outlineLevel="0" collapsed="false">
      <c r="A471" s="11"/>
      <c r="B471" s="9"/>
      <c r="C471" s="9"/>
      <c r="D471" s="9"/>
      <c r="E471" s="10"/>
      <c r="F471" s="9"/>
    </row>
    <row r="472" customFormat="false" ht="15" hidden="false" customHeight="false" outlineLevel="0" collapsed="false">
      <c r="A472" s="11"/>
      <c r="B472" s="9"/>
      <c r="C472" s="9"/>
      <c r="D472" s="9"/>
      <c r="E472" s="10"/>
      <c r="F472" s="9"/>
    </row>
    <row r="473" customFormat="false" ht="15" hidden="false" customHeight="false" outlineLevel="0" collapsed="false">
      <c r="A473" s="11"/>
      <c r="B473" s="9"/>
      <c r="C473" s="9"/>
      <c r="D473" s="9"/>
      <c r="E473" s="10"/>
      <c r="F473" s="9"/>
    </row>
    <row r="474" customFormat="false" ht="15" hidden="false" customHeight="false" outlineLevel="0" collapsed="false">
      <c r="A474" s="11"/>
      <c r="B474" s="9"/>
      <c r="C474" s="9"/>
      <c r="D474" s="9"/>
      <c r="E474" s="10"/>
      <c r="F474" s="9"/>
    </row>
    <row r="475" customFormat="false" ht="15" hidden="false" customHeight="false" outlineLevel="0" collapsed="false">
      <c r="A475" s="11"/>
      <c r="B475" s="9"/>
      <c r="C475" s="9"/>
      <c r="D475" s="9"/>
      <c r="E475" s="10"/>
      <c r="F475" s="9"/>
    </row>
    <row r="476" customFormat="false" ht="15" hidden="false" customHeight="false" outlineLevel="0" collapsed="false">
      <c r="A476" s="11"/>
      <c r="B476" s="9"/>
      <c r="C476" s="9"/>
      <c r="D476" s="9"/>
      <c r="E476" s="10"/>
      <c r="F476" s="9"/>
    </row>
    <row r="477" customFormat="false" ht="15" hidden="false" customHeight="false" outlineLevel="0" collapsed="false">
      <c r="A477" s="11"/>
      <c r="B477" s="9"/>
      <c r="C477" s="9"/>
      <c r="D477" s="9"/>
      <c r="E477" s="10"/>
      <c r="F477" s="9"/>
    </row>
    <row r="478" customFormat="false" ht="15" hidden="false" customHeight="false" outlineLevel="0" collapsed="false">
      <c r="A478" s="11"/>
      <c r="B478" s="9"/>
      <c r="C478" s="9"/>
      <c r="D478" s="9"/>
      <c r="E478" s="10"/>
      <c r="F478" s="9"/>
    </row>
    <row r="479" customFormat="false" ht="15" hidden="false" customHeight="false" outlineLevel="0" collapsed="false">
      <c r="A479" s="11"/>
      <c r="B479" s="9"/>
      <c r="C479" s="9"/>
      <c r="D479" s="9"/>
      <c r="E479" s="10"/>
      <c r="F479" s="9"/>
    </row>
    <row r="480" customFormat="false" ht="15" hidden="false" customHeight="false" outlineLevel="0" collapsed="false">
      <c r="A480" s="11"/>
      <c r="B480" s="9"/>
      <c r="C480" s="9"/>
      <c r="D480" s="9"/>
      <c r="E480" s="10"/>
      <c r="F480" s="9"/>
    </row>
    <row r="481" customFormat="false" ht="15" hidden="false" customHeight="false" outlineLevel="0" collapsed="false">
      <c r="A481" s="11"/>
      <c r="B481" s="9"/>
      <c r="C481" s="9"/>
      <c r="D481" s="9"/>
      <c r="E481" s="10"/>
      <c r="F481" s="9"/>
    </row>
    <row r="482" customFormat="false" ht="15" hidden="false" customHeight="false" outlineLevel="0" collapsed="false">
      <c r="A482" s="11"/>
      <c r="B482" s="9"/>
      <c r="C482" s="9"/>
      <c r="D482" s="9"/>
      <c r="E482" s="10"/>
      <c r="F482" s="9"/>
    </row>
    <row r="483" customFormat="false" ht="15" hidden="false" customHeight="false" outlineLevel="0" collapsed="false">
      <c r="A483" s="11"/>
      <c r="B483" s="9"/>
      <c r="C483" s="9"/>
      <c r="D483" s="9"/>
      <c r="E483" s="10"/>
      <c r="F483" s="9"/>
    </row>
    <row r="484" customFormat="false" ht="15" hidden="false" customHeight="false" outlineLevel="0" collapsed="false">
      <c r="A484" s="11"/>
      <c r="B484" s="9"/>
      <c r="C484" s="9"/>
      <c r="D484" s="9"/>
      <c r="E484" s="10"/>
      <c r="F484" s="9"/>
    </row>
    <row r="485" customFormat="false" ht="15" hidden="false" customHeight="false" outlineLevel="0" collapsed="false">
      <c r="A485" s="11"/>
      <c r="B485" s="9"/>
      <c r="C485" s="9"/>
      <c r="D485" s="9"/>
      <c r="E485" s="10"/>
      <c r="F485" s="9"/>
    </row>
    <row r="486" customFormat="false" ht="15" hidden="false" customHeight="false" outlineLevel="0" collapsed="false">
      <c r="A486" s="11"/>
      <c r="B486" s="9"/>
      <c r="C486" s="9"/>
      <c r="D486" s="9"/>
      <c r="E486" s="10"/>
      <c r="F486" s="9"/>
    </row>
    <row r="487" customFormat="false" ht="15" hidden="false" customHeight="false" outlineLevel="0" collapsed="false">
      <c r="A487" s="11"/>
      <c r="B487" s="9"/>
      <c r="C487" s="9"/>
      <c r="D487" s="9"/>
      <c r="E487" s="10"/>
      <c r="F487" s="9"/>
    </row>
    <row r="488" customFormat="false" ht="15" hidden="false" customHeight="false" outlineLevel="0" collapsed="false">
      <c r="A488" s="11"/>
      <c r="B488" s="9"/>
      <c r="C488" s="9"/>
      <c r="D488" s="9"/>
      <c r="E488" s="10"/>
      <c r="F488" s="9"/>
    </row>
    <row r="489" customFormat="false" ht="15" hidden="false" customHeight="false" outlineLevel="0" collapsed="false">
      <c r="A489" s="11"/>
      <c r="B489" s="9"/>
      <c r="C489" s="9"/>
      <c r="D489" s="9"/>
      <c r="E489" s="10"/>
      <c r="F489" s="9"/>
    </row>
    <row r="490" customFormat="false" ht="15" hidden="false" customHeight="false" outlineLevel="0" collapsed="false">
      <c r="A490" s="11"/>
      <c r="B490" s="9"/>
      <c r="C490" s="9"/>
      <c r="D490" s="9"/>
      <c r="E490" s="10"/>
      <c r="F490" s="9"/>
    </row>
    <row r="491" customFormat="false" ht="15" hidden="false" customHeight="false" outlineLevel="0" collapsed="false">
      <c r="A491" s="11"/>
      <c r="B491" s="9"/>
      <c r="C491" s="9"/>
      <c r="D491" s="9"/>
      <c r="E491" s="10"/>
      <c r="F491" s="9"/>
    </row>
    <row r="492" customFormat="false" ht="15" hidden="false" customHeight="false" outlineLevel="0" collapsed="false">
      <c r="A492" s="11"/>
      <c r="B492" s="9"/>
      <c r="C492" s="9"/>
      <c r="D492" s="9"/>
      <c r="E492" s="10"/>
      <c r="F492" s="9"/>
    </row>
    <row r="493" customFormat="false" ht="15" hidden="false" customHeight="false" outlineLevel="0" collapsed="false">
      <c r="A493" s="11"/>
      <c r="B493" s="9"/>
      <c r="C493" s="9"/>
      <c r="D493" s="9"/>
      <c r="E493" s="10"/>
      <c r="F493" s="9"/>
    </row>
    <row r="494" customFormat="false" ht="15" hidden="false" customHeight="false" outlineLevel="0" collapsed="false">
      <c r="A494" s="11"/>
      <c r="B494" s="9"/>
      <c r="C494" s="9"/>
      <c r="D494" s="9"/>
      <c r="E494" s="10"/>
      <c r="F494" s="9"/>
    </row>
    <row r="495" customFormat="false" ht="15" hidden="false" customHeight="false" outlineLevel="0" collapsed="false">
      <c r="A495" s="11"/>
      <c r="B495" s="9"/>
      <c r="C495" s="9"/>
      <c r="D495" s="9"/>
      <c r="E495" s="10"/>
      <c r="F495" s="9"/>
    </row>
    <row r="496" customFormat="false" ht="15" hidden="false" customHeight="false" outlineLevel="0" collapsed="false">
      <c r="A496" s="11"/>
      <c r="B496" s="9"/>
      <c r="C496" s="9"/>
      <c r="D496" s="9"/>
      <c r="E496" s="10"/>
      <c r="F496" s="9"/>
    </row>
    <row r="497" customFormat="false" ht="15" hidden="false" customHeight="false" outlineLevel="0" collapsed="false">
      <c r="A497" s="11"/>
      <c r="B497" s="9"/>
      <c r="C497" s="9"/>
      <c r="D497" s="9"/>
      <c r="E497" s="10"/>
      <c r="F497" s="9"/>
    </row>
    <row r="498" customFormat="false" ht="15" hidden="false" customHeight="false" outlineLevel="0" collapsed="false">
      <c r="A498" s="11"/>
      <c r="B498" s="9"/>
      <c r="C498" s="9"/>
      <c r="D498" s="9"/>
      <c r="E498" s="10"/>
      <c r="F498" s="9"/>
    </row>
    <row r="499" customFormat="false" ht="15" hidden="false" customHeight="false" outlineLevel="0" collapsed="false">
      <c r="A499" s="11"/>
      <c r="B499" s="9"/>
      <c r="C499" s="9"/>
      <c r="D499" s="9"/>
      <c r="E499" s="10"/>
      <c r="F499" s="9"/>
    </row>
    <row r="500" customFormat="false" ht="15" hidden="false" customHeight="false" outlineLevel="0" collapsed="false">
      <c r="A500" s="11"/>
      <c r="B500" s="9"/>
      <c r="C500" s="9"/>
      <c r="D500" s="9"/>
      <c r="E500" s="10"/>
      <c r="F500" s="9"/>
    </row>
    <row r="501" customFormat="false" ht="15" hidden="false" customHeight="false" outlineLevel="0" collapsed="false">
      <c r="A501" s="11"/>
      <c r="B501" s="9"/>
      <c r="C501" s="9"/>
      <c r="D501" s="9"/>
      <c r="E501" s="10"/>
      <c r="F501" s="9"/>
    </row>
    <row r="502" customFormat="false" ht="15" hidden="false" customHeight="false" outlineLevel="0" collapsed="false">
      <c r="A502" s="11"/>
      <c r="B502" s="9"/>
      <c r="C502" s="9"/>
      <c r="D502" s="9"/>
      <c r="E502" s="10"/>
      <c r="F502" s="9"/>
    </row>
    <row r="503" customFormat="false" ht="15" hidden="false" customHeight="false" outlineLevel="0" collapsed="false">
      <c r="A503" s="11"/>
      <c r="B503" s="9"/>
      <c r="C503" s="9"/>
      <c r="D503" s="9"/>
      <c r="E503" s="10"/>
      <c r="F503" s="9"/>
    </row>
    <row r="504" customFormat="false" ht="15" hidden="false" customHeight="false" outlineLevel="0" collapsed="false">
      <c r="A504" s="11"/>
      <c r="B504" s="9"/>
      <c r="C504" s="9"/>
      <c r="D504" s="9"/>
      <c r="E504" s="10"/>
      <c r="F504" s="9"/>
    </row>
    <row r="505" customFormat="false" ht="15" hidden="false" customHeight="false" outlineLevel="0" collapsed="false">
      <c r="A505" s="11"/>
      <c r="B505" s="9"/>
      <c r="C505" s="9"/>
      <c r="D505" s="9"/>
      <c r="E505" s="10"/>
      <c r="F505" s="9"/>
    </row>
    <row r="506" customFormat="false" ht="15" hidden="false" customHeight="false" outlineLevel="0" collapsed="false">
      <c r="A506" s="11"/>
      <c r="B506" s="9"/>
      <c r="C506" s="9"/>
      <c r="D506" s="9"/>
      <c r="E506" s="10"/>
      <c r="F506" s="9"/>
    </row>
    <row r="507" customFormat="false" ht="15" hidden="false" customHeight="false" outlineLevel="0" collapsed="false">
      <c r="A507" s="11"/>
      <c r="B507" s="9"/>
      <c r="C507" s="9"/>
      <c r="D507" s="9"/>
      <c r="E507" s="10"/>
      <c r="F507" s="9"/>
    </row>
    <row r="508" customFormat="false" ht="15" hidden="false" customHeight="false" outlineLevel="0" collapsed="false">
      <c r="A508" s="11"/>
      <c r="B508" s="9"/>
      <c r="C508" s="9"/>
      <c r="D508" s="9"/>
      <c r="E508" s="10"/>
      <c r="F508" s="9"/>
    </row>
    <row r="509" customFormat="false" ht="15" hidden="false" customHeight="false" outlineLevel="0" collapsed="false">
      <c r="A509" s="11"/>
      <c r="B509" s="9"/>
      <c r="C509" s="9"/>
      <c r="D509" s="9"/>
      <c r="E509" s="10"/>
      <c r="F509" s="9"/>
    </row>
    <row r="510" customFormat="false" ht="15" hidden="false" customHeight="false" outlineLevel="0" collapsed="false">
      <c r="A510" s="11"/>
      <c r="B510" s="9"/>
      <c r="C510" s="9"/>
      <c r="D510" s="9"/>
      <c r="E510" s="10"/>
      <c r="F510" s="9"/>
    </row>
    <row r="511" customFormat="false" ht="15" hidden="false" customHeight="false" outlineLevel="0" collapsed="false">
      <c r="A511" s="11"/>
      <c r="B511" s="9"/>
      <c r="C511" s="9"/>
      <c r="D511" s="9"/>
      <c r="E511" s="10"/>
      <c r="F511" s="9"/>
    </row>
    <row r="512" customFormat="false" ht="15" hidden="false" customHeight="false" outlineLevel="0" collapsed="false">
      <c r="A512" s="11"/>
      <c r="B512" s="9"/>
      <c r="C512" s="9"/>
      <c r="D512" s="9"/>
      <c r="E512" s="10"/>
      <c r="F512" s="9"/>
    </row>
    <row r="513" customFormat="false" ht="15" hidden="false" customHeight="false" outlineLevel="0" collapsed="false">
      <c r="A513" s="11"/>
      <c r="B513" s="9"/>
      <c r="C513" s="9"/>
      <c r="D513" s="9"/>
      <c r="E513" s="10"/>
      <c r="F513" s="9"/>
    </row>
    <row r="514" customFormat="false" ht="15" hidden="false" customHeight="false" outlineLevel="0" collapsed="false">
      <c r="A514" s="11"/>
      <c r="B514" s="9"/>
      <c r="C514" s="9"/>
      <c r="D514" s="9"/>
      <c r="E514" s="10"/>
      <c r="F514" s="9"/>
    </row>
    <row r="515" customFormat="false" ht="15" hidden="false" customHeight="false" outlineLevel="0" collapsed="false">
      <c r="A515" s="11"/>
      <c r="B515" s="9"/>
      <c r="C515" s="9"/>
      <c r="D515" s="9"/>
      <c r="E515" s="10"/>
      <c r="F515" s="9"/>
    </row>
    <row r="516" customFormat="false" ht="15" hidden="false" customHeight="false" outlineLevel="0" collapsed="false">
      <c r="A516" s="11"/>
      <c r="B516" s="9"/>
      <c r="C516" s="9"/>
      <c r="D516" s="9"/>
      <c r="E516" s="10"/>
      <c r="F516" s="9"/>
    </row>
    <row r="517" customFormat="false" ht="15" hidden="false" customHeight="false" outlineLevel="0" collapsed="false">
      <c r="A517" s="11"/>
      <c r="B517" s="9"/>
      <c r="C517" s="9"/>
      <c r="D517" s="9"/>
      <c r="E517" s="10"/>
      <c r="F517" s="9"/>
    </row>
    <row r="518" customFormat="false" ht="15" hidden="false" customHeight="false" outlineLevel="0" collapsed="false">
      <c r="A518" s="11"/>
      <c r="B518" s="9"/>
      <c r="C518" s="9"/>
      <c r="D518" s="9"/>
      <c r="E518" s="10"/>
      <c r="F518" s="9"/>
    </row>
    <row r="519" customFormat="false" ht="15" hidden="false" customHeight="false" outlineLevel="0" collapsed="false">
      <c r="A519" s="11"/>
      <c r="B519" s="9"/>
      <c r="C519" s="9"/>
      <c r="D519" s="9"/>
      <c r="E519" s="10"/>
      <c r="F519" s="9"/>
    </row>
    <row r="520" customFormat="false" ht="15" hidden="false" customHeight="false" outlineLevel="0" collapsed="false">
      <c r="A520" s="11"/>
      <c r="B520" s="9"/>
      <c r="C520" s="9"/>
      <c r="D520" s="9"/>
      <c r="E520" s="10"/>
      <c r="F520" s="9"/>
    </row>
    <row r="521" customFormat="false" ht="15" hidden="false" customHeight="false" outlineLevel="0" collapsed="false">
      <c r="A521" s="11"/>
      <c r="B521" s="9"/>
      <c r="C521" s="9"/>
      <c r="D521" s="9"/>
      <c r="E521" s="10"/>
      <c r="F521" s="9"/>
    </row>
    <row r="522" customFormat="false" ht="15" hidden="false" customHeight="false" outlineLevel="0" collapsed="false">
      <c r="A522" s="11"/>
      <c r="B522" s="9"/>
      <c r="C522" s="9"/>
      <c r="D522" s="9"/>
      <c r="E522" s="10"/>
      <c r="F522" s="9"/>
    </row>
    <row r="523" customFormat="false" ht="15" hidden="false" customHeight="false" outlineLevel="0" collapsed="false">
      <c r="A523" s="11"/>
      <c r="B523" s="9"/>
      <c r="C523" s="9"/>
      <c r="D523" s="9"/>
      <c r="E523" s="10"/>
      <c r="F523" s="9"/>
    </row>
    <row r="524" customFormat="false" ht="15" hidden="false" customHeight="false" outlineLevel="0" collapsed="false">
      <c r="A524" s="11"/>
      <c r="B524" s="9"/>
      <c r="C524" s="9"/>
      <c r="D524" s="9"/>
      <c r="E524" s="10"/>
      <c r="F524" s="9"/>
    </row>
    <row r="525" customFormat="false" ht="15" hidden="false" customHeight="false" outlineLevel="0" collapsed="false">
      <c r="A525" s="11"/>
      <c r="B525" s="9"/>
      <c r="C525" s="9"/>
      <c r="D525" s="9"/>
      <c r="E525" s="10"/>
      <c r="F525" s="9"/>
    </row>
    <row r="526" customFormat="false" ht="15" hidden="false" customHeight="false" outlineLevel="0" collapsed="false">
      <c r="A526" s="11"/>
      <c r="B526" s="9"/>
      <c r="C526" s="9"/>
      <c r="D526" s="9"/>
      <c r="E526" s="10"/>
      <c r="F526" s="9"/>
    </row>
    <row r="527" customFormat="false" ht="15" hidden="false" customHeight="false" outlineLevel="0" collapsed="false">
      <c r="A527" s="11"/>
      <c r="B527" s="9"/>
      <c r="C527" s="9"/>
      <c r="D527" s="9"/>
      <c r="E527" s="10"/>
      <c r="F527" s="9"/>
    </row>
    <row r="528" customFormat="false" ht="15" hidden="false" customHeight="false" outlineLevel="0" collapsed="false">
      <c r="A528" s="11"/>
      <c r="B528" s="9"/>
      <c r="C528" s="9"/>
      <c r="D528" s="9"/>
      <c r="E528" s="10"/>
      <c r="F528" s="9"/>
    </row>
    <row r="529" customFormat="false" ht="15" hidden="false" customHeight="false" outlineLevel="0" collapsed="false">
      <c r="A529" s="11"/>
      <c r="B529" s="9"/>
      <c r="C529" s="9"/>
      <c r="D529" s="9"/>
      <c r="E529" s="10"/>
      <c r="F529" s="9"/>
    </row>
    <row r="530" customFormat="false" ht="15" hidden="false" customHeight="false" outlineLevel="0" collapsed="false">
      <c r="A530" s="11"/>
      <c r="B530" s="9"/>
      <c r="C530" s="9"/>
      <c r="D530" s="9"/>
      <c r="E530" s="10"/>
      <c r="F530" s="9"/>
    </row>
    <row r="531" customFormat="false" ht="15" hidden="false" customHeight="false" outlineLevel="0" collapsed="false">
      <c r="A531" s="11"/>
      <c r="B531" s="9"/>
      <c r="C531" s="9"/>
      <c r="D531" s="9"/>
      <c r="E531" s="10"/>
      <c r="F531" s="9"/>
    </row>
    <row r="532" customFormat="false" ht="15" hidden="false" customHeight="false" outlineLevel="0" collapsed="false">
      <c r="A532" s="11"/>
      <c r="B532" s="9"/>
      <c r="C532" s="9"/>
      <c r="D532" s="9"/>
      <c r="E532" s="10"/>
      <c r="F532" s="9"/>
    </row>
    <row r="533" customFormat="false" ht="15" hidden="false" customHeight="false" outlineLevel="0" collapsed="false">
      <c r="A533" s="11"/>
      <c r="B533" s="9"/>
      <c r="C533" s="9"/>
      <c r="D533" s="9"/>
      <c r="E533" s="10"/>
      <c r="F533" s="9"/>
    </row>
    <row r="534" customFormat="false" ht="15" hidden="false" customHeight="false" outlineLevel="0" collapsed="false">
      <c r="A534" s="11"/>
      <c r="B534" s="9"/>
      <c r="C534" s="9"/>
      <c r="D534" s="9"/>
      <c r="E534" s="10"/>
      <c r="F534" s="9"/>
    </row>
    <row r="535" customFormat="false" ht="15" hidden="false" customHeight="false" outlineLevel="0" collapsed="false">
      <c r="A535" s="11"/>
      <c r="B535" s="9"/>
      <c r="C535" s="9"/>
      <c r="D535" s="9"/>
      <c r="E535" s="10"/>
      <c r="F535" s="9"/>
    </row>
    <row r="536" customFormat="false" ht="15" hidden="false" customHeight="false" outlineLevel="0" collapsed="false">
      <c r="A536" s="11"/>
      <c r="B536" s="9"/>
      <c r="C536" s="9"/>
      <c r="D536" s="9"/>
      <c r="E536" s="10"/>
      <c r="F536" s="9"/>
    </row>
    <row r="537" customFormat="false" ht="15" hidden="false" customHeight="false" outlineLevel="0" collapsed="false">
      <c r="A537" s="11"/>
      <c r="B537" s="9"/>
      <c r="C537" s="9"/>
      <c r="D537" s="9"/>
      <c r="E537" s="10"/>
      <c r="F537" s="9"/>
    </row>
    <row r="538" customFormat="false" ht="15" hidden="false" customHeight="false" outlineLevel="0" collapsed="false">
      <c r="A538" s="11"/>
      <c r="B538" s="9"/>
      <c r="C538" s="9"/>
      <c r="D538" s="9"/>
      <c r="E538" s="10"/>
      <c r="F538" s="9"/>
    </row>
    <row r="539" customFormat="false" ht="15" hidden="false" customHeight="false" outlineLevel="0" collapsed="false">
      <c r="A539" s="11"/>
      <c r="B539" s="9"/>
      <c r="C539" s="9"/>
      <c r="D539" s="9"/>
      <c r="E539" s="10"/>
      <c r="F539" s="9"/>
    </row>
    <row r="540" customFormat="false" ht="15" hidden="false" customHeight="false" outlineLevel="0" collapsed="false">
      <c r="A540" s="11"/>
      <c r="B540" s="9"/>
      <c r="C540" s="9"/>
      <c r="D540" s="9"/>
      <c r="E540" s="10"/>
      <c r="F540" s="9"/>
    </row>
    <row r="541" customFormat="false" ht="15" hidden="false" customHeight="false" outlineLevel="0" collapsed="false">
      <c r="A541" s="11"/>
      <c r="B541" s="9"/>
      <c r="C541" s="9"/>
      <c r="D541" s="9"/>
      <c r="E541" s="10"/>
      <c r="F541" s="9"/>
    </row>
    <row r="542" customFormat="false" ht="15" hidden="false" customHeight="false" outlineLevel="0" collapsed="false">
      <c r="A542" s="11"/>
      <c r="B542" s="9"/>
      <c r="C542" s="9"/>
      <c r="D542" s="9"/>
      <c r="E542" s="10"/>
      <c r="F542" s="9"/>
    </row>
    <row r="543" customFormat="false" ht="15" hidden="false" customHeight="false" outlineLevel="0" collapsed="false">
      <c r="A543" s="11"/>
      <c r="B543" s="9"/>
      <c r="C543" s="9"/>
      <c r="D543" s="9"/>
      <c r="E543" s="10"/>
      <c r="F543" s="9"/>
    </row>
    <row r="544" customFormat="false" ht="15" hidden="false" customHeight="false" outlineLevel="0" collapsed="false">
      <c r="A544" s="11"/>
      <c r="B544" s="9"/>
      <c r="C544" s="9"/>
      <c r="D544" s="9"/>
      <c r="E544" s="10"/>
      <c r="F544" s="9"/>
    </row>
    <row r="545" customFormat="false" ht="15" hidden="false" customHeight="false" outlineLevel="0" collapsed="false">
      <c r="A545" s="11"/>
      <c r="B545" s="9"/>
      <c r="C545" s="9"/>
      <c r="D545" s="9"/>
      <c r="E545" s="10"/>
      <c r="F545" s="9"/>
    </row>
    <row r="546" customFormat="false" ht="15" hidden="false" customHeight="false" outlineLevel="0" collapsed="false">
      <c r="A546" s="11"/>
      <c r="B546" s="9"/>
      <c r="C546" s="9"/>
      <c r="D546" s="9"/>
      <c r="E546" s="10"/>
      <c r="F546" s="9"/>
    </row>
    <row r="547" customFormat="false" ht="15" hidden="false" customHeight="false" outlineLevel="0" collapsed="false">
      <c r="A547" s="11"/>
      <c r="B547" s="9"/>
      <c r="C547" s="9"/>
      <c r="D547" s="9"/>
      <c r="E547" s="10"/>
      <c r="F547" s="9"/>
    </row>
    <row r="548" customFormat="false" ht="15" hidden="false" customHeight="false" outlineLevel="0" collapsed="false">
      <c r="A548" s="11"/>
      <c r="B548" s="9"/>
      <c r="C548" s="9"/>
      <c r="D548" s="9"/>
      <c r="E548" s="10"/>
      <c r="F548" s="9"/>
    </row>
    <row r="549" customFormat="false" ht="15" hidden="false" customHeight="false" outlineLevel="0" collapsed="false">
      <c r="A549" s="11"/>
      <c r="B549" s="9"/>
      <c r="C549" s="9"/>
      <c r="D549" s="9"/>
      <c r="E549" s="10"/>
      <c r="F549" s="9"/>
    </row>
    <row r="550" customFormat="false" ht="15" hidden="false" customHeight="false" outlineLevel="0" collapsed="false">
      <c r="A550" s="11"/>
      <c r="B550" s="9"/>
      <c r="C550" s="9"/>
      <c r="D550" s="9"/>
      <c r="E550" s="10"/>
      <c r="F550" s="9"/>
    </row>
    <row r="551" customFormat="false" ht="15" hidden="false" customHeight="false" outlineLevel="0" collapsed="false">
      <c r="A551" s="11"/>
      <c r="B551" s="9"/>
      <c r="C551" s="9"/>
      <c r="D551" s="9"/>
      <c r="E551" s="10"/>
      <c r="F551" s="9"/>
    </row>
    <row r="552" customFormat="false" ht="15" hidden="false" customHeight="false" outlineLevel="0" collapsed="false">
      <c r="A552" s="11"/>
      <c r="B552" s="9"/>
      <c r="C552" s="9"/>
      <c r="D552" s="9"/>
      <c r="E552" s="10"/>
      <c r="F552" s="9"/>
    </row>
    <row r="553" customFormat="false" ht="15" hidden="false" customHeight="false" outlineLevel="0" collapsed="false">
      <c r="A553" s="11"/>
      <c r="B553" s="9"/>
      <c r="C553" s="9"/>
      <c r="D553" s="9"/>
      <c r="E553" s="10"/>
      <c r="F553" s="9"/>
    </row>
    <row r="554" customFormat="false" ht="15" hidden="false" customHeight="false" outlineLevel="0" collapsed="false">
      <c r="A554" s="11"/>
      <c r="B554" s="9"/>
      <c r="C554" s="9"/>
      <c r="D554" s="9"/>
      <c r="E554" s="10"/>
      <c r="F554" s="9"/>
    </row>
    <row r="555" customFormat="false" ht="15" hidden="false" customHeight="false" outlineLevel="0" collapsed="false">
      <c r="A555" s="11"/>
      <c r="B555" s="9"/>
      <c r="C555" s="9"/>
      <c r="D555" s="9"/>
      <c r="E555" s="10"/>
      <c r="F555" s="9"/>
    </row>
    <row r="556" customFormat="false" ht="15" hidden="false" customHeight="false" outlineLevel="0" collapsed="false">
      <c r="A556" s="11"/>
      <c r="B556" s="9"/>
      <c r="C556" s="9"/>
      <c r="D556" s="9"/>
      <c r="E556" s="10"/>
      <c r="F556" s="9"/>
    </row>
    <row r="557" customFormat="false" ht="15" hidden="false" customHeight="false" outlineLevel="0" collapsed="false">
      <c r="A557" s="11"/>
      <c r="B557" s="9"/>
      <c r="C557" s="9"/>
      <c r="D557" s="9"/>
      <c r="E557" s="10"/>
      <c r="F557" s="9"/>
    </row>
    <row r="558" customFormat="false" ht="15" hidden="false" customHeight="false" outlineLevel="0" collapsed="false">
      <c r="A558" s="11"/>
      <c r="B558" s="9"/>
      <c r="C558" s="9"/>
      <c r="D558" s="9"/>
      <c r="E558" s="10"/>
      <c r="F558" s="9"/>
    </row>
    <row r="559" customFormat="false" ht="15" hidden="false" customHeight="false" outlineLevel="0" collapsed="false">
      <c r="A559" s="11"/>
      <c r="B559" s="9"/>
      <c r="C559" s="9"/>
      <c r="D559" s="9"/>
      <c r="E559" s="10"/>
      <c r="F559" s="9"/>
    </row>
    <row r="560" customFormat="false" ht="15" hidden="false" customHeight="false" outlineLevel="0" collapsed="false">
      <c r="A560" s="11"/>
      <c r="B560" s="9"/>
      <c r="C560" s="9"/>
      <c r="D560" s="9"/>
      <c r="E560" s="10"/>
      <c r="F560" s="9"/>
    </row>
    <row r="561" customFormat="false" ht="15" hidden="false" customHeight="false" outlineLevel="0" collapsed="false">
      <c r="A561" s="11"/>
      <c r="B561" s="9"/>
      <c r="C561" s="9"/>
      <c r="D561" s="9"/>
      <c r="E561" s="10"/>
      <c r="F561" s="9"/>
    </row>
    <row r="562" customFormat="false" ht="15" hidden="false" customHeight="false" outlineLevel="0" collapsed="false">
      <c r="A562" s="11"/>
      <c r="B562" s="9"/>
      <c r="C562" s="9"/>
      <c r="D562" s="9"/>
      <c r="E562" s="10"/>
      <c r="F562" s="9"/>
    </row>
    <row r="563" customFormat="false" ht="15" hidden="false" customHeight="false" outlineLevel="0" collapsed="false">
      <c r="A563" s="11"/>
      <c r="B563" s="9"/>
      <c r="C563" s="9"/>
      <c r="D563" s="9"/>
      <c r="E563" s="10"/>
      <c r="F563" s="9"/>
    </row>
    <row r="564" customFormat="false" ht="15" hidden="false" customHeight="false" outlineLevel="0" collapsed="false">
      <c r="A564" s="11"/>
      <c r="B564" s="9"/>
      <c r="C564" s="9"/>
      <c r="D564" s="9"/>
      <c r="E564" s="10"/>
      <c r="F564" s="9"/>
    </row>
    <row r="565" customFormat="false" ht="15" hidden="false" customHeight="false" outlineLevel="0" collapsed="false">
      <c r="A565" s="11"/>
      <c r="B565" s="9"/>
      <c r="C565" s="9"/>
      <c r="D565" s="9"/>
      <c r="E565" s="10"/>
      <c r="F565" s="9"/>
    </row>
    <row r="566" customFormat="false" ht="15" hidden="false" customHeight="false" outlineLevel="0" collapsed="false">
      <c r="A566" s="11"/>
      <c r="B566" s="9"/>
      <c r="C566" s="9"/>
      <c r="D566" s="9"/>
      <c r="E566" s="10"/>
      <c r="F566" s="9"/>
    </row>
    <row r="567" customFormat="false" ht="15" hidden="false" customHeight="false" outlineLevel="0" collapsed="false">
      <c r="A567" s="11"/>
      <c r="B567" s="9"/>
      <c r="C567" s="9"/>
      <c r="D567" s="9"/>
      <c r="E567" s="10"/>
      <c r="F567" s="9"/>
    </row>
    <row r="568" customFormat="false" ht="15" hidden="false" customHeight="false" outlineLevel="0" collapsed="false">
      <c r="A568" s="11"/>
      <c r="B568" s="9"/>
      <c r="C568" s="9"/>
      <c r="D568" s="9"/>
      <c r="E568" s="10"/>
      <c r="F568" s="9"/>
    </row>
    <row r="569" customFormat="false" ht="15" hidden="false" customHeight="false" outlineLevel="0" collapsed="false">
      <c r="A569" s="11"/>
      <c r="B569" s="9"/>
      <c r="C569" s="9"/>
      <c r="D569" s="9"/>
      <c r="E569" s="10"/>
      <c r="F569" s="9"/>
    </row>
    <row r="570" customFormat="false" ht="15" hidden="false" customHeight="false" outlineLevel="0" collapsed="false">
      <c r="A570" s="11"/>
      <c r="B570" s="9"/>
      <c r="C570" s="9"/>
      <c r="D570" s="9"/>
      <c r="E570" s="10"/>
      <c r="F570" s="9"/>
    </row>
    <row r="571" customFormat="false" ht="15" hidden="false" customHeight="false" outlineLevel="0" collapsed="false">
      <c r="A571" s="11"/>
      <c r="B571" s="9"/>
      <c r="C571" s="9"/>
      <c r="D571" s="9"/>
      <c r="E571" s="10"/>
      <c r="F571" s="9"/>
    </row>
    <row r="572" customFormat="false" ht="15" hidden="false" customHeight="false" outlineLevel="0" collapsed="false">
      <c r="A572" s="11"/>
      <c r="B572" s="9"/>
      <c r="C572" s="9"/>
      <c r="D572" s="9"/>
      <c r="E572" s="10"/>
      <c r="F572" s="9"/>
    </row>
    <row r="573" customFormat="false" ht="15" hidden="false" customHeight="false" outlineLevel="0" collapsed="false">
      <c r="A573" s="11"/>
      <c r="B573" s="9"/>
      <c r="C573" s="9"/>
      <c r="D573" s="9"/>
      <c r="E573" s="10"/>
      <c r="F573" s="9"/>
    </row>
    <row r="574" customFormat="false" ht="15" hidden="false" customHeight="false" outlineLevel="0" collapsed="false">
      <c r="A574" s="11"/>
      <c r="B574" s="9"/>
      <c r="C574" s="9"/>
      <c r="D574" s="9"/>
      <c r="E574" s="10"/>
      <c r="F574" s="9"/>
    </row>
    <row r="575" customFormat="false" ht="15" hidden="false" customHeight="false" outlineLevel="0" collapsed="false">
      <c r="A575" s="11"/>
      <c r="B575" s="9"/>
      <c r="C575" s="9"/>
      <c r="D575" s="9"/>
      <c r="E575" s="10"/>
      <c r="F575" s="9"/>
    </row>
    <row r="576" customFormat="false" ht="15" hidden="false" customHeight="false" outlineLevel="0" collapsed="false">
      <c r="A576" s="11"/>
      <c r="B576" s="9"/>
      <c r="C576" s="9"/>
      <c r="D576" s="9"/>
      <c r="E576" s="10"/>
      <c r="F576" s="9"/>
    </row>
    <row r="577" customFormat="false" ht="15" hidden="false" customHeight="false" outlineLevel="0" collapsed="false">
      <c r="A577" s="11"/>
      <c r="B577" s="9"/>
      <c r="C577" s="9"/>
      <c r="D577" s="9"/>
      <c r="E577" s="10"/>
      <c r="F577" s="9"/>
    </row>
    <row r="578" customFormat="false" ht="15" hidden="false" customHeight="false" outlineLevel="0" collapsed="false">
      <c r="A578" s="11"/>
      <c r="B578" s="9"/>
      <c r="C578" s="9"/>
      <c r="D578" s="9"/>
      <c r="E578" s="10"/>
      <c r="F578" s="9"/>
    </row>
    <row r="579" customFormat="false" ht="15" hidden="false" customHeight="false" outlineLevel="0" collapsed="false">
      <c r="A579" s="11"/>
      <c r="B579" s="9"/>
      <c r="C579" s="9"/>
      <c r="D579" s="9"/>
      <c r="E579" s="10"/>
      <c r="F579" s="9"/>
    </row>
    <row r="580" customFormat="false" ht="15" hidden="false" customHeight="false" outlineLevel="0" collapsed="false">
      <c r="A580" s="11"/>
      <c r="B580" s="9"/>
      <c r="C580" s="9"/>
      <c r="D580" s="9"/>
      <c r="E580" s="10"/>
      <c r="F580" s="9"/>
    </row>
    <row r="581" customFormat="false" ht="15" hidden="false" customHeight="false" outlineLevel="0" collapsed="false">
      <c r="A581" s="11"/>
      <c r="B581" s="9"/>
      <c r="C581" s="9"/>
      <c r="D581" s="9"/>
      <c r="E581" s="10"/>
      <c r="F581" s="9"/>
    </row>
    <row r="582" customFormat="false" ht="15" hidden="false" customHeight="false" outlineLevel="0" collapsed="false">
      <c r="A582" s="11"/>
      <c r="B582" s="9"/>
      <c r="C582" s="9"/>
      <c r="D582" s="9"/>
      <c r="E582" s="10"/>
      <c r="F582" s="9"/>
    </row>
    <row r="583" customFormat="false" ht="15" hidden="false" customHeight="false" outlineLevel="0" collapsed="false">
      <c r="A583" s="11"/>
      <c r="B583" s="9"/>
      <c r="C583" s="9"/>
      <c r="D583" s="9"/>
      <c r="E583" s="10"/>
      <c r="F583" s="9"/>
    </row>
    <row r="584" customFormat="false" ht="15" hidden="false" customHeight="false" outlineLevel="0" collapsed="false">
      <c r="A584" s="11"/>
      <c r="B584" s="9"/>
      <c r="C584" s="9"/>
      <c r="D584" s="9"/>
      <c r="E584" s="10"/>
      <c r="F584" s="9"/>
    </row>
    <row r="585" customFormat="false" ht="15" hidden="false" customHeight="false" outlineLevel="0" collapsed="false">
      <c r="A585" s="11"/>
      <c r="B585" s="9"/>
      <c r="C585" s="9"/>
      <c r="D585" s="9"/>
      <c r="E585" s="10"/>
      <c r="F585" s="9"/>
    </row>
    <row r="586" customFormat="false" ht="15" hidden="false" customHeight="false" outlineLevel="0" collapsed="false">
      <c r="A586" s="11"/>
      <c r="B586" s="9"/>
      <c r="C586" s="9"/>
      <c r="D586" s="9"/>
      <c r="E586" s="10"/>
      <c r="F586" s="9"/>
    </row>
    <row r="587" customFormat="false" ht="15" hidden="false" customHeight="false" outlineLevel="0" collapsed="false">
      <c r="A587" s="11"/>
      <c r="B587" s="9"/>
      <c r="C587" s="9"/>
      <c r="D587" s="9"/>
      <c r="E587" s="10"/>
      <c r="F587" s="9"/>
    </row>
    <row r="588" customFormat="false" ht="15" hidden="false" customHeight="false" outlineLevel="0" collapsed="false">
      <c r="A588" s="11"/>
      <c r="B588" s="9"/>
      <c r="C588" s="9"/>
      <c r="D588" s="9"/>
      <c r="E588" s="10"/>
      <c r="F588" s="9"/>
    </row>
    <row r="589" customFormat="false" ht="15" hidden="false" customHeight="false" outlineLevel="0" collapsed="false">
      <c r="A589" s="11"/>
      <c r="B589" s="9"/>
      <c r="C589" s="9"/>
      <c r="D589" s="9"/>
      <c r="E589" s="10"/>
      <c r="F589" s="9"/>
    </row>
    <row r="590" customFormat="false" ht="15" hidden="false" customHeight="false" outlineLevel="0" collapsed="false">
      <c r="A590" s="11"/>
      <c r="B590" s="9"/>
      <c r="C590" s="9"/>
      <c r="D590" s="9"/>
      <c r="E590" s="10"/>
      <c r="F590" s="9"/>
    </row>
    <row r="591" customFormat="false" ht="15" hidden="false" customHeight="false" outlineLevel="0" collapsed="false">
      <c r="A591" s="11"/>
      <c r="B591" s="9"/>
      <c r="C591" s="9"/>
      <c r="D591" s="9"/>
      <c r="E591" s="10"/>
      <c r="F591" s="9"/>
    </row>
    <row r="592" customFormat="false" ht="15" hidden="false" customHeight="false" outlineLevel="0" collapsed="false">
      <c r="A592" s="11"/>
      <c r="B592" s="9"/>
      <c r="C592" s="9"/>
      <c r="D592" s="9"/>
      <c r="E592" s="10"/>
      <c r="F592" s="9"/>
    </row>
    <row r="593" customFormat="false" ht="15" hidden="false" customHeight="false" outlineLevel="0" collapsed="false">
      <c r="A593" s="11"/>
      <c r="B593" s="9"/>
      <c r="C593" s="9"/>
      <c r="D593" s="9"/>
      <c r="E593" s="10"/>
      <c r="F593" s="9"/>
    </row>
    <row r="594" customFormat="false" ht="15" hidden="false" customHeight="false" outlineLevel="0" collapsed="false">
      <c r="A594" s="11"/>
      <c r="B594" s="9"/>
      <c r="C594" s="9"/>
      <c r="D594" s="9"/>
      <c r="E594" s="10"/>
      <c r="F594" s="9"/>
    </row>
    <row r="595" customFormat="false" ht="15" hidden="false" customHeight="false" outlineLevel="0" collapsed="false">
      <c r="A595" s="11"/>
      <c r="B595" s="9"/>
      <c r="C595" s="9"/>
      <c r="D595" s="9"/>
      <c r="E595" s="10"/>
      <c r="F595" s="9"/>
    </row>
    <row r="596" customFormat="false" ht="15" hidden="false" customHeight="false" outlineLevel="0" collapsed="false">
      <c r="A596" s="11"/>
      <c r="B596" s="9"/>
      <c r="C596" s="9"/>
      <c r="D596" s="9"/>
      <c r="E596" s="10"/>
      <c r="F596" s="9"/>
    </row>
    <row r="597" customFormat="false" ht="15" hidden="false" customHeight="false" outlineLevel="0" collapsed="false">
      <c r="A597" s="11"/>
      <c r="B597" s="9"/>
      <c r="C597" s="9"/>
      <c r="D597" s="9"/>
      <c r="E597" s="10"/>
      <c r="F597" s="9"/>
    </row>
    <row r="598" customFormat="false" ht="15" hidden="false" customHeight="false" outlineLevel="0" collapsed="false">
      <c r="A598" s="11"/>
      <c r="B598" s="9"/>
      <c r="C598" s="9"/>
      <c r="D598" s="9"/>
      <c r="E598" s="10"/>
      <c r="F598" s="9"/>
    </row>
    <row r="599" customFormat="false" ht="15" hidden="false" customHeight="false" outlineLevel="0" collapsed="false">
      <c r="A599" s="11"/>
      <c r="B599" s="9"/>
      <c r="C599" s="9"/>
      <c r="D599" s="9"/>
      <c r="E599" s="10"/>
      <c r="F599" s="9"/>
    </row>
    <row r="600" customFormat="false" ht="15" hidden="false" customHeight="false" outlineLevel="0" collapsed="false">
      <c r="A600" s="11"/>
      <c r="B600" s="9"/>
      <c r="C600" s="9"/>
      <c r="D600" s="9"/>
      <c r="E600" s="10"/>
      <c r="F600" s="9"/>
    </row>
    <row r="601" customFormat="false" ht="15" hidden="false" customHeight="false" outlineLevel="0" collapsed="false">
      <c r="A601" s="11"/>
      <c r="B601" s="9"/>
      <c r="C601" s="9"/>
      <c r="D601" s="9"/>
      <c r="E601" s="10"/>
      <c r="F601" s="9"/>
    </row>
    <row r="602" customFormat="false" ht="15" hidden="false" customHeight="false" outlineLevel="0" collapsed="false">
      <c r="A602" s="11"/>
      <c r="B602" s="9"/>
      <c r="C602" s="9"/>
      <c r="D602" s="9"/>
      <c r="E602" s="10"/>
      <c r="F602" s="9"/>
    </row>
    <row r="603" customFormat="false" ht="15" hidden="false" customHeight="false" outlineLevel="0" collapsed="false">
      <c r="A603" s="11"/>
      <c r="B603" s="9"/>
      <c r="C603" s="9"/>
      <c r="D603" s="9"/>
      <c r="E603" s="10"/>
      <c r="F603" s="9"/>
    </row>
    <row r="604" customFormat="false" ht="15" hidden="false" customHeight="false" outlineLevel="0" collapsed="false">
      <c r="A604" s="11"/>
      <c r="B604" s="9"/>
      <c r="C604" s="9"/>
      <c r="D604" s="9"/>
      <c r="E604" s="10"/>
      <c r="F604" s="9"/>
    </row>
    <row r="605" customFormat="false" ht="15" hidden="false" customHeight="false" outlineLevel="0" collapsed="false">
      <c r="A605" s="11"/>
      <c r="B605" s="9"/>
      <c r="C605" s="9"/>
      <c r="D605" s="9"/>
      <c r="E605" s="10"/>
      <c r="F605" s="9"/>
    </row>
    <row r="606" customFormat="false" ht="15" hidden="false" customHeight="false" outlineLevel="0" collapsed="false">
      <c r="A606" s="11"/>
      <c r="B606" s="9"/>
      <c r="C606" s="9"/>
      <c r="D606" s="9"/>
      <c r="E606" s="10"/>
      <c r="F606" s="9"/>
    </row>
    <row r="607" customFormat="false" ht="15" hidden="false" customHeight="false" outlineLevel="0" collapsed="false">
      <c r="A607" s="11"/>
      <c r="B607" s="9"/>
      <c r="C607" s="9"/>
      <c r="D607" s="9"/>
      <c r="E607" s="10"/>
      <c r="F607" s="9"/>
    </row>
    <row r="608" customFormat="false" ht="15" hidden="false" customHeight="false" outlineLevel="0" collapsed="false">
      <c r="A608" s="11"/>
      <c r="B608" s="9"/>
      <c r="C608" s="9"/>
      <c r="D608" s="9"/>
      <c r="E608" s="10"/>
      <c r="F608" s="9"/>
    </row>
    <row r="609" customFormat="false" ht="15" hidden="false" customHeight="false" outlineLevel="0" collapsed="false">
      <c r="A609" s="11"/>
      <c r="B609" s="9"/>
      <c r="C609" s="9"/>
      <c r="D609" s="9"/>
      <c r="E609" s="10"/>
      <c r="F609" s="9"/>
    </row>
    <row r="610" customFormat="false" ht="15" hidden="false" customHeight="false" outlineLevel="0" collapsed="false">
      <c r="A610" s="11"/>
      <c r="B610" s="9"/>
      <c r="C610" s="9"/>
      <c r="D610" s="9"/>
      <c r="E610" s="10"/>
      <c r="F610" s="9"/>
    </row>
    <row r="611" customFormat="false" ht="15" hidden="false" customHeight="false" outlineLevel="0" collapsed="false">
      <c r="A611" s="11"/>
      <c r="B611" s="9"/>
      <c r="C611" s="9"/>
      <c r="D611" s="9"/>
      <c r="E611" s="10"/>
      <c r="F611" s="9"/>
    </row>
    <row r="612" customFormat="false" ht="15" hidden="false" customHeight="false" outlineLevel="0" collapsed="false">
      <c r="A612" s="11"/>
      <c r="B612" s="9"/>
      <c r="C612" s="9"/>
      <c r="D612" s="9"/>
      <c r="E612" s="10"/>
      <c r="F612" s="9"/>
    </row>
    <row r="613" customFormat="false" ht="15" hidden="false" customHeight="false" outlineLevel="0" collapsed="false">
      <c r="A613" s="11"/>
      <c r="B613" s="9"/>
      <c r="C613" s="9"/>
      <c r="D613" s="9"/>
      <c r="E613" s="10"/>
      <c r="F613" s="9"/>
    </row>
    <row r="614" customFormat="false" ht="15" hidden="false" customHeight="false" outlineLevel="0" collapsed="false">
      <c r="A614" s="11"/>
      <c r="B614" s="9"/>
      <c r="C614" s="9"/>
      <c r="D614" s="9"/>
      <c r="E614" s="10"/>
      <c r="F614" s="9"/>
    </row>
    <row r="615" customFormat="false" ht="15" hidden="false" customHeight="false" outlineLevel="0" collapsed="false">
      <c r="A615" s="11"/>
      <c r="B615" s="9"/>
      <c r="C615" s="9"/>
      <c r="D615" s="9"/>
      <c r="E615" s="10"/>
      <c r="F615" s="9"/>
    </row>
    <row r="616" customFormat="false" ht="15" hidden="false" customHeight="false" outlineLevel="0" collapsed="false">
      <c r="A616" s="11"/>
      <c r="B616" s="9"/>
      <c r="C616" s="9"/>
      <c r="D616" s="9"/>
      <c r="E616" s="10"/>
      <c r="F616" s="9"/>
    </row>
    <row r="617" customFormat="false" ht="15" hidden="false" customHeight="false" outlineLevel="0" collapsed="false">
      <c r="A617" s="11"/>
      <c r="B617" s="9"/>
      <c r="C617" s="9"/>
      <c r="D617" s="9"/>
      <c r="E617" s="10"/>
      <c r="F617" s="9"/>
    </row>
    <row r="618" customFormat="false" ht="15" hidden="false" customHeight="false" outlineLevel="0" collapsed="false">
      <c r="A618" s="11"/>
      <c r="B618" s="9"/>
      <c r="C618" s="9"/>
      <c r="D618" s="9"/>
      <c r="E618" s="10"/>
      <c r="F618" s="9"/>
    </row>
    <row r="619" customFormat="false" ht="15" hidden="false" customHeight="false" outlineLevel="0" collapsed="false">
      <c r="A619" s="11"/>
      <c r="B619" s="9"/>
      <c r="C619" s="9"/>
      <c r="D619" s="9"/>
      <c r="E619" s="10"/>
      <c r="F619" s="9"/>
    </row>
    <row r="620" customFormat="false" ht="15" hidden="false" customHeight="false" outlineLevel="0" collapsed="false">
      <c r="A620" s="11"/>
      <c r="B620" s="9"/>
      <c r="C620" s="9"/>
      <c r="D620" s="9"/>
      <c r="E620" s="10"/>
      <c r="F620" s="9"/>
    </row>
    <row r="621" customFormat="false" ht="15" hidden="false" customHeight="false" outlineLevel="0" collapsed="false">
      <c r="A621" s="11"/>
      <c r="B621" s="9"/>
      <c r="C621" s="9"/>
      <c r="D621" s="9"/>
      <c r="E621" s="10"/>
      <c r="F621" s="9"/>
    </row>
    <row r="622" customFormat="false" ht="15" hidden="false" customHeight="false" outlineLevel="0" collapsed="false">
      <c r="A622" s="11"/>
      <c r="B622" s="9"/>
      <c r="C622" s="9"/>
      <c r="D622" s="9"/>
      <c r="E622" s="10"/>
      <c r="F622" s="9"/>
    </row>
    <row r="623" customFormat="false" ht="15" hidden="false" customHeight="false" outlineLevel="0" collapsed="false">
      <c r="A623" s="11"/>
      <c r="B623" s="9"/>
      <c r="C623" s="9"/>
      <c r="D623" s="9"/>
      <c r="E623" s="10"/>
      <c r="F623" s="9"/>
    </row>
    <row r="624" customFormat="false" ht="15" hidden="false" customHeight="false" outlineLevel="0" collapsed="false">
      <c r="A624" s="11"/>
      <c r="B624" s="9"/>
      <c r="C624" s="9"/>
      <c r="D624" s="9"/>
      <c r="E624" s="10"/>
      <c r="F624" s="9"/>
    </row>
    <row r="625" customFormat="false" ht="15" hidden="false" customHeight="false" outlineLevel="0" collapsed="false">
      <c r="A625" s="11"/>
      <c r="B625" s="9"/>
      <c r="C625" s="9"/>
      <c r="D625" s="9"/>
      <c r="E625" s="10"/>
      <c r="F625" s="9"/>
    </row>
    <row r="626" customFormat="false" ht="15" hidden="false" customHeight="false" outlineLevel="0" collapsed="false">
      <c r="A626" s="11"/>
      <c r="B626" s="9"/>
      <c r="C626" s="9"/>
      <c r="D626" s="9"/>
      <c r="E626" s="10"/>
      <c r="F626" s="9"/>
    </row>
    <row r="627" customFormat="false" ht="15" hidden="false" customHeight="false" outlineLevel="0" collapsed="false">
      <c r="A627" s="11"/>
      <c r="B627" s="9"/>
      <c r="C627" s="9"/>
      <c r="D627" s="9"/>
      <c r="E627" s="10"/>
      <c r="F627" s="9"/>
    </row>
    <row r="628" customFormat="false" ht="15" hidden="false" customHeight="false" outlineLevel="0" collapsed="false">
      <c r="A628" s="11"/>
      <c r="B628" s="9"/>
      <c r="C628" s="9"/>
      <c r="D628" s="9"/>
      <c r="E628" s="10"/>
      <c r="F628" s="9"/>
    </row>
    <row r="629" customFormat="false" ht="15" hidden="false" customHeight="false" outlineLevel="0" collapsed="false">
      <c r="A629" s="11"/>
      <c r="B629" s="9"/>
      <c r="C629" s="9"/>
      <c r="D629" s="9"/>
      <c r="E629" s="10"/>
      <c r="F629" s="9"/>
    </row>
    <row r="630" customFormat="false" ht="15" hidden="false" customHeight="false" outlineLevel="0" collapsed="false">
      <c r="A630" s="11"/>
      <c r="B630" s="9"/>
      <c r="C630" s="9"/>
      <c r="D630" s="9"/>
      <c r="E630" s="10"/>
      <c r="F630" s="9"/>
    </row>
    <row r="631" customFormat="false" ht="15" hidden="false" customHeight="false" outlineLevel="0" collapsed="false">
      <c r="A631" s="11"/>
      <c r="B631" s="9"/>
      <c r="C631" s="9"/>
      <c r="D631" s="9"/>
      <c r="E631" s="10"/>
      <c r="F631" s="9"/>
    </row>
    <row r="632" customFormat="false" ht="15" hidden="false" customHeight="false" outlineLevel="0" collapsed="false">
      <c r="A632" s="11"/>
      <c r="B632" s="9"/>
      <c r="C632" s="9"/>
      <c r="D632" s="9"/>
      <c r="E632" s="10"/>
      <c r="F632" s="9"/>
    </row>
    <row r="633" customFormat="false" ht="15" hidden="false" customHeight="false" outlineLevel="0" collapsed="false">
      <c r="A633" s="11"/>
      <c r="B633" s="9"/>
      <c r="C633" s="9"/>
      <c r="D633" s="9"/>
      <c r="E633" s="10"/>
      <c r="F633" s="9"/>
    </row>
    <row r="634" customFormat="false" ht="15" hidden="false" customHeight="false" outlineLevel="0" collapsed="false">
      <c r="A634" s="11"/>
      <c r="B634" s="9"/>
      <c r="C634" s="9"/>
      <c r="D634" s="9"/>
      <c r="E634" s="10"/>
      <c r="F634" s="9"/>
    </row>
    <row r="635" customFormat="false" ht="15" hidden="false" customHeight="false" outlineLevel="0" collapsed="false">
      <c r="A635" s="11"/>
      <c r="B635" s="9"/>
      <c r="C635" s="9"/>
      <c r="D635" s="9"/>
      <c r="E635" s="10"/>
      <c r="F635" s="9"/>
    </row>
    <row r="636" customFormat="false" ht="15" hidden="false" customHeight="false" outlineLevel="0" collapsed="false">
      <c r="A636" s="11"/>
      <c r="B636" s="9"/>
      <c r="C636" s="9"/>
      <c r="D636" s="9"/>
      <c r="E636" s="10"/>
      <c r="F636" s="9"/>
    </row>
    <row r="637" customFormat="false" ht="15" hidden="false" customHeight="false" outlineLevel="0" collapsed="false">
      <c r="A637" s="11"/>
      <c r="B637" s="9"/>
      <c r="C637" s="9"/>
      <c r="D637" s="9"/>
      <c r="E637" s="10"/>
      <c r="F637" s="9"/>
    </row>
    <row r="638" customFormat="false" ht="15" hidden="false" customHeight="false" outlineLevel="0" collapsed="false">
      <c r="A638" s="11"/>
      <c r="B638" s="9"/>
      <c r="C638" s="9"/>
      <c r="D638" s="9"/>
      <c r="E638" s="10"/>
      <c r="F638" s="9"/>
    </row>
    <row r="639" customFormat="false" ht="15" hidden="false" customHeight="false" outlineLevel="0" collapsed="false">
      <c r="A639" s="11"/>
      <c r="B639" s="9"/>
      <c r="C639" s="9"/>
      <c r="D639" s="9"/>
      <c r="E639" s="10"/>
      <c r="F639" s="9"/>
    </row>
    <row r="640" customFormat="false" ht="15" hidden="false" customHeight="false" outlineLevel="0" collapsed="false">
      <c r="A640" s="11"/>
      <c r="B640" s="9"/>
      <c r="C640" s="9"/>
      <c r="D640" s="9"/>
      <c r="E640" s="10"/>
      <c r="F640" s="9"/>
    </row>
    <row r="641" customFormat="false" ht="15" hidden="false" customHeight="false" outlineLevel="0" collapsed="false">
      <c r="A641" s="11"/>
      <c r="B641" s="9"/>
      <c r="C641" s="9"/>
      <c r="D641" s="9"/>
      <c r="E641" s="10"/>
      <c r="F641" s="9"/>
    </row>
    <row r="642" customFormat="false" ht="15" hidden="false" customHeight="false" outlineLevel="0" collapsed="false">
      <c r="A642" s="11"/>
      <c r="B642" s="9"/>
      <c r="C642" s="9"/>
      <c r="D642" s="9"/>
      <c r="E642" s="10"/>
      <c r="F642" s="9"/>
    </row>
    <row r="643" customFormat="false" ht="15" hidden="false" customHeight="false" outlineLevel="0" collapsed="false">
      <c r="A643" s="11"/>
      <c r="B643" s="9"/>
      <c r="C643" s="9"/>
      <c r="D643" s="9"/>
      <c r="E643" s="10"/>
      <c r="F643" s="9"/>
    </row>
    <row r="644" customFormat="false" ht="15" hidden="false" customHeight="false" outlineLevel="0" collapsed="false">
      <c r="A644" s="11"/>
      <c r="B644" s="9"/>
      <c r="C644" s="9"/>
      <c r="D644" s="9"/>
      <c r="E644" s="10"/>
      <c r="F644" s="9"/>
    </row>
    <row r="645" customFormat="false" ht="15" hidden="false" customHeight="false" outlineLevel="0" collapsed="false">
      <c r="A645" s="11"/>
      <c r="B645" s="9"/>
      <c r="C645" s="9"/>
      <c r="D645" s="9"/>
      <c r="E645" s="10"/>
      <c r="F645" s="9"/>
    </row>
    <row r="646" customFormat="false" ht="15" hidden="false" customHeight="false" outlineLevel="0" collapsed="false">
      <c r="A646" s="11"/>
      <c r="B646" s="9"/>
      <c r="C646" s="9"/>
      <c r="D646" s="9"/>
      <c r="E646" s="10"/>
      <c r="F646" s="9"/>
    </row>
    <row r="647" customFormat="false" ht="15" hidden="false" customHeight="false" outlineLevel="0" collapsed="false">
      <c r="A647" s="11"/>
      <c r="B647" s="9"/>
      <c r="C647" s="9"/>
      <c r="D647" s="9"/>
      <c r="E647" s="10"/>
      <c r="F647" s="9"/>
    </row>
    <row r="648" customFormat="false" ht="15" hidden="false" customHeight="false" outlineLevel="0" collapsed="false">
      <c r="A648" s="11"/>
      <c r="B648" s="9"/>
      <c r="C648" s="9"/>
      <c r="D648" s="9"/>
      <c r="E648" s="10"/>
      <c r="F648" s="9"/>
    </row>
    <row r="649" customFormat="false" ht="15" hidden="false" customHeight="false" outlineLevel="0" collapsed="false">
      <c r="A649" s="11"/>
      <c r="B649" s="9"/>
      <c r="C649" s="9"/>
      <c r="D649" s="9"/>
      <c r="E649" s="10"/>
      <c r="F649" s="9"/>
    </row>
    <row r="650" customFormat="false" ht="15" hidden="false" customHeight="false" outlineLevel="0" collapsed="false">
      <c r="A650" s="11"/>
      <c r="B650" s="9"/>
      <c r="C650" s="9"/>
      <c r="D650" s="9"/>
      <c r="E650" s="10"/>
      <c r="F650" s="9"/>
    </row>
    <row r="651" customFormat="false" ht="15" hidden="false" customHeight="false" outlineLevel="0" collapsed="false">
      <c r="A651" s="11"/>
      <c r="B651" s="9"/>
      <c r="C651" s="9"/>
      <c r="D651" s="9"/>
      <c r="E651" s="10"/>
      <c r="F651" s="9"/>
    </row>
    <row r="652" customFormat="false" ht="15" hidden="false" customHeight="false" outlineLevel="0" collapsed="false">
      <c r="A652" s="11"/>
      <c r="B652" s="9"/>
      <c r="C652" s="9"/>
      <c r="D652" s="9"/>
      <c r="E652" s="10"/>
      <c r="F652" s="9"/>
    </row>
    <row r="653" customFormat="false" ht="15" hidden="false" customHeight="false" outlineLevel="0" collapsed="false">
      <c r="A653" s="11"/>
      <c r="B653" s="9"/>
      <c r="C653" s="9"/>
      <c r="D653" s="9"/>
      <c r="E653" s="10"/>
      <c r="F653" s="9"/>
    </row>
    <row r="654" customFormat="false" ht="15" hidden="false" customHeight="false" outlineLevel="0" collapsed="false">
      <c r="A654" s="11"/>
      <c r="B654" s="9"/>
      <c r="C654" s="9"/>
      <c r="D654" s="9"/>
      <c r="E654" s="10"/>
      <c r="F654" s="9"/>
    </row>
    <row r="655" customFormat="false" ht="15" hidden="false" customHeight="false" outlineLevel="0" collapsed="false">
      <c r="A655" s="11"/>
      <c r="B655" s="9"/>
      <c r="C655" s="9"/>
      <c r="D655" s="9"/>
      <c r="E655" s="10"/>
      <c r="F655" s="9"/>
    </row>
    <row r="656" customFormat="false" ht="15" hidden="false" customHeight="false" outlineLevel="0" collapsed="false">
      <c r="A656" s="11"/>
      <c r="B656" s="9"/>
      <c r="C656" s="9"/>
      <c r="D656" s="9"/>
      <c r="E656" s="10"/>
      <c r="F656" s="9"/>
    </row>
    <row r="657" customFormat="false" ht="15" hidden="false" customHeight="false" outlineLevel="0" collapsed="false">
      <c r="A657" s="11"/>
      <c r="B657" s="9"/>
      <c r="C657" s="9"/>
      <c r="D657" s="9"/>
      <c r="E657" s="10"/>
      <c r="F657" s="9"/>
    </row>
    <row r="658" customFormat="false" ht="15" hidden="false" customHeight="false" outlineLevel="0" collapsed="false">
      <c r="A658" s="11"/>
      <c r="B658" s="9"/>
      <c r="C658" s="9"/>
      <c r="D658" s="9"/>
      <c r="E658" s="10"/>
      <c r="F658" s="9"/>
    </row>
    <row r="659" customFormat="false" ht="15" hidden="false" customHeight="false" outlineLevel="0" collapsed="false">
      <c r="A659" s="11"/>
      <c r="B659" s="9"/>
      <c r="C659" s="9"/>
      <c r="D659" s="9"/>
      <c r="E659" s="10"/>
      <c r="F659" s="9"/>
    </row>
    <row r="660" customFormat="false" ht="15" hidden="false" customHeight="false" outlineLevel="0" collapsed="false">
      <c r="A660" s="11"/>
      <c r="B660" s="9"/>
      <c r="C660" s="9"/>
      <c r="D660" s="9"/>
      <c r="E660" s="10"/>
      <c r="F660" s="9"/>
    </row>
    <row r="661" customFormat="false" ht="15" hidden="false" customHeight="false" outlineLevel="0" collapsed="false">
      <c r="A661" s="11"/>
      <c r="B661" s="9"/>
      <c r="C661" s="9"/>
      <c r="D661" s="9"/>
      <c r="E661" s="10"/>
      <c r="F661" s="9"/>
    </row>
    <row r="662" customFormat="false" ht="15" hidden="false" customHeight="false" outlineLevel="0" collapsed="false">
      <c r="A662" s="11"/>
      <c r="B662" s="9"/>
      <c r="C662" s="9"/>
      <c r="D662" s="9"/>
      <c r="E662" s="10"/>
      <c r="F662" s="9"/>
    </row>
    <row r="663" customFormat="false" ht="15" hidden="false" customHeight="false" outlineLevel="0" collapsed="false">
      <c r="A663" s="11"/>
      <c r="B663" s="9"/>
      <c r="C663" s="9"/>
      <c r="D663" s="9"/>
      <c r="E663" s="10"/>
      <c r="F663" s="9"/>
    </row>
    <row r="664" customFormat="false" ht="15" hidden="false" customHeight="false" outlineLevel="0" collapsed="false">
      <c r="A664" s="11"/>
      <c r="B664" s="9"/>
      <c r="C664" s="9"/>
      <c r="D664" s="9"/>
      <c r="E664" s="10"/>
      <c r="F664" s="9"/>
    </row>
    <row r="665" customFormat="false" ht="15" hidden="false" customHeight="false" outlineLevel="0" collapsed="false">
      <c r="A665" s="11"/>
      <c r="B665" s="9"/>
      <c r="C665" s="9"/>
      <c r="D665" s="9"/>
      <c r="E665" s="10"/>
      <c r="F665" s="9"/>
    </row>
    <row r="666" customFormat="false" ht="15" hidden="false" customHeight="false" outlineLevel="0" collapsed="false">
      <c r="A666" s="11"/>
      <c r="B666" s="9"/>
      <c r="C666" s="9"/>
      <c r="D666" s="9"/>
      <c r="E666" s="10"/>
      <c r="F666" s="9"/>
    </row>
    <row r="667" customFormat="false" ht="15" hidden="false" customHeight="false" outlineLevel="0" collapsed="false">
      <c r="A667" s="11"/>
      <c r="B667" s="9"/>
      <c r="C667" s="9"/>
      <c r="D667" s="9"/>
      <c r="E667" s="10"/>
      <c r="F667" s="9"/>
    </row>
    <row r="668" customFormat="false" ht="15" hidden="false" customHeight="false" outlineLevel="0" collapsed="false">
      <c r="A668" s="11"/>
      <c r="B668" s="9"/>
      <c r="C668" s="9"/>
      <c r="D668" s="9"/>
      <c r="E668" s="10"/>
      <c r="F668" s="9"/>
    </row>
    <row r="669" customFormat="false" ht="15" hidden="false" customHeight="false" outlineLevel="0" collapsed="false">
      <c r="A669" s="11"/>
      <c r="B669" s="9"/>
      <c r="C669" s="9"/>
      <c r="D669" s="9"/>
      <c r="E669" s="10"/>
      <c r="F669" s="9"/>
    </row>
    <row r="670" customFormat="false" ht="15" hidden="false" customHeight="false" outlineLevel="0" collapsed="false">
      <c r="A670" s="11"/>
      <c r="B670" s="9"/>
      <c r="C670" s="9"/>
      <c r="D670" s="9"/>
      <c r="E670" s="10"/>
      <c r="F670" s="9"/>
    </row>
    <row r="671" customFormat="false" ht="15" hidden="false" customHeight="false" outlineLevel="0" collapsed="false">
      <c r="A671" s="11"/>
      <c r="B671" s="9"/>
      <c r="C671" s="9"/>
      <c r="D671" s="9"/>
      <c r="E671" s="10"/>
      <c r="F671" s="9"/>
    </row>
    <row r="672" customFormat="false" ht="15" hidden="false" customHeight="false" outlineLevel="0" collapsed="false">
      <c r="A672" s="11"/>
      <c r="B672" s="9"/>
      <c r="C672" s="9"/>
      <c r="D672" s="9"/>
      <c r="E672" s="10"/>
      <c r="F672" s="9"/>
    </row>
    <row r="673" customFormat="false" ht="15" hidden="false" customHeight="false" outlineLevel="0" collapsed="false">
      <c r="A673" s="11"/>
      <c r="B673" s="9"/>
      <c r="C673" s="9"/>
      <c r="D673" s="9"/>
      <c r="E673" s="10"/>
      <c r="F673" s="9"/>
    </row>
    <row r="674" customFormat="false" ht="15" hidden="false" customHeight="false" outlineLevel="0" collapsed="false">
      <c r="A674" s="11"/>
      <c r="B674" s="9"/>
      <c r="C674" s="9"/>
      <c r="D674" s="9"/>
      <c r="E674" s="10"/>
      <c r="F674" s="9"/>
    </row>
    <row r="675" customFormat="false" ht="15" hidden="false" customHeight="false" outlineLevel="0" collapsed="false">
      <c r="A675" s="11"/>
      <c r="B675" s="9"/>
      <c r="C675" s="9"/>
      <c r="D675" s="9"/>
      <c r="E675" s="10"/>
      <c r="F675" s="9"/>
    </row>
    <row r="676" customFormat="false" ht="15" hidden="false" customHeight="false" outlineLevel="0" collapsed="false">
      <c r="A676" s="11"/>
      <c r="B676" s="9"/>
      <c r="C676" s="9"/>
      <c r="D676" s="9"/>
      <c r="E676" s="10"/>
      <c r="F676" s="9"/>
    </row>
    <row r="677" customFormat="false" ht="15" hidden="false" customHeight="false" outlineLevel="0" collapsed="false">
      <c r="A677" s="11"/>
      <c r="B677" s="9"/>
      <c r="C677" s="9"/>
      <c r="D677" s="9"/>
      <c r="E677" s="10"/>
      <c r="F677" s="9"/>
    </row>
    <row r="678" customFormat="false" ht="15" hidden="false" customHeight="false" outlineLevel="0" collapsed="false">
      <c r="A678" s="11"/>
      <c r="B678" s="9"/>
      <c r="C678" s="9"/>
      <c r="D678" s="9"/>
      <c r="E678" s="10"/>
      <c r="F678" s="9"/>
    </row>
    <row r="679" customFormat="false" ht="15" hidden="false" customHeight="false" outlineLevel="0" collapsed="false">
      <c r="A679" s="11"/>
      <c r="B679" s="9"/>
      <c r="C679" s="9"/>
      <c r="D679" s="9"/>
      <c r="E679" s="10"/>
      <c r="F679" s="9"/>
    </row>
    <row r="680" customFormat="false" ht="15" hidden="false" customHeight="false" outlineLevel="0" collapsed="false">
      <c r="A680" s="11"/>
      <c r="B680" s="9"/>
      <c r="C680" s="9"/>
      <c r="D680" s="9"/>
      <c r="E680" s="10"/>
      <c r="F680" s="9"/>
    </row>
    <row r="681" customFormat="false" ht="15" hidden="false" customHeight="false" outlineLevel="0" collapsed="false">
      <c r="A681" s="11"/>
      <c r="B681" s="9"/>
      <c r="C681" s="9"/>
      <c r="D681" s="9"/>
      <c r="E681" s="10"/>
      <c r="F681" s="9"/>
    </row>
    <row r="682" customFormat="false" ht="15" hidden="false" customHeight="false" outlineLevel="0" collapsed="false">
      <c r="A682" s="11"/>
      <c r="B682" s="9"/>
      <c r="C682" s="9"/>
      <c r="D682" s="9"/>
      <c r="E682" s="10"/>
      <c r="F682" s="9"/>
    </row>
    <row r="683" customFormat="false" ht="15" hidden="false" customHeight="false" outlineLevel="0" collapsed="false">
      <c r="A683" s="11"/>
      <c r="B683" s="9"/>
      <c r="C683" s="9"/>
      <c r="D683" s="9"/>
      <c r="E683" s="10"/>
      <c r="F683" s="9"/>
    </row>
    <row r="684" customFormat="false" ht="15" hidden="false" customHeight="false" outlineLevel="0" collapsed="false">
      <c r="A684" s="11"/>
      <c r="B684" s="9"/>
      <c r="C684" s="9"/>
      <c r="D684" s="9"/>
      <c r="E684" s="10"/>
      <c r="F684" s="9"/>
    </row>
    <row r="685" customFormat="false" ht="15" hidden="false" customHeight="false" outlineLevel="0" collapsed="false">
      <c r="A685" s="11"/>
      <c r="B685" s="9"/>
      <c r="C685" s="9"/>
      <c r="D685" s="9"/>
      <c r="E685" s="10"/>
      <c r="F685" s="9"/>
    </row>
    <row r="686" customFormat="false" ht="15" hidden="false" customHeight="false" outlineLevel="0" collapsed="false">
      <c r="A686" s="11"/>
      <c r="B686" s="9"/>
      <c r="C686" s="9"/>
      <c r="D686" s="9"/>
      <c r="E686" s="10"/>
      <c r="F686" s="9"/>
    </row>
    <row r="687" customFormat="false" ht="15" hidden="false" customHeight="false" outlineLevel="0" collapsed="false">
      <c r="A687" s="11"/>
      <c r="B687" s="9"/>
      <c r="C687" s="9"/>
      <c r="D687" s="9"/>
      <c r="E687" s="10"/>
      <c r="F687" s="9"/>
    </row>
    <row r="688" customFormat="false" ht="15" hidden="false" customHeight="false" outlineLevel="0" collapsed="false">
      <c r="A688" s="11"/>
      <c r="B688" s="9"/>
      <c r="C688" s="9"/>
      <c r="D688" s="9"/>
      <c r="E688" s="10"/>
      <c r="F688" s="9"/>
    </row>
    <row r="689" customFormat="false" ht="15" hidden="false" customHeight="false" outlineLevel="0" collapsed="false">
      <c r="A689" s="11"/>
      <c r="B689" s="9"/>
      <c r="C689" s="9"/>
      <c r="D689" s="9"/>
      <c r="E689" s="10"/>
      <c r="F689" s="9"/>
    </row>
    <row r="690" customFormat="false" ht="15" hidden="false" customHeight="false" outlineLevel="0" collapsed="false">
      <c r="A690" s="11"/>
      <c r="B690" s="9"/>
      <c r="C690" s="9"/>
      <c r="D690" s="9"/>
      <c r="E690" s="10"/>
      <c r="F690" s="9"/>
    </row>
    <row r="691" customFormat="false" ht="15" hidden="false" customHeight="false" outlineLevel="0" collapsed="false">
      <c r="A691" s="11"/>
      <c r="B691" s="9"/>
      <c r="C691" s="9"/>
      <c r="D691" s="9"/>
      <c r="E691" s="10"/>
      <c r="F691" s="9"/>
    </row>
    <row r="692" customFormat="false" ht="15" hidden="false" customHeight="false" outlineLevel="0" collapsed="false">
      <c r="A692" s="11"/>
      <c r="B692" s="9"/>
      <c r="C692" s="9"/>
      <c r="D692" s="9"/>
      <c r="E692" s="10"/>
      <c r="F692" s="9"/>
    </row>
    <row r="693" customFormat="false" ht="15" hidden="false" customHeight="false" outlineLevel="0" collapsed="false">
      <c r="A693" s="11"/>
      <c r="B693" s="9"/>
      <c r="C693" s="9"/>
      <c r="D693" s="9"/>
      <c r="E693" s="10"/>
      <c r="F693" s="9"/>
    </row>
    <row r="694" customFormat="false" ht="15" hidden="false" customHeight="false" outlineLevel="0" collapsed="false">
      <c r="A694" s="11"/>
      <c r="B694" s="9"/>
      <c r="C694" s="9"/>
      <c r="D694" s="9"/>
      <c r="E694" s="10"/>
      <c r="F694" s="9"/>
    </row>
    <row r="695" customFormat="false" ht="15" hidden="false" customHeight="false" outlineLevel="0" collapsed="false">
      <c r="A695" s="11"/>
      <c r="B695" s="9"/>
      <c r="C695" s="9"/>
      <c r="D695" s="9"/>
      <c r="E695" s="10"/>
      <c r="F695" s="9"/>
    </row>
    <row r="696" customFormat="false" ht="15" hidden="false" customHeight="false" outlineLevel="0" collapsed="false">
      <c r="A696" s="11"/>
      <c r="B696" s="9"/>
      <c r="C696" s="9"/>
      <c r="D696" s="9"/>
      <c r="E696" s="10"/>
      <c r="F696" s="9"/>
    </row>
    <row r="697" customFormat="false" ht="15" hidden="false" customHeight="false" outlineLevel="0" collapsed="false">
      <c r="A697" s="11"/>
      <c r="B697" s="9"/>
      <c r="C697" s="9"/>
      <c r="D697" s="9"/>
      <c r="E697" s="10"/>
      <c r="F697" s="9"/>
    </row>
    <row r="698" customFormat="false" ht="15" hidden="false" customHeight="false" outlineLevel="0" collapsed="false">
      <c r="A698" s="11"/>
      <c r="B698" s="9"/>
      <c r="C698" s="9"/>
      <c r="D698" s="9"/>
      <c r="E698" s="10"/>
      <c r="F698" s="9"/>
    </row>
    <row r="699" customFormat="false" ht="15" hidden="false" customHeight="false" outlineLevel="0" collapsed="false">
      <c r="A699" s="11"/>
      <c r="B699" s="9"/>
      <c r="C699" s="9"/>
      <c r="D699" s="9"/>
      <c r="E699" s="10"/>
      <c r="F699" s="9"/>
    </row>
    <row r="700" customFormat="false" ht="15" hidden="false" customHeight="false" outlineLevel="0" collapsed="false">
      <c r="A700" s="11"/>
      <c r="B700" s="9"/>
      <c r="C700" s="9"/>
      <c r="D700" s="9"/>
      <c r="E700" s="10"/>
      <c r="F700" s="9"/>
    </row>
    <row r="701" customFormat="false" ht="15" hidden="false" customHeight="false" outlineLevel="0" collapsed="false">
      <c r="A701" s="11"/>
      <c r="B701" s="9"/>
      <c r="C701" s="9"/>
      <c r="D701" s="9"/>
      <c r="E701" s="10"/>
      <c r="F701" s="9"/>
    </row>
    <row r="702" customFormat="false" ht="15" hidden="false" customHeight="false" outlineLevel="0" collapsed="false">
      <c r="A702" s="11"/>
      <c r="B702" s="9"/>
      <c r="C702" s="9"/>
      <c r="D702" s="9"/>
      <c r="E702" s="10"/>
      <c r="F702" s="9"/>
    </row>
    <row r="703" customFormat="false" ht="15" hidden="false" customHeight="false" outlineLevel="0" collapsed="false">
      <c r="A703" s="11"/>
      <c r="B703" s="9"/>
      <c r="C703" s="9"/>
      <c r="D703" s="9"/>
      <c r="E703" s="10"/>
      <c r="F703" s="9"/>
    </row>
    <row r="704" customFormat="false" ht="15" hidden="false" customHeight="false" outlineLevel="0" collapsed="false">
      <c r="A704" s="11"/>
      <c r="B704" s="9"/>
      <c r="C704" s="9"/>
      <c r="D704" s="9"/>
      <c r="E704" s="10"/>
      <c r="F704" s="9"/>
    </row>
    <row r="705" customFormat="false" ht="15" hidden="false" customHeight="false" outlineLevel="0" collapsed="false">
      <c r="A705" s="11"/>
      <c r="B705" s="9"/>
      <c r="C705" s="9"/>
      <c r="D705" s="9"/>
      <c r="E705" s="10"/>
      <c r="F705" s="9"/>
    </row>
    <row r="706" customFormat="false" ht="15" hidden="false" customHeight="false" outlineLevel="0" collapsed="false">
      <c r="A706" s="11"/>
      <c r="B706" s="9"/>
      <c r="C706" s="9"/>
      <c r="D706" s="9"/>
      <c r="E706" s="10"/>
      <c r="F706" s="9"/>
    </row>
    <row r="707" customFormat="false" ht="15" hidden="false" customHeight="false" outlineLevel="0" collapsed="false">
      <c r="A707" s="11"/>
      <c r="B707" s="9"/>
      <c r="C707" s="9"/>
      <c r="D707" s="9"/>
      <c r="E707" s="10"/>
      <c r="F707" s="9"/>
    </row>
    <row r="708" customFormat="false" ht="15" hidden="false" customHeight="false" outlineLevel="0" collapsed="false">
      <c r="A708" s="11"/>
      <c r="B708" s="9"/>
      <c r="C708" s="9"/>
      <c r="D708" s="9"/>
      <c r="E708" s="10"/>
      <c r="F708" s="9"/>
    </row>
    <row r="709" customFormat="false" ht="15" hidden="false" customHeight="false" outlineLevel="0" collapsed="false">
      <c r="A709" s="11"/>
      <c r="B709" s="9"/>
      <c r="C709" s="9"/>
      <c r="D709" s="9"/>
      <c r="E709" s="10"/>
      <c r="F709" s="9"/>
    </row>
    <row r="710" customFormat="false" ht="15" hidden="false" customHeight="false" outlineLevel="0" collapsed="false">
      <c r="A710" s="11"/>
      <c r="B710" s="9"/>
      <c r="C710" s="9"/>
      <c r="D710" s="9"/>
      <c r="E710" s="10"/>
      <c r="F710" s="9"/>
    </row>
    <row r="711" customFormat="false" ht="15" hidden="false" customHeight="false" outlineLevel="0" collapsed="false">
      <c r="A711" s="11"/>
      <c r="B711" s="9"/>
      <c r="C711" s="9"/>
      <c r="D711" s="9"/>
      <c r="E711" s="10"/>
      <c r="F711" s="9"/>
    </row>
    <row r="712" customFormat="false" ht="15" hidden="false" customHeight="false" outlineLevel="0" collapsed="false">
      <c r="A712" s="11"/>
      <c r="B712" s="9"/>
      <c r="C712" s="9"/>
      <c r="D712" s="9"/>
      <c r="E712" s="10"/>
      <c r="F712" s="9"/>
    </row>
    <row r="713" customFormat="false" ht="15" hidden="false" customHeight="false" outlineLevel="0" collapsed="false">
      <c r="A713" s="11"/>
      <c r="B713" s="9"/>
      <c r="C713" s="9"/>
      <c r="D713" s="9"/>
      <c r="E713" s="10"/>
      <c r="F713" s="9"/>
    </row>
    <row r="714" customFormat="false" ht="15" hidden="false" customHeight="false" outlineLevel="0" collapsed="false">
      <c r="A714" s="11"/>
      <c r="B714" s="9"/>
      <c r="C714" s="9"/>
      <c r="D714" s="9"/>
      <c r="E714" s="10"/>
      <c r="F714" s="9"/>
    </row>
    <row r="715" customFormat="false" ht="15" hidden="false" customHeight="false" outlineLevel="0" collapsed="false">
      <c r="A715" s="11"/>
      <c r="B715" s="9"/>
      <c r="C715" s="9"/>
      <c r="D715" s="9"/>
      <c r="E715" s="10"/>
      <c r="F715" s="9"/>
    </row>
    <row r="716" customFormat="false" ht="15" hidden="false" customHeight="false" outlineLevel="0" collapsed="false">
      <c r="A716" s="11"/>
      <c r="B716" s="9"/>
      <c r="C716" s="9"/>
      <c r="D716" s="9"/>
      <c r="E716" s="10"/>
      <c r="F716" s="9"/>
    </row>
    <row r="717" customFormat="false" ht="15" hidden="false" customHeight="false" outlineLevel="0" collapsed="false">
      <c r="A717" s="11"/>
      <c r="B717" s="9"/>
      <c r="C717" s="9"/>
      <c r="D717" s="9"/>
      <c r="E717" s="10"/>
      <c r="F717" s="9"/>
    </row>
    <row r="718" customFormat="false" ht="15" hidden="false" customHeight="false" outlineLevel="0" collapsed="false">
      <c r="A718" s="11"/>
      <c r="B718" s="9"/>
      <c r="C718" s="9"/>
      <c r="D718" s="9"/>
      <c r="E718" s="10"/>
      <c r="F718" s="9"/>
    </row>
    <row r="719" customFormat="false" ht="15" hidden="false" customHeight="false" outlineLevel="0" collapsed="false">
      <c r="A719" s="11"/>
      <c r="B719" s="9"/>
      <c r="C719" s="9"/>
      <c r="D719" s="9"/>
      <c r="E719" s="10"/>
      <c r="F719" s="9"/>
    </row>
    <row r="720" customFormat="false" ht="15" hidden="false" customHeight="false" outlineLevel="0" collapsed="false">
      <c r="A720" s="11"/>
      <c r="B720" s="9"/>
      <c r="C720" s="9"/>
      <c r="D720" s="9"/>
      <c r="E720" s="10"/>
      <c r="F720" s="9"/>
    </row>
    <row r="721" customFormat="false" ht="15" hidden="false" customHeight="false" outlineLevel="0" collapsed="false">
      <c r="A721" s="11"/>
      <c r="B721" s="9"/>
      <c r="C721" s="9"/>
      <c r="D721" s="9"/>
      <c r="E721" s="10"/>
      <c r="F721" s="9"/>
    </row>
    <row r="722" customFormat="false" ht="15" hidden="false" customHeight="false" outlineLevel="0" collapsed="false">
      <c r="A722" s="11"/>
      <c r="B722" s="9"/>
      <c r="C722" s="9"/>
      <c r="D722" s="9"/>
      <c r="E722" s="10"/>
      <c r="F722" s="9"/>
    </row>
    <row r="723" customFormat="false" ht="15" hidden="false" customHeight="false" outlineLevel="0" collapsed="false">
      <c r="A723" s="11"/>
      <c r="B723" s="9"/>
      <c r="C723" s="9"/>
      <c r="D723" s="9"/>
      <c r="E723" s="10"/>
      <c r="F723" s="9"/>
    </row>
    <row r="724" customFormat="false" ht="15" hidden="false" customHeight="false" outlineLevel="0" collapsed="false">
      <c r="A724" s="11"/>
      <c r="B724" s="9"/>
      <c r="C724" s="9"/>
      <c r="D724" s="9"/>
      <c r="E724" s="10"/>
      <c r="F724" s="9"/>
    </row>
    <row r="725" customFormat="false" ht="15" hidden="false" customHeight="false" outlineLevel="0" collapsed="false">
      <c r="A725" s="11"/>
      <c r="B725" s="9"/>
      <c r="C725" s="9"/>
      <c r="D725" s="9"/>
      <c r="E725" s="10"/>
      <c r="F725" s="9"/>
    </row>
    <row r="726" customFormat="false" ht="15" hidden="false" customHeight="false" outlineLevel="0" collapsed="false">
      <c r="A726" s="11"/>
      <c r="B726" s="9"/>
      <c r="C726" s="9"/>
      <c r="D726" s="9"/>
      <c r="E726" s="10"/>
      <c r="F726" s="9"/>
    </row>
    <row r="727" customFormat="false" ht="15" hidden="false" customHeight="false" outlineLevel="0" collapsed="false">
      <c r="A727" s="11"/>
      <c r="B727" s="9"/>
      <c r="C727" s="9"/>
      <c r="D727" s="9"/>
      <c r="E727" s="10"/>
      <c r="F727" s="9"/>
    </row>
    <row r="728" customFormat="false" ht="15" hidden="false" customHeight="false" outlineLevel="0" collapsed="false">
      <c r="A728" s="11"/>
      <c r="B728" s="9"/>
      <c r="C728" s="9"/>
      <c r="D728" s="9"/>
      <c r="E728" s="10"/>
      <c r="F728" s="9"/>
    </row>
    <row r="729" customFormat="false" ht="15" hidden="false" customHeight="false" outlineLevel="0" collapsed="false">
      <c r="A729" s="11"/>
      <c r="B729" s="9"/>
      <c r="C729" s="9"/>
      <c r="D729" s="9"/>
      <c r="E729" s="10"/>
      <c r="F729" s="9"/>
    </row>
    <row r="730" customFormat="false" ht="15" hidden="false" customHeight="false" outlineLevel="0" collapsed="false">
      <c r="A730" s="11"/>
      <c r="B730" s="9"/>
      <c r="C730" s="9"/>
      <c r="D730" s="9"/>
      <c r="E730" s="10"/>
      <c r="F730" s="9"/>
    </row>
    <row r="731" customFormat="false" ht="15" hidden="false" customHeight="false" outlineLevel="0" collapsed="false">
      <c r="A731" s="11"/>
      <c r="B731" s="9"/>
      <c r="C731" s="9"/>
      <c r="D731" s="9"/>
      <c r="E731" s="10"/>
      <c r="F731" s="9"/>
    </row>
    <row r="732" customFormat="false" ht="15" hidden="false" customHeight="false" outlineLevel="0" collapsed="false">
      <c r="A732" s="11"/>
      <c r="B732" s="9"/>
      <c r="C732" s="9"/>
      <c r="D732" s="9"/>
      <c r="E732" s="10"/>
      <c r="F732" s="9"/>
    </row>
    <row r="733" customFormat="false" ht="15" hidden="false" customHeight="false" outlineLevel="0" collapsed="false">
      <c r="A733" s="11"/>
      <c r="B733" s="9"/>
      <c r="C733" s="9"/>
      <c r="D733" s="9"/>
      <c r="E733" s="10"/>
      <c r="F733" s="9"/>
    </row>
    <row r="734" customFormat="false" ht="15" hidden="false" customHeight="false" outlineLevel="0" collapsed="false">
      <c r="A734" s="11"/>
      <c r="B734" s="9"/>
      <c r="C734" s="9"/>
      <c r="D734" s="9"/>
      <c r="E734" s="10"/>
      <c r="F734" s="9"/>
    </row>
    <row r="735" customFormat="false" ht="15" hidden="false" customHeight="false" outlineLevel="0" collapsed="false">
      <c r="A735" s="11"/>
      <c r="B735" s="9"/>
      <c r="C735" s="9"/>
      <c r="D735" s="9"/>
      <c r="E735" s="10"/>
      <c r="F735" s="9"/>
    </row>
    <row r="736" customFormat="false" ht="15" hidden="false" customHeight="false" outlineLevel="0" collapsed="false">
      <c r="A736" s="11"/>
      <c r="B736" s="9"/>
      <c r="C736" s="9"/>
      <c r="D736" s="9"/>
      <c r="E736" s="10"/>
      <c r="F736" s="9"/>
    </row>
    <row r="737" customFormat="false" ht="15" hidden="false" customHeight="false" outlineLevel="0" collapsed="false">
      <c r="A737" s="11"/>
      <c r="B737" s="9"/>
      <c r="C737" s="9"/>
      <c r="D737" s="9"/>
      <c r="E737" s="10"/>
      <c r="F737" s="9"/>
    </row>
    <row r="738" customFormat="false" ht="15" hidden="false" customHeight="false" outlineLevel="0" collapsed="false">
      <c r="A738" s="11"/>
      <c r="B738" s="9"/>
      <c r="C738" s="9"/>
      <c r="D738" s="9"/>
      <c r="E738" s="10"/>
      <c r="F738" s="9"/>
    </row>
    <row r="739" customFormat="false" ht="15" hidden="false" customHeight="false" outlineLevel="0" collapsed="false">
      <c r="A739" s="11"/>
      <c r="B739" s="9"/>
      <c r="C739" s="9"/>
      <c r="D739" s="9"/>
      <c r="E739" s="10"/>
      <c r="F739" s="9"/>
    </row>
    <row r="740" customFormat="false" ht="15" hidden="false" customHeight="false" outlineLevel="0" collapsed="false">
      <c r="A740" s="11"/>
      <c r="B740" s="9"/>
      <c r="C740" s="9"/>
      <c r="D740" s="9"/>
      <c r="E740" s="10"/>
      <c r="F740" s="9"/>
    </row>
    <row r="741" customFormat="false" ht="15" hidden="false" customHeight="false" outlineLevel="0" collapsed="false">
      <c r="A741" s="11"/>
      <c r="B741" s="9"/>
      <c r="C741" s="9"/>
      <c r="D741" s="9"/>
      <c r="E741" s="10"/>
      <c r="F741" s="9"/>
    </row>
    <row r="742" customFormat="false" ht="15" hidden="false" customHeight="false" outlineLevel="0" collapsed="false">
      <c r="A742" s="11"/>
      <c r="B742" s="9"/>
      <c r="C742" s="9"/>
      <c r="D742" s="9"/>
      <c r="E742" s="10"/>
      <c r="F742" s="9"/>
    </row>
    <row r="743" customFormat="false" ht="15" hidden="false" customHeight="false" outlineLevel="0" collapsed="false">
      <c r="A743" s="11"/>
      <c r="B743" s="9"/>
      <c r="C743" s="9"/>
      <c r="D743" s="9"/>
      <c r="E743" s="10"/>
      <c r="F743" s="9"/>
    </row>
    <row r="744" customFormat="false" ht="15" hidden="false" customHeight="false" outlineLevel="0" collapsed="false">
      <c r="A744" s="11"/>
      <c r="B744" s="9"/>
      <c r="C744" s="9"/>
      <c r="D744" s="9"/>
      <c r="E744" s="10"/>
      <c r="F744" s="9"/>
    </row>
    <row r="745" customFormat="false" ht="15" hidden="false" customHeight="false" outlineLevel="0" collapsed="false">
      <c r="A745" s="11"/>
      <c r="B745" s="9"/>
      <c r="C745" s="9"/>
      <c r="D745" s="9"/>
      <c r="E745" s="10"/>
      <c r="F745" s="9"/>
    </row>
    <row r="746" customFormat="false" ht="15" hidden="false" customHeight="false" outlineLevel="0" collapsed="false">
      <c r="A746" s="11"/>
      <c r="B746" s="9"/>
      <c r="C746" s="9"/>
      <c r="D746" s="9"/>
      <c r="E746" s="10"/>
      <c r="F746" s="9"/>
    </row>
    <row r="747" customFormat="false" ht="15" hidden="false" customHeight="false" outlineLevel="0" collapsed="false">
      <c r="A747" s="11"/>
      <c r="B747" s="9"/>
      <c r="C747" s="9"/>
      <c r="D747" s="9"/>
      <c r="E747" s="10"/>
      <c r="F747" s="9"/>
    </row>
    <row r="748" customFormat="false" ht="15" hidden="false" customHeight="false" outlineLevel="0" collapsed="false">
      <c r="A748" s="11"/>
      <c r="B748" s="9"/>
      <c r="C748" s="9"/>
      <c r="D748" s="9"/>
      <c r="E748" s="10"/>
      <c r="F748" s="9"/>
    </row>
    <row r="749" customFormat="false" ht="15" hidden="false" customHeight="false" outlineLevel="0" collapsed="false">
      <c r="A749" s="11"/>
      <c r="B749" s="9"/>
      <c r="C749" s="9"/>
      <c r="D749" s="9"/>
      <c r="E749" s="10"/>
      <c r="F749" s="9"/>
    </row>
    <row r="750" customFormat="false" ht="15" hidden="false" customHeight="false" outlineLevel="0" collapsed="false">
      <c r="A750" s="11"/>
      <c r="B750" s="9"/>
      <c r="C750" s="9"/>
      <c r="D750" s="9"/>
      <c r="E750" s="10"/>
      <c r="F750" s="9"/>
    </row>
    <row r="751" customFormat="false" ht="15" hidden="false" customHeight="false" outlineLevel="0" collapsed="false">
      <c r="A751" s="11"/>
      <c r="B751" s="9"/>
      <c r="C751" s="9"/>
      <c r="D751" s="9"/>
      <c r="E751" s="10"/>
      <c r="F751" s="9"/>
    </row>
    <row r="752" customFormat="false" ht="15" hidden="false" customHeight="false" outlineLevel="0" collapsed="false">
      <c r="A752" s="11"/>
      <c r="B752" s="9"/>
      <c r="C752" s="9"/>
      <c r="D752" s="9"/>
      <c r="E752" s="10"/>
      <c r="F752" s="9"/>
    </row>
    <row r="753" customFormat="false" ht="15" hidden="false" customHeight="false" outlineLevel="0" collapsed="false">
      <c r="A753" s="11"/>
      <c r="B753" s="9"/>
      <c r="C753" s="9"/>
      <c r="D753" s="9"/>
      <c r="E753" s="10"/>
      <c r="F753" s="9"/>
    </row>
    <row r="754" customFormat="false" ht="15" hidden="false" customHeight="false" outlineLevel="0" collapsed="false">
      <c r="A754" s="11"/>
      <c r="B754" s="9"/>
      <c r="C754" s="9"/>
      <c r="D754" s="9"/>
      <c r="E754" s="10"/>
      <c r="F754" s="9"/>
    </row>
    <row r="755" customFormat="false" ht="15" hidden="false" customHeight="false" outlineLevel="0" collapsed="false">
      <c r="A755" s="11"/>
      <c r="B755" s="9"/>
      <c r="C755" s="9"/>
      <c r="D755" s="9"/>
      <c r="E755" s="10"/>
      <c r="F755" s="9"/>
    </row>
    <row r="756" customFormat="false" ht="15" hidden="false" customHeight="false" outlineLevel="0" collapsed="false">
      <c r="A756" s="11"/>
      <c r="B756" s="9"/>
      <c r="C756" s="9"/>
      <c r="D756" s="9"/>
      <c r="E756" s="10"/>
      <c r="F756" s="9"/>
    </row>
    <row r="757" customFormat="false" ht="15" hidden="false" customHeight="false" outlineLevel="0" collapsed="false">
      <c r="A757" s="11"/>
      <c r="B757" s="9"/>
      <c r="C757" s="9"/>
      <c r="D757" s="9"/>
      <c r="E757" s="10"/>
      <c r="F757" s="9"/>
    </row>
    <row r="758" customFormat="false" ht="15" hidden="false" customHeight="false" outlineLevel="0" collapsed="false">
      <c r="A758" s="11"/>
      <c r="B758" s="9"/>
      <c r="C758" s="9"/>
      <c r="D758" s="9"/>
      <c r="E758" s="10"/>
      <c r="F758" s="9"/>
    </row>
    <row r="759" customFormat="false" ht="15" hidden="false" customHeight="false" outlineLevel="0" collapsed="false">
      <c r="A759" s="11"/>
      <c r="B759" s="9"/>
      <c r="C759" s="9"/>
      <c r="D759" s="9"/>
      <c r="E759" s="10"/>
      <c r="F759" s="9"/>
    </row>
    <row r="760" customFormat="false" ht="15" hidden="false" customHeight="false" outlineLevel="0" collapsed="false">
      <c r="A760" s="11"/>
      <c r="B760" s="9"/>
      <c r="C760" s="9"/>
      <c r="D760" s="9"/>
      <c r="E760" s="10"/>
      <c r="F760" s="9"/>
    </row>
    <row r="761" customFormat="false" ht="15" hidden="false" customHeight="false" outlineLevel="0" collapsed="false">
      <c r="A761" s="11"/>
      <c r="B761" s="9"/>
      <c r="C761" s="9"/>
      <c r="D761" s="9"/>
      <c r="E761" s="10"/>
      <c r="F761" s="9"/>
    </row>
    <row r="762" customFormat="false" ht="15" hidden="false" customHeight="false" outlineLevel="0" collapsed="false">
      <c r="A762" s="11"/>
      <c r="B762" s="9"/>
      <c r="C762" s="9"/>
      <c r="D762" s="9"/>
      <c r="E762" s="10"/>
      <c r="F762" s="9"/>
    </row>
    <row r="763" customFormat="false" ht="15" hidden="false" customHeight="false" outlineLevel="0" collapsed="false">
      <c r="A763" s="11"/>
      <c r="B763" s="9"/>
      <c r="C763" s="9"/>
      <c r="D763" s="9"/>
      <c r="E763" s="10"/>
      <c r="F763" s="9"/>
    </row>
    <row r="764" customFormat="false" ht="15" hidden="false" customHeight="false" outlineLevel="0" collapsed="false">
      <c r="A764" s="11"/>
      <c r="B764" s="9"/>
      <c r="C764" s="9"/>
      <c r="D764" s="9"/>
      <c r="E764" s="10"/>
      <c r="F764" s="9"/>
    </row>
    <row r="765" customFormat="false" ht="15" hidden="false" customHeight="false" outlineLevel="0" collapsed="false">
      <c r="A765" s="11"/>
      <c r="B765" s="9"/>
      <c r="C765" s="9"/>
      <c r="D765" s="9"/>
      <c r="E765" s="10"/>
      <c r="F765" s="9"/>
    </row>
    <row r="766" customFormat="false" ht="15" hidden="false" customHeight="false" outlineLevel="0" collapsed="false">
      <c r="A766" s="11"/>
      <c r="B766" s="9"/>
      <c r="C766" s="9"/>
      <c r="D766" s="9"/>
      <c r="E766" s="10"/>
      <c r="F766" s="9"/>
    </row>
    <row r="767" customFormat="false" ht="15" hidden="false" customHeight="false" outlineLevel="0" collapsed="false">
      <c r="A767" s="11"/>
      <c r="B767" s="9"/>
      <c r="C767" s="9"/>
      <c r="D767" s="9"/>
      <c r="E767" s="10"/>
      <c r="F767" s="9"/>
    </row>
    <row r="768" customFormat="false" ht="15" hidden="false" customHeight="false" outlineLevel="0" collapsed="false">
      <c r="A768" s="11"/>
      <c r="B768" s="9"/>
      <c r="C768" s="9"/>
      <c r="D768" s="9"/>
      <c r="E768" s="10"/>
      <c r="F768" s="9"/>
    </row>
    <row r="769" customFormat="false" ht="15" hidden="false" customHeight="false" outlineLevel="0" collapsed="false">
      <c r="A769" s="11"/>
      <c r="B769" s="9"/>
      <c r="C769" s="9"/>
      <c r="D769" s="9"/>
      <c r="E769" s="10"/>
      <c r="F769" s="9"/>
    </row>
    <row r="770" customFormat="false" ht="15" hidden="false" customHeight="false" outlineLevel="0" collapsed="false">
      <c r="A770" s="11"/>
      <c r="B770" s="9"/>
      <c r="C770" s="9"/>
      <c r="D770" s="9"/>
      <c r="E770" s="10"/>
      <c r="F770" s="9"/>
    </row>
    <row r="771" customFormat="false" ht="15" hidden="false" customHeight="false" outlineLevel="0" collapsed="false">
      <c r="A771" s="11"/>
      <c r="B771" s="9"/>
      <c r="C771" s="9"/>
      <c r="D771" s="9"/>
      <c r="E771" s="10"/>
      <c r="F771" s="9"/>
    </row>
    <row r="772" customFormat="false" ht="15" hidden="false" customHeight="false" outlineLevel="0" collapsed="false">
      <c r="A772" s="11"/>
      <c r="B772" s="9"/>
      <c r="C772" s="9"/>
      <c r="D772" s="9"/>
      <c r="E772" s="10"/>
      <c r="F772" s="9"/>
    </row>
    <row r="773" customFormat="false" ht="15" hidden="false" customHeight="false" outlineLevel="0" collapsed="false">
      <c r="A773" s="11"/>
      <c r="B773" s="9"/>
      <c r="C773" s="9"/>
      <c r="D773" s="9"/>
      <c r="E773" s="10"/>
      <c r="F773" s="9"/>
    </row>
    <row r="774" customFormat="false" ht="15" hidden="false" customHeight="false" outlineLevel="0" collapsed="false">
      <c r="A774" s="11"/>
      <c r="B774" s="9"/>
      <c r="C774" s="9"/>
      <c r="D774" s="9"/>
      <c r="E774" s="10"/>
      <c r="F774" s="9"/>
    </row>
    <row r="775" customFormat="false" ht="15" hidden="false" customHeight="false" outlineLevel="0" collapsed="false">
      <c r="A775" s="11"/>
      <c r="B775" s="9"/>
      <c r="C775" s="9"/>
      <c r="D775" s="9"/>
      <c r="E775" s="10"/>
      <c r="F775" s="9"/>
    </row>
    <row r="776" customFormat="false" ht="15" hidden="false" customHeight="false" outlineLevel="0" collapsed="false">
      <c r="A776" s="11"/>
      <c r="B776" s="9"/>
      <c r="C776" s="9"/>
      <c r="D776" s="9"/>
      <c r="E776" s="10"/>
      <c r="F776" s="9"/>
    </row>
    <row r="777" customFormat="false" ht="15" hidden="false" customHeight="false" outlineLevel="0" collapsed="false">
      <c r="A777" s="11"/>
      <c r="B777" s="9"/>
      <c r="C777" s="9"/>
      <c r="D777" s="9"/>
      <c r="E777" s="10"/>
      <c r="F777" s="9"/>
    </row>
    <row r="778" customFormat="false" ht="15" hidden="false" customHeight="false" outlineLevel="0" collapsed="false">
      <c r="A778" s="11"/>
      <c r="B778" s="9"/>
      <c r="C778" s="9"/>
      <c r="D778" s="9"/>
      <c r="E778" s="10"/>
      <c r="F778" s="9"/>
    </row>
    <row r="779" customFormat="false" ht="15" hidden="false" customHeight="false" outlineLevel="0" collapsed="false">
      <c r="A779" s="11"/>
      <c r="B779" s="9"/>
      <c r="C779" s="9"/>
      <c r="D779" s="9"/>
      <c r="E779" s="10"/>
      <c r="F779" s="9"/>
    </row>
    <row r="780" customFormat="false" ht="15" hidden="false" customHeight="false" outlineLevel="0" collapsed="false">
      <c r="A780" s="11"/>
      <c r="B780" s="9"/>
      <c r="C780" s="9"/>
      <c r="D780" s="9"/>
      <c r="E780" s="10"/>
      <c r="F780" s="9"/>
    </row>
    <row r="781" customFormat="false" ht="15" hidden="false" customHeight="false" outlineLevel="0" collapsed="false">
      <c r="A781" s="11"/>
      <c r="B781" s="9"/>
      <c r="C781" s="9"/>
      <c r="D781" s="9"/>
      <c r="E781" s="10"/>
      <c r="F781" s="9"/>
    </row>
    <row r="782" customFormat="false" ht="15" hidden="false" customHeight="false" outlineLevel="0" collapsed="false">
      <c r="A782" s="11"/>
      <c r="B782" s="9"/>
      <c r="C782" s="9"/>
      <c r="D782" s="9"/>
      <c r="E782" s="10"/>
      <c r="F782" s="9"/>
    </row>
    <row r="783" customFormat="false" ht="15" hidden="false" customHeight="false" outlineLevel="0" collapsed="false">
      <c r="A783" s="11"/>
      <c r="B783" s="9"/>
      <c r="C783" s="9"/>
      <c r="D783" s="9"/>
      <c r="E783" s="10"/>
      <c r="F783" s="9"/>
    </row>
    <row r="784" customFormat="false" ht="15" hidden="false" customHeight="false" outlineLevel="0" collapsed="false">
      <c r="A784" s="11"/>
      <c r="B784" s="9"/>
      <c r="C784" s="9"/>
      <c r="D784" s="9"/>
      <c r="E784" s="10"/>
      <c r="F784" s="9"/>
    </row>
    <row r="785" customFormat="false" ht="15" hidden="false" customHeight="false" outlineLevel="0" collapsed="false">
      <c r="A785" s="11"/>
      <c r="B785" s="9"/>
      <c r="C785" s="9"/>
      <c r="D785" s="9"/>
      <c r="E785" s="10"/>
      <c r="F785" s="9"/>
    </row>
    <row r="786" customFormat="false" ht="15" hidden="false" customHeight="false" outlineLevel="0" collapsed="false">
      <c r="A786" s="11"/>
      <c r="B786" s="9"/>
      <c r="C786" s="9"/>
      <c r="D786" s="9"/>
      <c r="E786" s="10"/>
      <c r="F786" s="9"/>
    </row>
    <row r="787" customFormat="false" ht="15" hidden="false" customHeight="false" outlineLevel="0" collapsed="false">
      <c r="A787" s="11"/>
      <c r="B787" s="9"/>
      <c r="C787" s="9"/>
      <c r="D787" s="9"/>
      <c r="E787" s="10"/>
      <c r="F787" s="9"/>
    </row>
    <row r="788" customFormat="false" ht="15" hidden="false" customHeight="false" outlineLevel="0" collapsed="false">
      <c r="A788" s="11"/>
      <c r="B788" s="9"/>
      <c r="C788" s="9"/>
      <c r="D788" s="9"/>
      <c r="E788" s="10"/>
      <c r="F788" s="9"/>
    </row>
    <row r="789" customFormat="false" ht="15" hidden="false" customHeight="false" outlineLevel="0" collapsed="false">
      <c r="A789" s="11"/>
      <c r="B789" s="9"/>
      <c r="C789" s="9"/>
      <c r="D789" s="9"/>
      <c r="E789" s="10"/>
      <c r="F789" s="9"/>
    </row>
    <row r="790" customFormat="false" ht="15" hidden="false" customHeight="false" outlineLevel="0" collapsed="false">
      <c r="A790" s="11"/>
      <c r="B790" s="9"/>
      <c r="C790" s="9"/>
      <c r="D790" s="9"/>
      <c r="E790" s="10"/>
      <c r="F790" s="9"/>
    </row>
    <row r="791" customFormat="false" ht="15" hidden="false" customHeight="false" outlineLevel="0" collapsed="false">
      <c r="A791" s="11"/>
      <c r="B791" s="9"/>
      <c r="C791" s="9"/>
      <c r="D791" s="9"/>
      <c r="E791" s="10"/>
      <c r="F791" s="9"/>
    </row>
    <row r="792" customFormat="false" ht="15" hidden="false" customHeight="false" outlineLevel="0" collapsed="false">
      <c r="A792" s="11"/>
      <c r="B792" s="9"/>
      <c r="C792" s="9"/>
      <c r="D792" s="9"/>
      <c r="E792" s="10"/>
      <c r="F792" s="9"/>
    </row>
    <row r="793" customFormat="false" ht="15" hidden="false" customHeight="false" outlineLevel="0" collapsed="false">
      <c r="A793" s="11"/>
      <c r="B793" s="9"/>
      <c r="C793" s="9"/>
      <c r="D793" s="9"/>
      <c r="E793" s="10"/>
      <c r="F793" s="9"/>
    </row>
    <row r="794" customFormat="false" ht="15" hidden="false" customHeight="false" outlineLevel="0" collapsed="false">
      <c r="A794" s="11"/>
      <c r="B794" s="9"/>
      <c r="C794" s="9"/>
      <c r="D794" s="9"/>
      <c r="E794" s="10"/>
      <c r="F794" s="9"/>
    </row>
    <row r="795" customFormat="false" ht="15" hidden="false" customHeight="false" outlineLevel="0" collapsed="false">
      <c r="A795" s="11"/>
      <c r="B795" s="9"/>
      <c r="C795" s="9"/>
      <c r="D795" s="9"/>
      <c r="E795" s="10"/>
      <c r="F795" s="9"/>
    </row>
    <row r="796" customFormat="false" ht="15" hidden="false" customHeight="false" outlineLevel="0" collapsed="false">
      <c r="A796" s="11"/>
      <c r="B796" s="9"/>
      <c r="C796" s="9"/>
      <c r="D796" s="9"/>
      <c r="E796" s="10"/>
      <c r="F796" s="9"/>
    </row>
    <row r="797" customFormat="false" ht="15" hidden="false" customHeight="false" outlineLevel="0" collapsed="false">
      <c r="A797" s="11"/>
      <c r="B797" s="9"/>
      <c r="C797" s="9"/>
      <c r="D797" s="9"/>
      <c r="E797" s="10"/>
      <c r="F797" s="9"/>
    </row>
    <row r="798" customFormat="false" ht="15" hidden="false" customHeight="false" outlineLevel="0" collapsed="false">
      <c r="A798" s="11"/>
      <c r="B798" s="9"/>
      <c r="C798" s="9"/>
      <c r="D798" s="9"/>
      <c r="E798" s="10"/>
      <c r="F798" s="9"/>
    </row>
    <row r="799" customFormat="false" ht="15" hidden="false" customHeight="false" outlineLevel="0" collapsed="false">
      <c r="A799" s="11"/>
      <c r="B799" s="9"/>
      <c r="C799" s="9"/>
      <c r="D799" s="9"/>
      <c r="E799" s="10"/>
      <c r="F799" s="9"/>
    </row>
    <row r="800" customFormat="false" ht="15" hidden="false" customHeight="false" outlineLevel="0" collapsed="false">
      <c r="A800" s="11"/>
      <c r="B800" s="9"/>
      <c r="C800" s="9"/>
      <c r="D800" s="9"/>
      <c r="E800" s="10"/>
      <c r="F800" s="9"/>
    </row>
    <row r="801" customFormat="false" ht="15" hidden="false" customHeight="false" outlineLevel="0" collapsed="false">
      <c r="A801" s="11"/>
      <c r="B801" s="9"/>
      <c r="C801" s="9"/>
      <c r="D801" s="9"/>
      <c r="E801" s="10"/>
      <c r="F801" s="9"/>
    </row>
    <row r="802" customFormat="false" ht="15" hidden="false" customHeight="false" outlineLevel="0" collapsed="false">
      <c r="A802" s="11"/>
      <c r="B802" s="9"/>
      <c r="C802" s="9"/>
      <c r="D802" s="9"/>
      <c r="E802" s="10"/>
      <c r="F802" s="9"/>
    </row>
    <row r="803" customFormat="false" ht="15" hidden="false" customHeight="false" outlineLevel="0" collapsed="false">
      <c r="A803" s="11"/>
      <c r="B803" s="9"/>
      <c r="C803" s="9"/>
      <c r="D803" s="9"/>
      <c r="E803" s="10"/>
      <c r="F803" s="9"/>
    </row>
    <row r="804" customFormat="false" ht="15" hidden="false" customHeight="false" outlineLevel="0" collapsed="false">
      <c r="A804" s="11"/>
      <c r="B804" s="9"/>
      <c r="C804" s="9"/>
      <c r="D804" s="9"/>
      <c r="E804" s="10"/>
      <c r="F804" s="9"/>
    </row>
    <row r="805" customFormat="false" ht="15" hidden="false" customHeight="false" outlineLevel="0" collapsed="false">
      <c r="A805" s="11"/>
      <c r="B805" s="9"/>
      <c r="C805" s="9"/>
      <c r="D805" s="9"/>
      <c r="E805" s="10"/>
      <c r="F805" s="9"/>
    </row>
    <row r="806" customFormat="false" ht="15" hidden="false" customHeight="false" outlineLevel="0" collapsed="false">
      <c r="A806" s="11"/>
      <c r="B806" s="9"/>
      <c r="C806" s="9"/>
      <c r="D806" s="9"/>
      <c r="E806" s="10"/>
      <c r="F806" s="9"/>
    </row>
    <row r="807" customFormat="false" ht="15" hidden="false" customHeight="false" outlineLevel="0" collapsed="false">
      <c r="A807" s="11"/>
      <c r="B807" s="9"/>
      <c r="C807" s="9"/>
      <c r="D807" s="9"/>
      <c r="E807" s="10"/>
      <c r="F807" s="9"/>
    </row>
    <row r="808" customFormat="false" ht="15" hidden="false" customHeight="false" outlineLevel="0" collapsed="false">
      <c r="A808" s="11"/>
      <c r="B808" s="9"/>
      <c r="C808" s="9"/>
      <c r="D808" s="9"/>
      <c r="E808" s="10"/>
      <c r="F808" s="9"/>
    </row>
    <row r="809" customFormat="false" ht="15" hidden="false" customHeight="false" outlineLevel="0" collapsed="false">
      <c r="A809" s="11"/>
      <c r="B809" s="9"/>
      <c r="C809" s="9"/>
      <c r="D809" s="9"/>
      <c r="E809" s="10"/>
      <c r="F809" s="9"/>
    </row>
    <row r="810" customFormat="false" ht="15" hidden="false" customHeight="false" outlineLevel="0" collapsed="false">
      <c r="A810" s="11"/>
      <c r="B810" s="9"/>
      <c r="C810" s="9"/>
      <c r="D810" s="9"/>
      <c r="E810" s="10"/>
      <c r="F810" s="9"/>
    </row>
    <row r="811" customFormat="false" ht="15" hidden="false" customHeight="false" outlineLevel="0" collapsed="false">
      <c r="A811" s="11"/>
      <c r="B811" s="9"/>
      <c r="C811" s="9"/>
      <c r="D811" s="9"/>
      <c r="E811" s="10"/>
      <c r="F811" s="9"/>
    </row>
    <row r="812" customFormat="false" ht="15" hidden="false" customHeight="false" outlineLevel="0" collapsed="false">
      <c r="A812" s="11"/>
      <c r="B812" s="9"/>
      <c r="C812" s="9"/>
      <c r="D812" s="9"/>
      <c r="E812" s="10"/>
      <c r="F812" s="9"/>
    </row>
    <row r="813" customFormat="false" ht="15" hidden="false" customHeight="false" outlineLevel="0" collapsed="false">
      <c r="A813" s="11"/>
      <c r="B813" s="9"/>
      <c r="C813" s="9"/>
      <c r="D813" s="9"/>
      <c r="E813" s="10"/>
      <c r="F813" s="9"/>
    </row>
    <row r="814" customFormat="false" ht="15" hidden="false" customHeight="false" outlineLevel="0" collapsed="false">
      <c r="A814" s="11"/>
      <c r="B814" s="9"/>
      <c r="C814" s="9"/>
      <c r="D814" s="9"/>
      <c r="E814" s="10"/>
      <c r="F814" s="9"/>
    </row>
    <row r="815" customFormat="false" ht="15" hidden="false" customHeight="false" outlineLevel="0" collapsed="false">
      <c r="A815" s="11"/>
      <c r="B815" s="9"/>
      <c r="C815" s="9"/>
      <c r="D815" s="9"/>
      <c r="E815" s="10"/>
      <c r="F815" s="9"/>
    </row>
    <row r="816" customFormat="false" ht="15" hidden="false" customHeight="false" outlineLevel="0" collapsed="false">
      <c r="A816" s="11"/>
      <c r="B816" s="9"/>
      <c r="C816" s="9"/>
      <c r="D816" s="9"/>
      <c r="E816" s="10"/>
      <c r="F816" s="9"/>
    </row>
    <row r="817" customFormat="false" ht="15" hidden="false" customHeight="false" outlineLevel="0" collapsed="false">
      <c r="A817" s="11"/>
      <c r="B817" s="9"/>
      <c r="C817" s="9"/>
      <c r="D817" s="9"/>
      <c r="E817" s="10"/>
      <c r="F817" s="9"/>
    </row>
    <row r="818" customFormat="false" ht="15" hidden="false" customHeight="false" outlineLevel="0" collapsed="false">
      <c r="A818" s="11"/>
      <c r="B818" s="9"/>
      <c r="C818" s="9"/>
      <c r="D818" s="9"/>
      <c r="E818" s="10"/>
      <c r="F818" s="9"/>
    </row>
    <row r="819" customFormat="false" ht="15" hidden="false" customHeight="false" outlineLevel="0" collapsed="false">
      <c r="A819" s="11"/>
      <c r="B819" s="9"/>
      <c r="C819" s="9"/>
      <c r="D819" s="9"/>
      <c r="E819" s="10"/>
      <c r="F819" s="9"/>
    </row>
    <row r="820" customFormat="false" ht="15" hidden="false" customHeight="false" outlineLevel="0" collapsed="false">
      <c r="A820" s="11"/>
      <c r="B820" s="9"/>
      <c r="C820" s="9"/>
      <c r="D820" s="9"/>
      <c r="E820" s="10"/>
      <c r="F820" s="9"/>
    </row>
    <row r="821" customFormat="false" ht="15" hidden="false" customHeight="false" outlineLevel="0" collapsed="false">
      <c r="A821" s="11"/>
      <c r="B821" s="9"/>
      <c r="C821" s="9"/>
      <c r="D821" s="9"/>
      <c r="E821" s="10"/>
      <c r="F821" s="9"/>
    </row>
    <row r="822" customFormat="false" ht="15" hidden="false" customHeight="false" outlineLevel="0" collapsed="false">
      <c r="A822" s="11"/>
      <c r="B822" s="9"/>
      <c r="C822" s="9"/>
      <c r="D822" s="9"/>
      <c r="E822" s="10"/>
      <c r="F822" s="9"/>
    </row>
    <row r="823" customFormat="false" ht="15" hidden="false" customHeight="false" outlineLevel="0" collapsed="false">
      <c r="A823" s="11"/>
      <c r="B823" s="9"/>
      <c r="C823" s="9"/>
      <c r="D823" s="9"/>
      <c r="E823" s="10"/>
      <c r="F823" s="9"/>
    </row>
    <row r="824" customFormat="false" ht="15" hidden="false" customHeight="false" outlineLevel="0" collapsed="false">
      <c r="A824" s="11"/>
      <c r="B824" s="9"/>
      <c r="C824" s="9"/>
      <c r="D824" s="9"/>
      <c r="E824" s="10"/>
      <c r="F824" s="9"/>
    </row>
    <row r="825" customFormat="false" ht="15" hidden="false" customHeight="false" outlineLevel="0" collapsed="false">
      <c r="A825" s="11"/>
      <c r="B825" s="9"/>
      <c r="C825" s="9"/>
      <c r="D825" s="9"/>
      <c r="E825" s="10"/>
      <c r="F825" s="9"/>
    </row>
    <row r="826" customFormat="false" ht="15" hidden="false" customHeight="false" outlineLevel="0" collapsed="false">
      <c r="A826" s="11"/>
      <c r="B826" s="9"/>
      <c r="C826" s="9"/>
      <c r="D826" s="9"/>
      <c r="E826" s="10"/>
      <c r="F826" s="9"/>
    </row>
    <row r="827" customFormat="false" ht="15" hidden="false" customHeight="false" outlineLevel="0" collapsed="false">
      <c r="A827" s="11"/>
      <c r="B827" s="9"/>
      <c r="C827" s="9"/>
      <c r="D827" s="9"/>
      <c r="E827" s="10"/>
      <c r="F827" s="9"/>
    </row>
    <row r="828" customFormat="false" ht="15" hidden="false" customHeight="false" outlineLevel="0" collapsed="false">
      <c r="A828" s="11"/>
      <c r="B828" s="9"/>
      <c r="C828" s="9"/>
      <c r="D828" s="9"/>
      <c r="E828" s="10"/>
      <c r="F828" s="9"/>
    </row>
    <row r="829" customFormat="false" ht="15" hidden="false" customHeight="false" outlineLevel="0" collapsed="false">
      <c r="A829" s="11"/>
      <c r="B829" s="9"/>
      <c r="C829" s="9"/>
      <c r="D829" s="9"/>
      <c r="E829" s="10"/>
      <c r="F829" s="9"/>
    </row>
    <row r="830" customFormat="false" ht="15" hidden="false" customHeight="false" outlineLevel="0" collapsed="false">
      <c r="A830" s="11"/>
      <c r="B830" s="9"/>
      <c r="C830" s="9"/>
      <c r="D830" s="9"/>
      <c r="E830" s="10"/>
      <c r="F830" s="9"/>
    </row>
    <row r="831" customFormat="false" ht="15" hidden="false" customHeight="false" outlineLevel="0" collapsed="false">
      <c r="A831" s="11"/>
      <c r="B831" s="9"/>
      <c r="C831" s="9"/>
      <c r="D831" s="9"/>
      <c r="E831" s="10"/>
      <c r="F831" s="9"/>
    </row>
    <row r="832" customFormat="false" ht="15" hidden="false" customHeight="false" outlineLevel="0" collapsed="false">
      <c r="A832" s="11"/>
      <c r="B832" s="9"/>
      <c r="C832" s="9"/>
      <c r="D832" s="9"/>
      <c r="E832" s="10"/>
      <c r="F832" s="9"/>
    </row>
    <row r="833" customFormat="false" ht="15" hidden="false" customHeight="false" outlineLevel="0" collapsed="false">
      <c r="A833" s="11"/>
      <c r="B833" s="9"/>
      <c r="C833" s="9"/>
      <c r="D833" s="9"/>
      <c r="E833" s="10"/>
      <c r="F833" s="9"/>
    </row>
    <row r="834" customFormat="false" ht="15" hidden="false" customHeight="false" outlineLevel="0" collapsed="false">
      <c r="A834" s="11"/>
      <c r="B834" s="9"/>
      <c r="C834" s="9"/>
      <c r="D834" s="9"/>
      <c r="E834" s="10"/>
      <c r="F834" s="9"/>
    </row>
    <row r="835" customFormat="false" ht="15" hidden="false" customHeight="false" outlineLevel="0" collapsed="false">
      <c r="A835" s="11"/>
      <c r="B835" s="9"/>
      <c r="C835" s="9"/>
      <c r="D835" s="9"/>
      <c r="E835" s="10"/>
      <c r="F835" s="9"/>
    </row>
    <row r="836" customFormat="false" ht="15" hidden="false" customHeight="false" outlineLevel="0" collapsed="false">
      <c r="A836" s="11"/>
      <c r="B836" s="9"/>
      <c r="C836" s="9"/>
      <c r="D836" s="9"/>
      <c r="E836" s="10"/>
      <c r="F836" s="9"/>
    </row>
    <row r="837" customFormat="false" ht="15" hidden="false" customHeight="false" outlineLevel="0" collapsed="false">
      <c r="A837" s="11"/>
      <c r="B837" s="9"/>
      <c r="C837" s="9"/>
      <c r="D837" s="9"/>
      <c r="E837" s="10"/>
      <c r="F837" s="9"/>
    </row>
    <row r="838" customFormat="false" ht="15" hidden="false" customHeight="false" outlineLevel="0" collapsed="false">
      <c r="A838" s="11"/>
      <c r="B838" s="9"/>
      <c r="C838" s="9"/>
      <c r="D838" s="9"/>
      <c r="E838" s="10"/>
      <c r="F838" s="9"/>
    </row>
    <row r="839" customFormat="false" ht="15" hidden="false" customHeight="false" outlineLevel="0" collapsed="false">
      <c r="A839" s="11"/>
      <c r="B839" s="9"/>
      <c r="C839" s="9"/>
      <c r="D839" s="9"/>
      <c r="E839" s="10"/>
      <c r="F839" s="9"/>
    </row>
    <row r="840" customFormat="false" ht="15" hidden="false" customHeight="false" outlineLevel="0" collapsed="false">
      <c r="A840" s="11"/>
      <c r="B840" s="9"/>
      <c r="C840" s="9"/>
      <c r="D840" s="9"/>
      <c r="E840" s="10"/>
      <c r="F840" s="9"/>
    </row>
    <row r="841" customFormat="false" ht="15" hidden="false" customHeight="false" outlineLevel="0" collapsed="false">
      <c r="A841" s="11"/>
      <c r="B841" s="9"/>
      <c r="C841" s="9"/>
      <c r="D841" s="9"/>
      <c r="E841" s="10"/>
      <c r="F841" s="9"/>
    </row>
    <row r="842" customFormat="false" ht="15" hidden="false" customHeight="false" outlineLevel="0" collapsed="false">
      <c r="A842" s="11"/>
      <c r="B842" s="9"/>
      <c r="C842" s="9"/>
      <c r="D842" s="9"/>
      <c r="E842" s="10"/>
      <c r="F842" s="9"/>
    </row>
    <row r="843" customFormat="false" ht="15" hidden="false" customHeight="false" outlineLevel="0" collapsed="false">
      <c r="A843" s="11"/>
      <c r="B843" s="9"/>
      <c r="C843" s="9"/>
      <c r="D843" s="9"/>
      <c r="E843" s="10"/>
      <c r="F843" s="9"/>
    </row>
    <row r="844" customFormat="false" ht="15" hidden="false" customHeight="false" outlineLevel="0" collapsed="false">
      <c r="A844" s="11"/>
      <c r="B844" s="9"/>
      <c r="C844" s="9"/>
      <c r="D844" s="9"/>
      <c r="E844" s="10"/>
      <c r="F844" s="9"/>
    </row>
    <row r="845" customFormat="false" ht="15" hidden="false" customHeight="false" outlineLevel="0" collapsed="false">
      <c r="A845" s="11"/>
      <c r="B845" s="9"/>
      <c r="C845" s="9"/>
      <c r="D845" s="9"/>
      <c r="E845" s="10"/>
      <c r="F845" s="9"/>
    </row>
    <row r="846" customFormat="false" ht="15" hidden="false" customHeight="false" outlineLevel="0" collapsed="false">
      <c r="A846" s="11"/>
      <c r="B846" s="9"/>
      <c r="C846" s="9"/>
      <c r="D846" s="9"/>
      <c r="E846" s="10"/>
      <c r="F846" s="9"/>
    </row>
    <row r="847" customFormat="false" ht="15" hidden="false" customHeight="false" outlineLevel="0" collapsed="false">
      <c r="A847" s="11"/>
      <c r="B847" s="9"/>
      <c r="C847" s="9"/>
      <c r="D847" s="9"/>
      <c r="E847" s="10"/>
      <c r="F847" s="9"/>
    </row>
    <row r="848" customFormat="false" ht="15" hidden="false" customHeight="false" outlineLevel="0" collapsed="false">
      <c r="A848" s="11"/>
      <c r="B848" s="9"/>
      <c r="C848" s="9"/>
      <c r="D848" s="9"/>
      <c r="E848" s="10"/>
      <c r="F848" s="9"/>
    </row>
    <row r="849" customFormat="false" ht="15" hidden="false" customHeight="false" outlineLevel="0" collapsed="false">
      <c r="A849" s="11"/>
      <c r="B849" s="9"/>
      <c r="C849" s="9"/>
      <c r="D849" s="9"/>
      <c r="E849" s="10"/>
      <c r="F849" s="9"/>
    </row>
    <row r="850" customFormat="false" ht="15" hidden="false" customHeight="false" outlineLevel="0" collapsed="false">
      <c r="A850" s="11"/>
      <c r="B850" s="9"/>
      <c r="C850" s="9"/>
      <c r="D850" s="9"/>
      <c r="E850" s="10"/>
      <c r="F850" s="9"/>
    </row>
    <row r="851" customFormat="false" ht="15" hidden="false" customHeight="false" outlineLevel="0" collapsed="false">
      <c r="A851" s="11"/>
      <c r="B851" s="9"/>
      <c r="C851" s="9"/>
      <c r="D851" s="9"/>
      <c r="E851" s="10"/>
      <c r="F851" s="9"/>
    </row>
    <row r="852" customFormat="false" ht="15" hidden="false" customHeight="false" outlineLevel="0" collapsed="false">
      <c r="A852" s="11"/>
      <c r="B852" s="9"/>
      <c r="C852" s="9"/>
      <c r="D852" s="9"/>
      <c r="E852" s="10"/>
      <c r="F852" s="9"/>
    </row>
    <row r="853" customFormat="false" ht="15" hidden="false" customHeight="false" outlineLevel="0" collapsed="false">
      <c r="A853" s="11"/>
      <c r="B853" s="9"/>
      <c r="C853" s="9"/>
      <c r="D853" s="9"/>
      <c r="E853" s="10"/>
      <c r="F853" s="9"/>
    </row>
    <row r="854" customFormat="false" ht="15" hidden="false" customHeight="false" outlineLevel="0" collapsed="false">
      <c r="A854" s="11"/>
      <c r="B854" s="9"/>
      <c r="C854" s="9"/>
      <c r="D854" s="9"/>
      <c r="E854" s="10"/>
      <c r="F854" s="9"/>
    </row>
    <row r="855" customFormat="false" ht="15" hidden="false" customHeight="false" outlineLevel="0" collapsed="false">
      <c r="A855" s="11"/>
      <c r="B855" s="9"/>
      <c r="C855" s="9"/>
      <c r="D855" s="9"/>
      <c r="E855" s="10"/>
      <c r="F855" s="9"/>
    </row>
    <row r="856" customFormat="false" ht="15" hidden="false" customHeight="false" outlineLevel="0" collapsed="false">
      <c r="A856" s="11"/>
      <c r="B856" s="9"/>
      <c r="C856" s="9"/>
      <c r="D856" s="9"/>
      <c r="E856" s="10"/>
      <c r="F856" s="9"/>
    </row>
    <row r="857" customFormat="false" ht="15" hidden="false" customHeight="false" outlineLevel="0" collapsed="false">
      <c r="A857" s="11"/>
      <c r="B857" s="9"/>
      <c r="C857" s="9"/>
      <c r="D857" s="9"/>
      <c r="E857" s="10"/>
      <c r="F857" s="9"/>
    </row>
    <row r="858" customFormat="false" ht="15" hidden="false" customHeight="false" outlineLevel="0" collapsed="false">
      <c r="A858" s="11"/>
      <c r="B858" s="9"/>
      <c r="C858" s="9"/>
      <c r="D858" s="9"/>
      <c r="E858" s="10"/>
      <c r="F858" s="9"/>
    </row>
    <row r="859" customFormat="false" ht="15" hidden="false" customHeight="false" outlineLevel="0" collapsed="false">
      <c r="A859" s="11"/>
      <c r="B859" s="9"/>
      <c r="C859" s="9"/>
      <c r="D859" s="9"/>
      <c r="E859" s="10"/>
      <c r="F859" s="9"/>
    </row>
    <row r="860" customFormat="false" ht="15" hidden="false" customHeight="false" outlineLevel="0" collapsed="false">
      <c r="A860" s="11"/>
      <c r="B860" s="9"/>
      <c r="C860" s="9"/>
      <c r="D860" s="9"/>
      <c r="E860" s="10"/>
      <c r="F860" s="9"/>
    </row>
    <row r="861" customFormat="false" ht="15" hidden="false" customHeight="false" outlineLevel="0" collapsed="false">
      <c r="A861" s="11"/>
      <c r="B861" s="9"/>
      <c r="C861" s="9"/>
      <c r="D861" s="9"/>
      <c r="E861" s="10"/>
      <c r="F861" s="9"/>
    </row>
    <row r="862" customFormat="false" ht="15" hidden="false" customHeight="false" outlineLevel="0" collapsed="false">
      <c r="A862" s="11"/>
      <c r="B862" s="9"/>
      <c r="C862" s="9"/>
      <c r="D862" s="9"/>
      <c r="E862" s="10"/>
      <c r="F862" s="9"/>
    </row>
    <row r="863" customFormat="false" ht="15" hidden="false" customHeight="false" outlineLevel="0" collapsed="false">
      <c r="A863" s="11"/>
      <c r="B863" s="9"/>
      <c r="C863" s="9"/>
      <c r="D863" s="9"/>
      <c r="E863" s="10"/>
      <c r="F863" s="9"/>
    </row>
    <row r="864" customFormat="false" ht="15" hidden="false" customHeight="false" outlineLevel="0" collapsed="false">
      <c r="A864" s="11"/>
      <c r="B864" s="9"/>
      <c r="C864" s="9"/>
      <c r="D864" s="9"/>
      <c r="E864" s="10"/>
      <c r="F864" s="9"/>
    </row>
    <row r="865" customFormat="false" ht="15" hidden="false" customHeight="false" outlineLevel="0" collapsed="false">
      <c r="A865" s="11"/>
      <c r="B865" s="9"/>
      <c r="C865" s="9"/>
      <c r="D865" s="9"/>
      <c r="E865" s="10"/>
      <c r="F865" s="9"/>
    </row>
    <row r="866" customFormat="false" ht="15" hidden="false" customHeight="false" outlineLevel="0" collapsed="false">
      <c r="A866" s="11"/>
      <c r="B866" s="9"/>
      <c r="C866" s="9"/>
      <c r="D866" s="9"/>
      <c r="E866" s="10"/>
      <c r="F866" s="9"/>
    </row>
    <row r="867" customFormat="false" ht="15" hidden="false" customHeight="false" outlineLevel="0" collapsed="false">
      <c r="A867" s="11"/>
      <c r="B867" s="9"/>
      <c r="C867" s="9"/>
      <c r="D867" s="9"/>
      <c r="E867" s="10"/>
      <c r="F867" s="9"/>
    </row>
    <row r="868" customFormat="false" ht="15" hidden="false" customHeight="false" outlineLevel="0" collapsed="false">
      <c r="A868" s="11"/>
      <c r="B868" s="9"/>
      <c r="C868" s="9"/>
      <c r="D868" s="9"/>
      <c r="E868" s="10"/>
      <c r="F868" s="9"/>
    </row>
    <row r="869" customFormat="false" ht="15" hidden="false" customHeight="false" outlineLevel="0" collapsed="false">
      <c r="A869" s="11"/>
      <c r="B869" s="9"/>
      <c r="C869" s="9"/>
      <c r="D869" s="9"/>
      <c r="E869" s="10"/>
      <c r="F869" s="9"/>
    </row>
    <row r="870" customFormat="false" ht="15" hidden="false" customHeight="false" outlineLevel="0" collapsed="false">
      <c r="A870" s="11"/>
      <c r="B870" s="9"/>
      <c r="C870" s="9"/>
      <c r="D870" s="9"/>
      <c r="E870" s="10"/>
      <c r="F870" s="9"/>
    </row>
    <row r="871" customFormat="false" ht="15" hidden="false" customHeight="false" outlineLevel="0" collapsed="false">
      <c r="A871" s="11"/>
      <c r="B871" s="9"/>
      <c r="C871" s="9"/>
      <c r="D871" s="9"/>
      <c r="E871" s="10"/>
      <c r="F871" s="9"/>
    </row>
    <row r="872" customFormat="false" ht="15" hidden="false" customHeight="false" outlineLevel="0" collapsed="false">
      <c r="A872" s="11"/>
      <c r="B872" s="9"/>
      <c r="C872" s="9"/>
      <c r="D872" s="9"/>
      <c r="E872" s="10"/>
      <c r="F872" s="9"/>
    </row>
    <row r="873" customFormat="false" ht="15" hidden="false" customHeight="false" outlineLevel="0" collapsed="false">
      <c r="A873" s="11"/>
      <c r="B873" s="9"/>
      <c r="C873" s="9"/>
      <c r="D873" s="9"/>
      <c r="E873" s="10"/>
      <c r="F873" s="9"/>
    </row>
    <row r="874" customFormat="false" ht="15" hidden="false" customHeight="false" outlineLevel="0" collapsed="false">
      <c r="A874" s="11"/>
      <c r="B874" s="9"/>
      <c r="C874" s="9"/>
      <c r="D874" s="9"/>
      <c r="E874" s="10"/>
      <c r="F874" s="9"/>
    </row>
    <row r="875" customFormat="false" ht="15" hidden="false" customHeight="false" outlineLevel="0" collapsed="false">
      <c r="A875" s="11"/>
      <c r="B875" s="9"/>
      <c r="C875" s="9"/>
      <c r="D875" s="9"/>
      <c r="E875" s="10"/>
      <c r="F875" s="9"/>
    </row>
    <row r="876" customFormat="false" ht="15" hidden="false" customHeight="false" outlineLevel="0" collapsed="false">
      <c r="A876" s="11"/>
      <c r="B876" s="9"/>
      <c r="C876" s="9"/>
      <c r="D876" s="9"/>
      <c r="E876" s="10"/>
      <c r="F876" s="9"/>
    </row>
    <row r="877" customFormat="false" ht="15" hidden="false" customHeight="false" outlineLevel="0" collapsed="false">
      <c r="A877" s="11"/>
      <c r="B877" s="9"/>
      <c r="C877" s="9"/>
      <c r="D877" s="9"/>
      <c r="E877" s="10"/>
      <c r="F877" s="9"/>
    </row>
    <row r="878" customFormat="false" ht="15" hidden="false" customHeight="false" outlineLevel="0" collapsed="false">
      <c r="A878" s="11"/>
      <c r="B878" s="9"/>
      <c r="C878" s="9"/>
      <c r="D878" s="9"/>
      <c r="E878" s="10"/>
      <c r="F878" s="9"/>
    </row>
    <row r="879" customFormat="false" ht="15" hidden="false" customHeight="false" outlineLevel="0" collapsed="false">
      <c r="A879" s="11"/>
      <c r="B879" s="9"/>
      <c r="C879" s="9"/>
      <c r="D879" s="9"/>
      <c r="E879" s="10"/>
      <c r="F879" s="9"/>
    </row>
    <row r="880" customFormat="false" ht="15" hidden="false" customHeight="false" outlineLevel="0" collapsed="false">
      <c r="A880" s="11"/>
      <c r="B880" s="9"/>
      <c r="C880" s="9"/>
      <c r="D880" s="9"/>
      <c r="E880" s="10"/>
      <c r="F880" s="9"/>
    </row>
    <row r="881" customFormat="false" ht="15" hidden="false" customHeight="false" outlineLevel="0" collapsed="false">
      <c r="A881" s="11"/>
      <c r="B881" s="9"/>
      <c r="C881" s="9"/>
      <c r="D881" s="9"/>
      <c r="E881" s="10"/>
      <c r="F881" s="9"/>
    </row>
    <row r="882" customFormat="false" ht="15" hidden="false" customHeight="false" outlineLevel="0" collapsed="false">
      <c r="A882" s="11"/>
      <c r="B882" s="9"/>
      <c r="C882" s="9"/>
      <c r="D882" s="9"/>
      <c r="E882" s="10"/>
      <c r="F882" s="9"/>
    </row>
    <row r="883" customFormat="false" ht="15" hidden="false" customHeight="false" outlineLevel="0" collapsed="false">
      <c r="A883" s="11"/>
      <c r="B883" s="9"/>
      <c r="C883" s="9"/>
      <c r="D883" s="9"/>
      <c r="E883" s="10"/>
      <c r="F883" s="9"/>
    </row>
    <row r="884" customFormat="false" ht="15" hidden="false" customHeight="false" outlineLevel="0" collapsed="false">
      <c r="A884" s="11"/>
      <c r="B884" s="9"/>
      <c r="C884" s="9"/>
      <c r="D884" s="9"/>
      <c r="E884" s="10"/>
      <c r="F884" s="9"/>
    </row>
    <row r="885" customFormat="false" ht="15" hidden="false" customHeight="false" outlineLevel="0" collapsed="false">
      <c r="A885" s="11"/>
      <c r="B885" s="9"/>
      <c r="C885" s="9"/>
      <c r="D885" s="9"/>
      <c r="E885" s="10"/>
      <c r="F885" s="9"/>
    </row>
    <row r="886" customFormat="false" ht="15" hidden="false" customHeight="false" outlineLevel="0" collapsed="false">
      <c r="A886" s="11"/>
      <c r="B886" s="9"/>
      <c r="C886" s="9"/>
      <c r="D886" s="9"/>
      <c r="E886" s="10"/>
      <c r="F886" s="9"/>
    </row>
    <row r="887" customFormat="false" ht="15" hidden="false" customHeight="false" outlineLevel="0" collapsed="false">
      <c r="A887" s="11"/>
      <c r="B887" s="9"/>
      <c r="C887" s="9"/>
      <c r="D887" s="9"/>
      <c r="E887" s="10"/>
      <c r="F887" s="9"/>
    </row>
    <row r="888" customFormat="false" ht="15" hidden="false" customHeight="false" outlineLevel="0" collapsed="false">
      <c r="A888" s="11"/>
      <c r="B888" s="9"/>
      <c r="C888" s="9"/>
      <c r="D888" s="9"/>
      <c r="E888" s="10"/>
      <c r="F888" s="9"/>
    </row>
    <row r="889" customFormat="false" ht="15" hidden="false" customHeight="false" outlineLevel="0" collapsed="false">
      <c r="A889" s="11"/>
      <c r="B889" s="9"/>
      <c r="C889" s="9"/>
      <c r="D889" s="9"/>
      <c r="E889" s="10"/>
      <c r="F889" s="9"/>
    </row>
    <row r="890" customFormat="false" ht="15" hidden="false" customHeight="false" outlineLevel="0" collapsed="false">
      <c r="A890" s="11"/>
      <c r="B890" s="9"/>
      <c r="C890" s="9"/>
      <c r="D890" s="9"/>
      <c r="E890" s="10"/>
      <c r="F890" s="9"/>
    </row>
    <row r="891" customFormat="false" ht="15" hidden="false" customHeight="false" outlineLevel="0" collapsed="false">
      <c r="A891" s="11"/>
      <c r="B891" s="9"/>
      <c r="C891" s="9"/>
      <c r="D891" s="9"/>
      <c r="E891" s="10"/>
      <c r="F891" s="9"/>
    </row>
    <row r="892" customFormat="false" ht="15" hidden="false" customHeight="false" outlineLevel="0" collapsed="false">
      <c r="A892" s="11"/>
      <c r="B892" s="9"/>
      <c r="C892" s="9"/>
      <c r="D892" s="9"/>
      <c r="E892" s="10"/>
      <c r="F892" s="9"/>
    </row>
    <row r="893" customFormat="false" ht="15" hidden="false" customHeight="false" outlineLevel="0" collapsed="false">
      <c r="A893" s="11"/>
      <c r="B893" s="9"/>
      <c r="C893" s="9"/>
      <c r="D893" s="9"/>
      <c r="E893" s="10"/>
      <c r="F893" s="9"/>
    </row>
    <row r="894" customFormat="false" ht="15" hidden="false" customHeight="false" outlineLevel="0" collapsed="false">
      <c r="A894" s="11"/>
      <c r="B894" s="9"/>
      <c r="C894" s="9"/>
      <c r="D894" s="9"/>
      <c r="E894" s="10"/>
      <c r="F894" s="9"/>
    </row>
    <row r="895" customFormat="false" ht="15" hidden="false" customHeight="false" outlineLevel="0" collapsed="false">
      <c r="A895" s="11"/>
      <c r="B895" s="9"/>
      <c r="C895" s="9"/>
      <c r="D895" s="9"/>
      <c r="E895" s="10"/>
      <c r="F895" s="9"/>
    </row>
    <row r="896" customFormat="false" ht="15" hidden="false" customHeight="false" outlineLevel="0" collapsed="false">
      <c r="A896" s="11"/>
      <c r="B896" s="9"/>
      <c r="C896" s="9"/>
      <c r="D896" s="9"/>
      <c r="E896" s="10"/>
      <c r="F896" s="9"/>
    </row>
    <row r="897" customFormat="false" ht="15" hidden="false" customHeight="false" outlineLevel="0" collapsed="false">
      <c r="A897" s="11"/>
      <c r="B897" s="9"/>
      <c r="C897" s="9"/>
      <c r="D897" s="9"/>
      <c r="E897" s="10"/>
      <c r="F897" s="9"/>
    </row>
    <row r="898" customFormat="false" ht="15" hidden="false" customHeight="false" outlineLevel="0" collapsed="false">
      <c r="A898" s="11"/>
      <c r="B898" s="9"/>
      <c r="C898" s="9"/>
      <c r="D898" s="9"/>
      <c r="E898" s="10"/>
      <c r="F898" s="9"/>
    </row>
    <row r="899" customFormat="false" ht="15" hidden="false" customHeight="false" outlineLevel="0" collapsed="false">
      <c r="A899" s="11"/>
      <c r="B899" s="9"/>
      <c r="C899" s="9"/>
      <c r="D899" s="9"/>
      <c r="E899" s="10"/>
      <c r="F899" s="9"/>
    </row>
    <row r="900" customFormat="false" ht="15" hidden="false" customHeight="false" outlineLevel="0" collapsed="false">
      <c r="A900" s="11"/>
      <c r="B900" s="9"/>
      <c r="C900" s="9"/>
      <c r="D900" s="9"/>
      <c r="E900" s="10"/>
      <c r="F900" s="9"/>
    </row>
    <row r="901" customFormat="false" ht="15" hidden="false" customHeight="false" outlineLevel="0" collapsed="false">
      <c r="A901" s="11"/>
      <c r="B901" s="9"/>
      <c r="C901" s="9"/>
      <c r="D901" s="9"/>
      <c r="E901" s="10"/>
      <c r="F901" s="9"/>
    </row>
    <row r="902" customFormat="false" ht="15" hidden="false" customHeight="false" outlineLevel="0" collapsed="false">
      <c r="A902" s="11"/>
      <c r="B902" s="9"/>
      <c r="C902" s="9"/>
      <c r="D902" s="9"/>
      <c r="E902" s="10"/>
      <c r="F902" s="9"/>
    </row>
    <row r="903" customFormat="false" ht="15" hidden="false" customHeight="false" outlineLevel="0" collapsed="false">
      <c r="A903" s="11"/>
      <c r="B903" s="9"/>
      <c r="C903" s="9"/>
      <c r="D903" s="9"/>
      <c r="E903" s="10"/>
      <c r="F903" s="9"/>
    </row>
    <row r="904" customFormat="false" ht="15" hidden="false" customHeight="false" outlineLevel="0" collapsed="false">
      <c r="A904" s="11"/>
      <c r="B904" s="9"/>
      <c r="C904" s="9"/>
      <c r="D904" s="9"/>
      <c r="E904" s="10"/>
      <c r="F904" s="9"/>
    </row>
    <row r="905" customFormat="false" ht="15" hidden="false" customHeight="false" outlineLevel="0" collapsed="false">
      <c r="A905" s="11"/>
      <c r="B905" s="9"/>
      <c r="C905" s="9"/>
      <c r="D905" s="9"/>
      <c r="E905" s="10"/>
      <c r="F905" s="9"/>
    </row>
    <row r="906" customFormat="false" ht="15" hidden="false" customHeight="false" outlineLevel="0" collapsed="false">
      <c r="A906" s="11"/>
      <c r="B906" s="9"/>
      <c r="C906" s="9"/>
      <c r="D906" s="9"/>
      <c r="E906" s="10"/>
      <c r="F906" s="9"/>
    </row>
    <row r="907" customFormat="false" ht="15" hidden="false" customHeight="false" outlineLevel="0" collapsed="false">
      <c r="A907" s="11"/>
      <c r="B907" s="9"/>
      <c r="C907" s="9"/>
      <c r="D907" s="9"/>
      <c r="E907" s="10"/>
      <c r="F907" s="9"/>
    </row>
    <row r="908" customFormat="false" ht="15" hidden="false" customHeight="false" outlineLevel="0" collapsed="false">
      <c r="A908" s="11"/>
      <c r="B908" s="9"/>
      <c r="C908" s="9"/>
      <c r="D908" s="9"/>
      <c r="E908" s="10"/>
      <c r="F908" s="9"/>
    </row>
    <row r="909" customFormat="false" ht="15" hidden="false" customHeight="false" outlineLevel="0" collapsed="false">
      <c r="A909" s="11"/>
      <c r="B909" s="9"/>
      <c r="C909" s="9"/>
      <c r="D909" s="9"/>
      <c r="E909" s="10"/>
      <c r="F909" s="9"/>
    </row>
    <row r="910" customFormat="false" ht="15" hidden="false" customHeight="false" outlineLevel="0" collapsed="false">
      <c r="A910" s="11"/>
      <c r="B910" s="9"/>
      <c r="C910" s="9"/>
      <c r="D910" s="9"/>
      <c r="E910" s="10"/>
      <c r="F910" s="9"/>
    </row>
    <row r="911" customFormat="false" ht="15" hidden="false" customHeight="false" outlineLevel="0" collapsed="false">
      <c r="A911" s="11"/>
      <c r="B911" s="9"/>
      <c r="C911" s="9"/>
      <c r="D911" s="9"/>
      <c r="E911" s="10"/>
      <c r="F911" s="9"/>
    </row>
    <row r="912" customFormat="false" ht="15" hidden="false" customHeight="false" outlineLevel="0" collapsed="false">
      <c r="A912" s="11"/>
      <c r="B912" s="9"/>
      <c r="C912" s="9"/>
      <c r="D912" s="9"/>
      <c r="E912" s="10"/>
      <c r="F912" s="9"/>
    </row>
    <row r="913" customFormat="false" ht="15" hidden="false" customHeight="false" outlineLevel="0" collapsed="false">
      <c r="A913" s="11"/>
      <c r="B913" s="9"/>
      <c r="C913" s="9"/>
      <c r="D913" s="9"/>
      <c r="E913" s="10"/>
      <c r="F913" s="9"/>
    </row>
    <row r="914" customFormat="false" ht="15" hidden="false" customHeight="false" outlineLevel="0" collapsed="false">
      <c r="A914" s="11"/>
      <c r="B914" s="9"/>
      <c r="C914" s="9"/>
      <c r="D914" s="9"/>
      <c r="E914" s="10"/>
      <c r="F914" s="9"/>
    </row>
    <row r="915" customFormat="false" ht="15" hidden="false" customHeight="false" outlineLevel="0" collapsed="false">
      <c r="A915" s="11"/>
      <c r="B915" s="9"/>
      <c r="C915" s="9"/>
      <c r="D915" s="9"/>
      <c r="E915" s="10"/>
      <c r="F915" s="9"/>
    </row>
    <row r="916" customFormat="false" ht="15" hidden="false" customHeight="false" outlineLevel="0" collapsed="false">
      <c r="A916" s="11"/>
      <c r="B916" s="9"/>
      <c r="C916" s="9"/>
      <c r="D916" s="9"/>
      <c r="E916" s="10"/>
      <c r="F916" s="9"/>
    </row>
    <row r="917" customFormat="false" ht="15" hidden="false" customHeight="false" outlineLevel="0" collapsed="false">
      <c r="A917" s="11"/>
      <c r="B917" s="9"/>
      <c r="C917" s="9"/>
      <c r="D917" s="9"/>
      <c r="E917" s="10"/>
      <c r="F917" s="9"/>
    </row>
    <row r="918" customFormat="false" ht="15" hidden="false" customHeight="false" outlineLevel="0" collapsed="false">
      <c r="A918" s="11"/>
      <c r="B918" s="9"/>
      <c r="C918" s="9"/>
      <c r="D918" s="9"/>
      <c r="E918" s="10"/>
      <c r="F918" s="9"/>
    </row>
    <row r="919" customFormat="false" ht="15" hidden="false" customHeight="false" outlineLevel="0" collapsed="false">
      <c r="A919" s="11"/>
      <c r="B919" s="9"/>
      <c r="C919" s="9"/>
      <c r="D919" s="9"/>
      <c r="E919" s="10"/>
      <c r="F919" s="9"/>
    </row>
    <row r="920" customFormat="false" ht="15" hidden="false" customHeight="false" outlineLevel="0" collapsed="false">
      <c r="A920" s="11"/>
      <c r="B920" s="9"/>
      <c r="C920" s="9"/>
      <c r="D920" s="9"/>
      <c r="E920" s="10"/>
      <c r="F920" s="9"/>
    </row>
    <row r="921" customFormat="false" ht="15" hidden="false" customHeight="false" outlineLevel="0" collapsed="false">
      <c r="A921" s="11"/>
      <c r="B921" s="9"/>
      <c r="C921" s="9"/>
      <c r="D921" s="9"/>
      <c r="E921" s="10"/>
      <c r="F921" s="9"/>
    </row>
    <row r="922" customFormat="false" ht="15" hidden="false" customHeight="false" outlineLevel="0" collapsed="false">
      <c r="A922" s="11"/>
      <c r="B922" s="9"/>
      <c r="C922" s="9"/>
      <c r="D922" s="9"/>
      <c r="E922" s="10"/>
      <c r="F922" s="9"/>
    </row>
    <row r="923" customFormat="false" ht="15" hidden="false" customHeight="false" outlineLevel="0" collapsed="false">
      <c r="A923" s="11"/>
      <c r="B923" s="9"/>
      <c r="C923" s="9"/>
      <c r="D923" s="9"/>
      <c r="E923" s="10"/>
      <c r="F923" s="9"/>
    </row>
    <row r="924" customFormat="false" ht="15" hidden="false" customHeight="false" outlineLevel="0" collapsed="false">
      <c r="A924" s="11"/>
      <c r="B924" s="9"/>
      <c r="C924" s="9"/>
      <c r="D924" s="9"/>
      <c r="E924" s="10"/>
      <c r="F924" s="9"/>
    </row>
    <row r="925" customFormat="false" ht="15" hidden="false" customHeight="false" outlineLevel="0" collapsed="false">
      <c r="A925" s="11"/>
      <c r="B925" s="9"/>
      <c r="C925" s="9"/>
      <c r="D925" s="9"/>
      <c r="E925" s="10"/>
      <c r="F925" s="9"/>
    </row>
    <row r="926" customFormat="false" ht="15" hidden="false" customHeight="false" outlineLevel="0" collapsed="false">
      <c r="A926" s="11"/>
      <c r="B926" s="9"/>
      <c r="C926" s="9"/>
      <c r="D926" s="9"/>
      <c r="E926" s="10"/>
      <c r="F926" s="9"/>
    </row>
    <row r="927" customFormat="false" ht="15" hidden="false" customHeight="false" outlineLevel="0" collapsed="false">
      <c r="A927" s="11"/>
      <c r="B927" s="9"/>
      <c r="C927" s="9"/>
      <c r="D927" s="9"/>
      <c r="E927" s="10"/>
      <c r="F927" s="9"/>
    </row>
    <row r="928" customFormat="false" ht="15" hidden="false" customHeight="false" outlineLevel="0" collapsed="false">
      <c r="A928" s="11"/>
      <c r="B928" s="9"/>
      <c r="C928" s="9"/>
      <c r="D928" s="9"/>
      <c r="E928" s="10"/>
      <c r="F928" s="9"/>
    </row>
    <row r="929" customFormat="false" ht="15" hidden="false" customHeight="false" outlineLevel="0" collapsed="false">
      <c r="A929" s="11"/>
      <c r="B929" s="9"/>
      <c r="C929" s="9"/>
      <c r="D929" s="9"/>
      <c r="E929" s="10"/>
      <c r="F929" s="9"/>
    </row>
    <row r="930" customFormat="false" ht="15" hidden="false" customHeight="false" outlineLevel="0" collapsed="false">
      <c r="A930" s="11"/>
      <c r="B930" s="9"/>
      <c r="C930" s="9"/>
      <c r="D930" s="9"/>
      <c r="E930" s="10"/>
      <c r="F930" s="9"/>
    </row>
    <row r="931" customFormat="false" ht="15" hidden="false" customHeight="false" outlineLevel="0" collapsed="false">
      <c r="A931" s="11"/>
      <c r="B931" s="9"/>
      <c r="C931" s="9"/>
      <c r="D931" s="9"/>
      <c r="E931" s="10"/>
      <c r="F931" s="9"/>
    </row>
    <row r="932" customFormat="false" ht="15" hidden="false" customHeight="false" outlineLevel="0" collapsed="false">
      <c r="A932" s="11"/>
      <c r="B932" s="9"/>
      <c r="C932" s="9"/>
      <c r="D932" s="9"/>
      <c r="E932" s="10"/>
      <c r="F932" s="9"/>
    </row>
    <row r="933" customFormat="false" ht="15" hidden="false" customHeight="false" outlineLevel="0" collapsed="false">
      <c r="A933" s="11"/>
      <c r="B933" s="9"/>
      <c r="C933" s="9"/>
      <c r="D933" s="9"/>
      <c r="E933" s="10"/>
      <c r="F933" s="9"/>
    </row>
    <row r="934" customFormat="false" ht="15" hidden="false" customHeight="false" outlineLevel="0" collapsed="false">
      <c r="A934" s="11"/>
      <c r="B934" s="9"/>
      <c r="C934" s="9"/>
      <c r="D934" s="9"/>
      <c r="E934" s="10"/>
      <c r="F934" s="9"/>
    </row>
    <row r="935" customFormat="false" ht="15" hidden="false" customHeight="false" outlineLevel="0" collapsed="false">
      <c r="A935" s="11"/>
      <c r="B935" s="9"/>
      <c r="C935" s="9"/>
      <c r="D935" s="9"/>
      <c r="E935" s="10"/>
      <c r="F935" s="9"/>
    </row>
    <row r="936" customFormat="false" ht="15" hidden="false" customHeight="false" outlineLevel="0" collapsed="false">
      <c r="A936" s="11"/>
      <c r="B936" s="9"/>
      <c r="C936" s="9"/>
      <c r="D936" s="9"/>
      <c r="E936" s="10"/>
      <c r="F936" s="9"/>
    </row>
    <row r="937" customFormat="false" ht="15" hidden="false" customHeight="false" outlineLevel="0" collapsed="false">
      <c r="A937" s="11"/>
      <c r="B937" s="9"/>
      <c r="C937" s="9"/>
      <c r="D937" s="9"/>
      <c r="E937" s="10"/>
      <c r="F937" s="9"/>
    </row>
    <row r="938" customFormat="false" ht="15" hidden="false" customHeight="false" outlineLevel="0" collapsed="false">
      <c r="A938" s="11"/>
      <c r="B938" s="9"/>
      <c r="C938" s="9"/>
      <c r="D938" s="9"/>
      <c r="E938" s="10"/>
      <c r="F938" s="9"/>
    </row>
    <row r="939" customFormat="false" ht="15" hidden="false" customHeight="false" outlineLevel="0" collapsed="false">
      <c r="A939" s="11"/>
      <c r="B939" s="9"/>
      <c r="C939" s="9"/>
      <c r="D939" s="9"/>
      <c r="E939" s="10"/>
      <c r="F939" s="9"/>
    </row>
    <row r="940" customFormat="false" ht="15" hidden="false" customHeight="false" outlineLevel="0" collapsed="false">
      <c r="A940" s="11"/>
      <c r="B940" s="9"/>
      <c r="C940" s="9"/>
      <c r="D940" s="9"/>
      <c r="E940" s="10"/>
      <c r="F940" s="9"/>
    </row>
    <row r="941" customFormat="false" ht="15" hidden="false" customHeight="false" outlineLevel="0" collapsed="false">
      <c r="A941" s="11"/>
      <c r="B941" s="9"/>
      <c r="C941" s="9"/>
      <c r="D941" s="9"/>
      <c r="E941" s="10"/>
      <c r="F941" s="9"/>
    </row>
    <row r="942" customFormat="false" ht="15" hidden="false" customHeight="false" outlineLevel="0" collapsed="false">
      <c r="A942" s="11"/>
      <c r="B942" s="9"/>
      <c r="C942" s="9"/>
      <c r="D942" s="9"/>
      <c r="E942" s="10"/>
      <c r="F942" s="9"/>
    </row>
    <row r="943" customFormat="false" ht="15" hidden="false" customHeight="false" outlineLevel="0" collapsed="false">
      <c r="A943" s="11"/>
      <c r="B943" s="9"/>
      <c r="C943" s="9"/>
      <c r="D943" s="9"/>
      <c r="E943" s="10"/>
      <c r="F943" s="9"/>
    </row>
    <row r="944" customFormat="false" ht="15" hidden="false" customHeight="false" outlineLevel="0" collapsed="false">
      <c r="A944" s="11"/>
      <c r="B944" s="9"/>
      <c r="C944" s="9"/>
      <c r="D944" s="9"/>
      <c r="E944" s="10"/>
      <c r="F944" s="9"/>
    </row>
    <row r="945" customFormat="false" ht="15" hidden="false" customHeight="false" outlineLevel="0" collapsed="false">
      <c r="A945" s="11"/>
      <c r="B945" s="9"/>
      <c r="C945" s="9"/>
      <c r="D945" s="9"/>
      <c r="E945" s="10"/>
      <c r="F945" s="9"/>
    </row>
    <row r="946" customFormat="false" ht="15" hidden="false" customHeight="false" outlineLevel="0" collapsed="false">
      <c r="A946" s="11"/>
      <c r="B946" s="9"/>
      <c r="C946" s="9"/>
      <c r="D946" s="9"/>
      <c r="E946" s="10"/>
      <c r="F946" s="9"/>
    </row>
    <row r="947" customFormat="false" ht="15" hidden="false" customHeight="false" outlineLevel="0" collapsed="false">
      <c r="A947" s="11"/>
      <c r="B947" s="9"/>
      <c r="C947" s="9"/>
      <c r="D947" s="9"/>
      <c r="E947" s="10"/>
      <c r="F947" s="9"/>
    </row>
    <row r="948" customFormat="false" ht="15" hidden="false" customHeight="false" outlineLevel="0" collapsed="false">
      <c r="A948" s="11"/>
      <c r="B948" s="9"/>
      <c r="C948" s="9"/>
      <c r="D948" s="9"/>
      <c r="E948" s="10"/>
      <c r="F948" s="9"/>
    </row>
    <row r="949" customFormat="false" ht="15" hidden="false" customHeight="false" outlineLevel="0" collapsed="false">
      <c r="A949" s="11"/>
      <c r="B949" s="9"/>
      <c r="C949" s="9"/>
      <c r="D949" s="9"/>
      <c r="E949" s="10"/>
      <c r="F949" s="9"/>
    </row>
    <row r="950" customFormat="false" ht="15" hidden="false" customHeight="false" outlineLevel="0" collapsed="false">
      <c r="A950" s="11"/>
      <c r="B950" s="9"/>
      <c r="C950" s="9"/>
      <c r="D950" s="9"/>
      <c r="E950" s="10"/>
      <c r="F950" s="9"/>
    </row>
    <row r="951" customFormat="false" ht="15" hidden="false" customHeight="false" outlineLevel="0" collapsed="false">
      <c r="A951" s="11"/>
      <c r="B951" s="9"/>
      <c r="C951" s="9"/>
      <c r="D951" s="9"/>
      <c r="E951" s="10"/>
      <c r="F951" s="9"/>
    </row>
    <row r="952" customFormat="false" ht="15" hidden="false" customHeight="false" outlineLevel="0" collapsed="false">
      <c r="A952" s="11"/>
      <c r="B952" s="9"/>
      <c r="C952" s="9"/>
      <c r="D952" s="9"/>
      <c r="E952" s="10"/>
      <c r="F952" s="9"/>
    </row>
    <row r="953" customFormat="false" ht="15" hidden="false" customHeight="false" outlineLevel="0" collapsed="false">
      <c r="A953" s="11"/>
      <c r="B953" s="9"/>
      <c r="C953" s="9"/>
      <c r="D953" s="9"/>
      <c r="E953" s="10"/>
      <c r="F953" s="9"/>
    </row>
    <row r="954" customFormat="false" ht="15" hidden="false" customHeight="false" outlineLevel="0" collapsed="false">
      <c r="A954" s="11"/>
      <c r="B954" s="9"/>
      <c r="C954" s="9"/>
      <c r="D954" s="9"/>
      <c r="E954" s="10"/>
      <c r="F954" s="9"/>
    </row>
    <row r="955" customFormat="false" ht="15" hidden="false" customHeight="false" outlineLevel="0" collapsed="false">
      <c r="A955" s="11"/>
      <c r="B955" s="9"/>
      <c r="C955" s="9"/>
      <c r="D955" s="9"/>
      <c r="E955" s="10"/>
      <c r="F955" s="9"/>
    </row>
    <row r="956" customFormat="false" ht="15" hidden="false" customHeight="false" outlineLevel="0" collapsed="false">
      <c r="A956" s="11"/>
      <c r="B956" s="9"/>
      <c r="C956" s="9"/>
      <c r="D956" s="9"/>
      <c r="E956" s="10"/>
      <c r="F956" s="9"/>
    </row>
    <row r="957" customFormat="false" ht="15" hidden="false" customHeight="false" outlineLevel="0" collapsed="false">
      <c r="A957" s="11"/>
      <c r="B957" s="9"/>
      <c r="C957" s="9"/>
      <c r="D957" s="9"/>
      <c r="E957" s="10"/>
      <c r="F957" s="9"/>
    </row>
    <row r="958" customFormat="false" ht="15" hidden="false" customHeight="false" outlineLevel="0" collapsed="false">
      <c r="A958" s="11"/>
      <c r="B958" s="9"/>
      <c r="C958" s="9"/>
      <c r="D958" s="9"/>
      <c r="E958" s="10"/>
      <c r="F958" s="9"/>
    </row>
    <row r="959" customFormat="false" ht="15" hidden="false" customHeight="false" outlineLevel="0" collapsed="false">
      <c r="A959" s="11"/>
      <c r="B959" s="9"/>
      <c r="C959" s="9"/>
      <c r="D959" s="9"/>
      <c r="E959" s="10"/>
      <c r="F959" s="9"/>
    </row>
    <row r="960" customFormat="false" ht="15" hidden="false" customHeight="false" outlineLevel="0" collapsed="false">
      <c r="A960" s="11"/>
      <c r="B960" s="9"/>
      <c r="C960" s="9"/>
      <c r="D960" s="9"/>
      <c r="E960" s="10"/>
      <c r="F960" s="9"/>
    </row>
    <row r="961" customFormat="false" ht="15" hidden="false" customHeight="false" outlineLevel="0" collapsed="false">
      <c r="A961" s="11"/>
      <c r="B961" s="9"/>
      <c r="C961" s="9"/>
      <c r="D961" s="9"/>
      <c r="E961" s="10"/>
      <c r="F961" s="9"/>
    </row>
    <row r="962" customFormat="false" ht="15" hidden="false" customHeight="false" outlineLevel="0" collapsed="false">
      <c r="A962" s="11"/>
      <c r="B962" s="9"/>
      <c r="C962" s="9"/>
      <c r="D962" s="9"/>
      <c r="E962" s="10"/>
      <c r="F962" s="9"/>
    </row>
    <row r="963" customFormat="false" ht="15" hidden="false" customHeight="false" outlineLevel="0" collapsed="false">
      <c r="A963" s="11"/>
      <c r="B963" s="9"/>
      <c r="C963" s="9"/>
      <c r="D963" s="9"/>
      <c r="E963" s="10"/>
      <c r="F963" s="9"/>
    </row>
    <row r="964" customFormat="false" ht="15" hidden="false" customHeight="false" outlineLevel="0" collapsed="false">
      <c r="A964" s="11"/>
      <c r="B964" s="9"/>
      <c r="C964" s="9"/>
      <c r="D964" s="9"/>
      <c r="E964" s="10"/>
      <c r="F964" s="9"/>
    </row>
    <row r="965" customFormat="false" ht="15" hidden="false" customHeight="false" outlineLevel="0" collapsed="false">
      <c r="A965" s="11"/>
      <c r="B965" s="9"/>
      <c r="C965" s="9"/>
      <c r="D965" s="9"/>
      <c r="E965" s="10"/>
      <c r="F965" s="9"/>
    </row>
    <row r="966" customFormat="false" ht="15" hidden="false" customHeight="false" outlineLevel="0" collapsed="false">
      <c r="A966" s="11"/>
      <c r="B966" s="9"/>
      <c r="C966" s="9"/>
      <c r="D966" s="9"/>
      <c r="E966" s="10"/>
      <c r="F966" s="9"/>
    </row>
    <row r="967" customFormat="false" ht="15" hidden="false" customHeight="false" outlineLevel="0" collapsed="false">
      <c r="A967" s="11"/>
      <c r="B967" s="9"/>
      <c r="C967" s="9"/>
      <c r="D967" s="9"/>
      <c r="E967" s="10"/>
      <c r="F967" s="9"/>
    </row>
    <row r="968" customFormat="false" ht="15" hidden="false" customHeight="false" outlineLevel="0" collapsed="false">
      <c r="A968" s="11"/>
      <c r="B968" s="9"/>
      <c r="C968" s="9"/>
      <c r="D968" s="9"/>
      <c r="E968" s="10"/>
      <c r="F968" s="9"/>
    </row>
    <row r="969" customFormat="false" ht="15" hidden="false" customHeight="false" outlineLevel="0" collapsed="false">
      <c r="A969" s="11"/>
      <c r="B969" s="9"/>
      <c r="C969" s="9"/>
      <c r="D969" s="9"/>
      <c r="E969" s="10"/>
      <c r="F969" s="9"/>
    </row>
    <row r="970" customFormat="false" ht="15" hidden="false" customHeight="false" outlineLevel="0" collapsed="false">
      <c r="A970" s="11"/>
      <c r="B970" s="9"/>
      <c r="C970" s="9"/>
      <c r="D970" s="9"/>
      <c r="E970" s="10"/>
      <c r="F970" s="9"/>
    </row>
    <row r="971" customFormat="false" ht="15" hidden="false" customHeight="false" outlineLevel="0" collapsed="false">
      <c r="A971" s="11"/>
      <c r="B971" s="9"/>
      <c r="C971" s="9"/>
      <c r="D971" s="9"/>
      <c r="E971" s="10"/>
      <c r="F971" s="9"/>
    </row>
    <row r="972" customFormat="false" ht="15" hidden="false" customHeight="false" outlineLevel="0" collapsed="false">
      <c r="A972" s="11"/>
      <c r="B972" s="9"/>
      <c r="C972" s="9"/>
      <c r="D972" s="9"/>
      <c r="E972" s="10"/>
      <c r="F972" s="9"/>
    </row>
    <row r="973" customFormat="false" ht="15" hidden="false" customHeight="false" outlineLevel="0" collapsed="false">
      <c r="A973" s="11"/>
      <c r="B973" s="9"/>
      <c r="C973" s="9"/>
      <c r="D973" s="9"/>
      <c r="E973" s="10"/>
      <c r="F973" s="9"/>
    </row>
    <row r="974" customFormat="false" ht="15" hidden="false" customHeight="false" outlineLevel="0" collapsed="false">
      <c r="A974" s="11"/>
      <c r="B974" s="9"/>
      <c r="C974" s="9"/>
      <c r="D974" s="9"/>
      <c r="E974" s="10"/>
      <c r="F974" s="9"/>
    </row>
    <row r="975" customFormat="false" ht="15" hidden="false" customHeight="false" outlineLevel="0" collapsed="false">
      <c r="A975" s="11"/>
      <c r="B975" s="9"/>
      <c r="C975" s="9"/>
      <c r="D975" s="9"/>
      <c r="E975" s="10"/>
      <c r="F975" s="9"/>
    </row>
    <row r="976" customFormat="false" ht="15" hidden="false" customHeight="false" outlineLevel="0" collapsed="false">
      <c r="A976" s="11"/>
      <c r="B976" s="9"/>
      <c r="C976" s="9"/>
      <c r="D976" s="9"/>
      <c r="E976" s="10"/>
      <c r="F976" s="9"/>
    </row>
    <row r="977" customFormat="false" ht="15" hidden="false" customHeight="false" outlineLevel="0" collapsed="false">
      <c r="A977" s="11"/>
      <c r="B977" s="9"/>
      <c r="C977" s="9"/>
      <c r="D977" s="9"/>
      <c r="E977" s="10"/>
      <c r="F977" s="9"/>
    </row>
    <row r="978" customFormat="false" ht="15" hidden="false" customHeight="false" outlineLevel="0" collapsed="false">
      <c r="A978" s="11"/>
      <c r="B978" s="9"/>
      <c r="C978" s="9"/>
      <c r="D978" s="9"/>
      <c r="E978" s="10"/>
      <c r="F978" s="9"/>
    </row>
    <row r="979" customFormat="false" ht="15" hidden="false" customHeight="false" outlineLevel="0" collapsed="false">
      <c r="A979" s="11"/>
      <c r="B979" s="9"/>
      <c r="C979" s="9"/>
      <c r="D979" s="9"/>
      <c r="E979" s="10"/>
      <c r="F979" s="9"/>
    </row>
    <row r="980" customFormat="false" ht="15" hidden="false" customHeight="false" outlineLevel="0" collapsed="false">
      <c r="A980" s="11"/>
      <c r="B980" s="9"/>
      <c r="C980" s="9"/>
      <c r="D980" s="9"/>
      <c r="E980" s="10"/>
      <c r="F980" s="9"/>
    </row>
    <row r="981" customFormat="false" ht="15" hidden="false" customHeight="false" outlineLevel="0" collapsed="false">
      <c r="A981" s="11"/>
      <c r="B981" s="9"/>
      <c r="C981" s="9"/>
      <c r="D981" s="9"/>
      <c r="E981" s="10"/>
      <c r="F981" s="9"/>
    </row>
    <row r="982" customFormat="false" ht="15" hidden="false" customHeight="false" outlineLevel="0" collapsed="false">
      <c r="A982" s="11"/>
      <c r="B982" s="9"/>
      <c r="C982" s="9"/>
      <c r="D982" s="9"/>
      <c r="E982" s="10"/>
      <c r="F982" s="9"/>
    </row>
    <row r="983" customFormat="false" ht="15" hidden="false" customHeight="false" outlineLevel="0" collapsed="false">
      <c r="A983" s="11"/>
      <c r="B983" s="9"/>
      <c r="C983" s="9"/>
      <c r="D983" s="9"/>
      <c r="E983" s="10"/>
      <c r="F983" s="9"/>
    </row>
    <row r="984" customFormat="false" ht="15" hidden="false" customHeight="false" outlineLevel="0" collapsed="false">
      <c r="A984" s="11"/>
      <c r="B984" s="9"/>
      <c r="C984" s="9"/>
      <c r="D984" s="9"/>
      <c r="E984" s="10"/>
      <c r="F984" s="9"/>
    </row>
    <row r="985" customFormat="false" ht="15" hidden="false" customHeight="false" outlineLevel="0" collapsed="false">
      <c r="A985" s="11"/>
      <c r="B985" s="9"/>
      <c r="C985" s="9"/>
      <c r="D985" s="9"/>
      <c r="E985" s="10"/>
      <c r="F985" s="9"/>
    </row>
    <row r="986" customFormat="false" ht="15" hidden="false" customHeight="false" outlineLevel="0" collapsed="false">
      <c r="A986" s="11"/>
      <c r="B986" s="9"/>
      <c r="C986" s="9"/>
      <c r="D986" s="9"/>
      <c r="E986" s="10"/>
      <c r="F986" s="9"/>
    </row>
    <row r="987" customFormat="false" ht="15" hidden="false" customHeight="false" outlineLevel="0" collapsed="false">
      <c r="A987" s="11"/>
      <c r="B987" s="9"/>
      <c r="C987" s="9"/>
      <c r="D987" s="9"/>
      <c r="E987" s="10"/>
      <c r="F987" s="9"/>
    </row>
    <row r="988" customFormat="false" ht="15" hidden="false" customHeight="false" outlineLevel="0" collapsed="false">
      <c r="A988" s="11"/>
      <c r="B988" s="9"/>
      <c r="C988" s="9"/>
      <c r="D988" s="9"/>
      <c r="E988" s="10"/>
      <c r="F988" s="9"/>
    </row>
    <row r="989" customFormat="false" ht="15" hidden="false" customHeight="false" outlineLevel="0" collapsed="false">
      <c r="A989" s="11"/>
      <c r="B989" s="9"/>
      <c r="C989" s="9"/>
      <c r="D989" s="9"/>
      <c r="E989" s="10"/>
      <c r="F989" s="9"/>
    </row>
    <row r="990" customFormat="false" ht="15" hidden="false" customHeight="false" outlineLevel="0" collapsed="false">
      <c r="A990" s="11"/>
      <c r="B990" s="9"/>
      <c r="C990" s="9"/>
      <c r="D990" s="9"/>
      <c r="E990" s="10"/>
      <c r="F990" s="9"/>
    </row>
    <row r="991" customFormat="false" ht="15" hidden="false" customHeight="false" outlineLevel="0" collapsed="false">
      <c r="A991" s="11"/>
      <c r="B991" s="9"/>
      <c r="C991" s="9"/>
      <c r="D991" s="9"/>
      <c r="E991" s="10"/>
      <c r="F991" s="9"/>
    </row>
    <row r="992" customFormat="false" ht="15" hidden="false" customHeight="false" outlineLevel="0" collapsed="false">
      <c r="A992" s="11"/>
      <c r="B992" s="9"/>
      <c r="C992" s="9"/>
      <c r="D992" s="9"/>
      <c r="E992" s="10"/>
      <c r="F992" s="9"/>
    </row>
    <row r="993" customFormat="false" ht="15" hidden="false" customHeight="false" outlineLevel="0" collapsed="false">
      <c r="A993" s="11"/>
      <c r="B993" s="9"/>
      <c r="C993" s="9"/>
      <c r="D993" s="9"/>
      <c r="E993" s="10"/>
      <c r="F993" s="9"/>
    </row>
    <row r="994" customFormat="false" ht="15" hidden="false" customHeight="false" outlineLevel="0" collapsed="false">
      <c r="A994" s="11"/>
      <c r="B994" s="9"/>
      <c r="C994" s="9"/>
      <c r="D994" s="9"/>
      <c r="E994" s="10"/>
      <c r="F994" s="9"/>
    </row>
    <row r="995" customFormat="false" ht="15" hidden="false" customHeight="false" outlineLevel="0" collapsed="false">
      <c r="A995" s="11"/>
      <c r="B995" s="9"/>
      <c r="C995" s="9"/>
      <c r="D995" s="9"/>
      <c r="E995" s="10"/>
      <c r="F995" s="9"/>
    </row>
    <row r="996" customFormat="false" ht="15" hidden="false" customHeight="false" outlineLevel="0" collapsed="false">
      <c r="A996" s="11"/>
      <c r="B996" s="9"/>
      <c r="C996" s="9"/>
      <c r="D996" s="9"/>
      <c r="E996" s="10"/>
      <c r="F996" s="9"/>
    </row>
    <row r="997" customFormat="false" ht="15" hidden="false" customHeight="false" outlineLevel="0" collapsed="false">
      <c r="A997" s="11"/>
      <c r="B997" s="9"/>
      <c r="C997" s="9"/>
      <c r="D997" s="9"/>
      <c r="E997" s="10"/>
      <c r="F997" s="9"/>
    </row>
    <row r="998" customFormat="false" ht="15" hidden="false" customHeight="false" outlineLevel="0" collapsed="false">
      <c r="A998" s="11"/>
      <c r="B998" s="9"/>
      <c r="C998" s="9"/>
      <c r="D998" s="9"/>
      <c r="E998" s="10"/>
      <c r="F998" s="9"/>
    </row>
    <row r="999" customFormat="false" ht="15" hidden="false" customHeight="false" outlineLevel="0" collapsed="false">
      <c r="A999" s="11"/>
      <c r="B999" s="9"/>
      <c r="C999" s="9"/>
      <c r="D999" s="9"/>
      <c r="E999" s="10"/>
      <c r="F999" s="9"/>
    </row>
    <row r="1000" customFormat="false" ht="15" hidden="false" customHeight="false" outlineLevel="0" collapsed="false">
      <c r="A1000" s="11"/>
      <c r="B1000" s="9"/>
      <c r="C1000" s="9"/>
      <c r="D1000" s="9"/>
      <c r="E1000" s="10"/>
      <c r="F1000" s="9"/>
    </row>
    <row r="1001" customFormat="false" ht="15" hidden="false" customHeight="false" outlineLevel="0" collapsed="false">
      <c r="A1001" s="11"/>
      <c r="B1001" s="9"/>
      <c r="C1001" s="9"/>
      <c r="D1001" s="9"/>
      <c r="E1001" s="10"/>
      <c r="F1001" s="9"/>
    </row>
    <row r="1002" customFormat="false" ht="15" hidden="false" customHeight="false" outlineLevel="0" collapsed="false">
      <c r="A1002" s="11"/>
      <c r="B1002" s="9"/>
      <c r="C1002" s="9"/>
      <c r="D1002" s="9"/>
      <c r="E1002" s="10"/>
      <c r="F1002" s="9"/>
    </row>
  </sheetData>
  <dataValidations count="2">
    <dataValidation allowBlank="true" errorStyle="stop" operator="between" showDropDown="false" showErrorMessage="false" showInputMessage="false" sqref="B2:B1002" type="list">
      <formula1>Alumnos!$A$2:$A$301</formula1>
      <formula2>0</formula2>
    </dataValidation>
    <dataValidation allowBlank="true" errorStyle="stop" operator="between" showDropDown="false" showErrorMessage="false" showInputMessage="false" sqref="F2:F1002" type="list">
      <formula1>"Efectivo,Transferencia,Mercado Pago,Débito"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7" min="7" style="0" width="22"/>
  </cols>
  <sheetData>
    <row r="1" customFormat="false" ht="19.7" hidden="false" customHeight="false" outlineLevel="0" collapsed="false">
      <c r="A1" s="1" t="s">
        <v>25</v>
      </c>
    </row>
    <row r="2" customFormat="false" ht="15" hidden="false" customHeight="false" outlineLevel="0" collapsed="false">
      <c r="A2" s="0" t="s">
        <v>26</v>
      </c>
      <c r="B2" s="12" t="n">
        <v>10</v>
      </c>
      <c r="C2" s="13" t="s">
        <v>27</v>
      </c>
      <c r="D2" s="12" t="n">
        <v>2026</v>
      </c>
    </row>
    <row r="4" customFormat="false" ht="30" hidden="false" customHeight="true" outlineLevel="0" collapsed="false">
      <c r="A4" s="8" t="s">
        <v>19</v>
      </c>
      <c r="B4" s="8" t="s">
        <v>28</v>
      </c>
      <c r="C4" s="8" t="s">
        <v>29</v>
      </c>
      <c r="D4" s="8" t="s">
        <v>30</v>
      </c>
      <c r="E4" s="8" t="s">
        <v>31</v>
      </c>
      <c r="G4" s="14" t="s">
        <v>32</v>
      </c>
    </row>
    <row r="5" customFormat="false" ht="17.35" hidden="false" customHeight="false" outlineLevel="0" collapsed="false">
      <c r="A5" s="15" t="str">
        <f aca="false">IF(OR(Alumnos!A2="",Alumnos!E2="No"),"",Alumnos!A2)</f>
        <v>Martínez, Sofía (ejemplo)</v>
      </c>
      <c r="B5" s="16" t="n">
        <f aca="false">IF(A5="","",Alumnos!D2)</f>
        <v>20000</v>
      </c>
      <c r="C5" s="16" t="n">
        <f aca="false">IF(A5="","",SUMIFS(Pagos!$E$2:$E$3001,Pagos!$B$2:$B$3001,A5,Pagos!$C$2:$C$3001,$B$2,Pagos!$D$2:$D$3001,$D$2))</f>
        <v>20000</v>
      </c>
      <c r="D5" s="16" t="n">
        <f aca="false">IF(A5="","",MAX(0,B5-C5))</f>
        <v>0</v>
      </c>
      <c r="E5" s="15" t="str">
        <f aca="false">IF(A5="","",IF(D5=0,"PAGÓ","DEBE"))</f>
        <v>PAGÓ</v>
      </c>
      <c r="G5" s="17" t="n">
        <f aca="false">SUM(C5:C304)</f>
        <v>20000</v>
      </c>
    </row>
    <row r="6" customFormat="false" ht="15" hidden="false" customHeight="false" outlineLevel="0" collapsed="false">
      <c r="A6" s="15" t="str">
        <f aca="false">IF(OR(Alumnos!A3="",Alumnos!E3="No"),"",Alumnos!A3)</f>
        <v/>
      </c>
      <c r="B6" s="16" t="str">
        <f aca="false">IF(A6="","",Alumnos!D3)</f>
        <v/>
      </c>
      <c r="C6" s="16" t="str">
        <f aca="false">IF(A6="","",SUMIFS(Pagos!$E$2:$E$3001,Pagos!$B$2:$B$3001,A6,Pagos!$C$2:$C$3001,$B$2,Pagos!$D$2:$D$3001,$D$2))</f>
        <v/>
      </c>
      <c r="D6" s="16" t="str">
        <f aca="false">IF(A6="","",MAX(0,B6-C6))</f>
        <v/>
      </c>
      <c r="E6" s="15" t="str">
        <f aca="false">IF(A6="","",IF(D6=0,"PAGÓ","DEBE"))</f>
        <v/>
      </c>
    </row>
    <row r="7" customFormat="false" ht="15" hidden="false" customHeight="false" outlineLevel="0" collapsed="false">
      <c r="A7" s="15" t="str">
        <f aca="false">IF(OR(Alumnos!A4="",Alumnos!E4="No"),"",Alumnos!A4)</f>
        <v/>
      </c>
      <c r="B7" s="16" t="str">
        <f aca="false">IF(A7="","",Alumnos!D4)</f>
        <v/>
      </c>
      <c r="C7" s="16" t="str">
        <f aca="false">IF(A7="","",SUMIFS(Pagos!$E$2:$E$3001,Pagos!$B$2:$B$3001,A7,Pagos!$C$2:$C$3001,$B$2,Pagos!$D$2:$D$3001,$D$2))</f>
        <v/>
      </c>
      <c r="D7" s="16" t="str">
        <f aca="false">IF(A7="","",MAX(0,B7-C7))</f>
        <v/>
      </c>
      <c r="E7" s="15" t="str">
        <f aca="false">IF(A7="","",IF(D7=0,"PAGÓ","DEBE"))</f>
        <v/>
      </c>
      <c r="G7" s="14" t="s">
        <v>33</v>
      </c>
    </row>
    <row r="8" customFormat="false" ht="17.35" hidden="false" customHeight="false" outlineLevel="0" collapsed="false">
      <c r="A8" s="15" t="str">
        <f aca="false">IF(OR(Alumnos!A5="",Alumnos!E5="No"),"",Alumnos!A5)</f>
        <v/>
      </c>
      <c r="B8" s="16" t="str">
        <f aca="false">IF(A8="","",Alumnos!D5)</f>
        <v/>
      </c>
      <c r="C8" s="16" t="str">
        <f aca="false">IF(A8="","",SUMIFS(Pagos!$E$2:$E$3001,Pagos!$B$2:$B$3001,A8,Pagos!$C$2:$C$3001,$B$2,Pagos!$D$2:$D$3001,$D$2))</f>
        <v/>
      </c>
      <c r="D8" s="16" t="str">
        <f aca="false">IF(A8="","",MAX(0,B8-C8))</f>
        <v/>
      </c>
      <c r="E8" s="15" t="str">
        <f aca="false">IF(A8="","",IF(D8=0,"PAGÓ","DEBE"))</f>
        <v/>
      </c>
      <c r="G8" s="17" t="n">
        <f aca="false">SUM(D5:D304)</f>
        <v>0</v>
      </c>
    </row>
    <row r="9" customFormat="false" ht="15" hidden="false" customHeight="false" outlineLevel="0" collapsed="false">
      <c r="A9" s="15" t="str">
        <f aca="false">IF(OR(Alumnos!A6="",Alumnos!E6="No"),"",Alumnos!A6)</f>
        <v/>
      </c>
      <c r="B9" s="16" t="str">
        <f aca="false">IF(A9="","",Alumnos!D6)</f>
        <v/>
      </c>
      <c r="C9" s="16" t="str">
        <f aca="false">IF(A9="","",SUMIFS(Pagos!$E$2:$E$3001,Pagos!$B$2:$B$3001,A9,Pagos!$C$2:$C$3001,$B$2,Pagos!$D$2:$D$3001,$D$2))</f>
        <v/>
      </c>
      <c r="D9" s="16" t="str">
        <f aca="false">IF(A9="","",MAX(0,B9-C9))</f>
        <v/>
      </c>
      <c r="E9" s="15" t="str">
        <f aca="false">IF(A9="","",IF(D9=0,"PAGÓ","DEBE"))</f>
        <v/>
      </c>
    </row>
    <row r="10" customFormat="false" ht="15" hidden="false" customHeight="false" outlineLevel="0" collapsed="false">
      <c r="A10" s="15" t="str">
        <f aca="false">IF(OR(Alumnos!A7="",Alumnos!E7="No"),"",Alumnos!A7)</f>
        <v/>
      </c>
      <c r="B10" s="16" t="str">
        <f aca="false">IF(A10="","",Alumnos!D7)</f>
        <v/>
      </c>
      <c r="C10" s="16" t="str">
        <f aca="false">IF(A10="","",SUMIFS(Pagos!$E$2:$E$3001,Pagos!$B$2:$B$3001,A10,Pagos!$C$2:$C$3001,$B$2,Pagos!$D$2:$D$3001,$D$2))</f>
        <v/>
      </c>
      <c r="D10" s="16" t="str">
        <f aca="false">IF(A10="","",MAX(0,B10-C10))</f>
        <v/>
      </c>
      <c r="E10" s="15" t="str">
        <f aca="false">IF(A10="","",IF(D10=0,"PAGÓ","DEBE"))</f>
        <v/>
      </c>
      <c r="G10" s="14" t="s">
        <v>34</v>
      </c>
    </row>
    <row r="11" customFormat="false" ht="17.35" hidden="false" customHeight="false" outlineLevel="0" collapsed="false">
      <c r="A11" s="15" t="str">
        <f aca="false">IF(OR(Alumnos!A8="",Alumnos!E8="No"),"",Alumnos!A8)</f>
        <v/>
      </c>
      <c r="B11" s="16" t="str">
        <f aca="false">IF(A11="","",Alumnos!D8)</f>
        <v/>
      </c>
      <c r="C11" s="16" t="str">
        <f aca="false">IF(A11="","",SUMIFS(Pagos!$E$2:$E$3001,Pagos!$B$2:$B$3001,A11,Pagos!$C$2:$C$3001,$B$2,Pagos!$D$2:$D$3001,$D$2))</f>
        <v/>
      </c>
      <c r="D11" s="16" t="str">
        <f aca="false">IF(A11="","",MAX(0,B11-C11))</f>
        <v/>
      </c>
      <c r="E11" s="15" t="str">
        <f aca="false">IF(A11="","",IF(D11=0,"PAGÓ","DEBE"))</f>
        <v/>
      </c>
      <c r="G11" s="18" t="n">
        <f aca="false">COUNTIF(E5:E304,"DEBE")</f>
        <v>0</v>
      </c>
    </row>
    <row r="12" customFormat="false" ht="15" hidden="false" customHeight="false" outlineLevel="0" collapsed="false">
      <c r="A12" s="15" t="str">
        <f aca="false">IF(OR(Alumnos!A9="",Alumnos!E9="No"),"",Alumnos!A9)</f>
        <v/>
      </c>
      <c r="B12" s="16" t="str">
        <f aca="false">IF(A12="","",Alumnos!D9)</f>
        <v/>
      </c>
      <c r="C12" s="16" t="str">
        <f aca="false">IF(A12="","",SUMIFS(Pagos!$E$2:$E$3001,Pagos!$B$2:$B$3001,A12,Pagos!$C$2:$C$3001,$B$2,Pagos!$D$2:$D$3001,$D$2))</f>
        <v/>
      </c>
      <c r="D12" s="16" t="str">
        <f aca="false">IF(A12="","",MAX(0,B12-C12))</f>
        <v/>
      </c>
      <c r="E12" s="15" t="str">
        <f aca="false">IF(A12="","",IF(D12=0,"PAGÓ","DEBE"))</f>
        <v/>
      </c>
    </row>
    <row r="13" customFormat="false" ht="15" hidden="false" customHeight="false" outlineLevel="0" collapsed="false">
      <c r="A13" s="15" t="str">
        <f aca="false">IF(OR(Alumnos!A10="",Alumnos!E10="No"),"",Alumnos!A10)</f>
        <v/>
      </c>
      <c r="B13" s="16" t="str">
        <f aca="false">IF(A13="","",Alumnos!D10)</f>
        <v/>
      </c>
      <c r="C13" s="16" t="str">
        <f aca="false">IF(A13="","",SUMIFS(Pagos!$E$2:$E$3001,Pagos!$B$2:$B$3001,A13,Pagos!$C$2:$C$3001,$B$2,Pagos!$D$2:$D$3001,$D$2))</f>
        <v/>
      </c>
      <c r="D13" s="16" t="str">
        <f aca="false">IF(A13="","",MAX(0,B13-C13))</f>
        <v/>
      </c>
      <c r="E13" s="15" t="str">
        <f aca="false">IF(A13="","",IF(D13=0,"PAGÓ","DEBE"))</f>
        <v/>
      </c>
    </row>
    <row r="14" customFormat="false" ht="15" hidden="false" customHeight="false" outlineLevel="0" collapsed="false">
      <c r="A14" s="15" t="str">
        <f aca="false">IF(OR(Alumnos!A11="",Alumnos!E11="No"),"",Alumnos!A11)</f>
        <v/>
      </c>
      <c r="B14" s="16" t="str">
        <f aca="false">IF(A14="","",Alumnos!D11)</f>
        <v/>
      </c>
      <c r="C14" s="16" t="str">
        <f aca="false">IF(A14="","",SUMIFS(Pagos!$E$2:$E$3001,Pagos!$B$2:$B$3001,A14,Pagos!$C$2:$C$3001,$B$2,Pagos!$D$2:$D$3001,$D$2))</f>
        <v/>
      </c>
      <c r="D14" s="16" t="str">
        <f aca="false">IF(A14="","",MAX(0,B14-C14))</f>
        <v/>
      </c>
      <c r="E14" s="15" t="str">
        <f aca="false">IF(A14="","",IF(D14=0,"PAGÓ","DEBE"))</f>
        <v/>
      </c>
    </row>
    <row r="15" customFormat="false" ht="15" hidden="false" customHeight="false" outlineLevel="0" collapsed="false">
      <c r="A15" s="15" t="str">
        <f aca="false">IF(OR(Alumnos!A12="",Alumnos!E12="No"),"",Alumnos!A12)</f>
        <v/>
      </c>
      <c r="B15" s="16" t="str">
        <f aca="false">IF(A15="","",Alumnos!D12)</f>
        <v/>
      </c>
      <c r="C15" s="16" t="str">
        <f aca="false">IF(A15="","",SUMIFS(Pagos!$E$2:$E$3001,Pagos!$B$2:$B$3001,A15,Pagos!$C$2:$C$3001,$B$2,Pagos!$D$2:$D$3001,$D$2))</f>
        <v/>
      </c>
      <c r="D15" s="16" t="str">
        <f aca="false">IF(A15="","",MAX(0,B15-C15))</f>
        <v/>
      </c>
      <c r="E15" s="15" t="str">
        <f aca="false">IF(A15="","",IF(D15=0,"PAGÓ","DEBE"))</f>
        <v/>
      </c>
    </row>
    <row r="16" customFormat="false" ht="15" hidden="false" customHeight="false" outlineLevel="0" collapsed="false">
      <c r="A16" s="15" t="str">
        <f aca="false">IF(OR(Alumnos!A13="",Alumnos!E13="No"),"",Alumnos!A13)</f>
        <v/>
      </c>
      <c r="B16" s="16" t="str">
        <f aca="false">IF(A16="","",Alumnos!D13)</f>
        <v/>
      </c>
      <c r="C16" s="16" t="str">
        <f aca="false">IF(A16="","",SUMIFS(Pagos!$E$2:$E$3001,Pagos!$B$2:$B$3001,A16,Pagos!$C$2:$C$3001,$B$2,Pagos!$D$2:$D$3001,$D$2))</f>
        <v/>
      </c>
      <c r="D16" s="16" t="str">
        <f aca="false">IF(A16="","",MAX(0,B16-C16))</f>
        <v/>
      </c>
      <c r="E16" s="15" t="str">
        <f aca="false">IF(A16="","",IF(D16=0,"PAGÓ","DEBE"))</f>
        <v/>
      </c>
    </row>
    <row r="17" customFormat="false" ht="15" hidden="false" customHeight="false" outlineLevel="0" collapsed="false">
      <c r="A17" s="15" t="str">
        <f aca="false">IF(OR(Alumnos!A14="",Alumnos!E14="No"),"",Alumnos!A14)</f>
        <v/>
      </c>
      <c r="B17" s="16" t="str">
        <f aca="false">IF(A17="","",Alumnos!D14)</f>
        <v/>
      </c>
      <c r="C17" s="16" t="str">
        <f aca="false">IF(A17="","",SUMIFS(Pagos!$E$2:$E$3001,Pagos!$B$2:$B$3001,A17,Pagos!$C$2:$C$3001,$B$2,Pagos!$D$2:$D$3001,$D$2))</f>
        <v/>
      </c>
      <c r="D17" s="16" t="str">
        <f aca="false">IF(A17="","",MAX(0,B17-C17))</f>
        <v/>
      </c>
      <c r="E17" s="15" t="str">
        <f aca="false">IF(A17="","",IF(D17=0,"PAGÓ","DEBE"))</f>
        <v/>
      </c>
    </row>
    <row r="18" customFormat="false" ht="15" hidden="false" customHeight="false" outlineLevel="0" collapsed="false">
      <c r="A18" s="15" t="str">
        <f aca="false">IF(OR(Alumnos!A15="",Alumnos!E15="No"),"",Alumnos!A15)</f>
        <v/>
      </c>
      <c r="B18" s="16" t="str">
        <f aca="false">IF(A18="","",Alumnos!D15)</f>
        <v/>
      </c>
      <c r="C18" s="16" t="str">
        <f aca="false">IF(A18="","",SUMIFS(Pagos!$E$2:$E$3001,Pagos!$B$2:$B$3001,A18,Pagos!$C$2:$C$3001,$B$2,Pagos!$D$2:$D$3001,$D$2))</f>
        <v/>
      </c>
      <c r="D18" s="16" t="str">
        <f aca="false">IF(A18="","",MAX(0,B18-C18))</f>
        <v/>
      </c>
      <c r="E18" s="15" t="str">
        <f aca="false">IF(A18="","",IF(D18=0,"PAGÓ","DEBE"))</f>
        <v/>
      </c>
    </row>
    <row r="19" customFormat="false" ht="15" hidden="false" customHeight="false" outlineLevel="0" collapsed="false">
      <c r="A19" s="15" t="str">
        <f aca="false">IF(OR(Alumnos!A16="",Alumnos!E16="No"),"",Alumnos!A16)</f>
        <v/>
      </c>
      <c r="B19" s="16" t="str">
        <f aca="false">IF(A19="","",Alumnos!D16)</f>
        <v/>
      </c>
      <c r="C19" s="16" t="str">
        <f aca="false">IF(A19="","",SUMIFS(Pagos!$E$2:$E$3001,Pagos!$B$2:$B$3001,A19,Pagos!$C$2:$C$3001,$B$2,Pagos!$D$2:$D$3001,$D$2))</f>
        <v/>
      </c>
      <c r="D19" s="16" t="str">
        <f aca="false">IF(A19="","",MAX(0,B19-C19))</f>
        <v/>
      </c>
      <c r="E19" s="15" t="str">
        <f aca="false">IF(A19="","",IF(D19=0,"PAGÓ","DEBE"))</f>
        <v/>
      </c>
    </row>
    <row r="20" customFormat="false" ht="15" hidden="false" customHeight="false" outlineLevel="0" collapsed="false">
      <c r="A20" s="15" t="str">
        <f aca="false">IF(OR(Alumnos!A17="",Alumnos!E17="No"),"",Alumnos!A17)</f>
        <v/>
      </c>
      <c r="B20" s="16" t="str">
        <f aca="false">IF(A20="","",Alumnos!D17)</f>
        <v/>
      </c>
      <c r="C20" s="16" t="str">
        <f aca="false">IF(A20="","",SUMIFS(Pagos!$E$2:$E$3001,Pagos!$B$2:$B$3001,A20,Pagos!$C$2:$C$3001,$B$2,Pagos!$D$2:$D$3001,$D$2))</f>
        <v/>
      </c>
      <c r="D20" s="16" t="str">
        <f aca="false">IF(A20="","",MAX(0,B20-C20))</f>
        <v/>
      </c>
      <c r="E20" s="15" t="str">
        <f aca="false">IF(A20="","",IF(D20=0,"PAGÓ","DEBE"))</f>
        <v/>
      </c>
    </row>
    <row r="21" customFormat="false" ht="15" hidden="false" customHeight="false" outlineLevel="0" collapsed="false">
      <c r="A21" s="15" t="str">
        <f aca="false">IF(OR(Alumnos!A18="",Alumnos!E18="No"),"",Alumnos!A18)</f>
        <v/>
      </c>
      <c r="B21" s="16" t="str">
        <f aca="false">IF(A21="","",Alumnos!D18)</f>
        <v/>
      </c>
      <c r="C21" s="16" t="str">
        <f aca="false">IF(A21="","",SUMIFS(Pagos!$E$2:$E$3001,Pagos!$B$2:$B$3001,A21,Pagos!$C$2:$C$3001,$B$2,Pagos!$D$2:$D$3001,$D$2))</f>
        <v/>
      </c>
      <c r="D21" s="16" t="str">
        <f aca="false">IF(A21="","",MAX(0,B21-C21))</f>
        <v/>
      </c>
      <c r="E21" s="15" t="str">
        <f aca="false">IF(A21="","",IF(D21=0,"PAGÓ","DEBE"))</f>
        <v/>
      </c>
    </row>
    <row r="22" customFormat="false" ht="15" hidden="false" customHeight="false" outlineLevel="0" collapsed="false">
      <c r="A22" s="15" t="str">
        <f aca="false">IF(OR(Alumnos!A19="",Alumnos!E19="No"),"",Alumnos!A19)</f>
        <v/>
      </c>
      <c r="B22" s="16" t="str">
        <f aca="false">IF(A22="","",Alumnos!D19)</f>
        <v/>
      </c>
      <c r="C22" s="16" t="str">
        <f aca="false">IF(A22="","",SUMIFS(Pagos!$E$2:$E$3001,Pagos!$B$2:$B$3001,A22,Pagos!$C$2:$C$3001,$B$2,Pagos!$D$2:$D$3001,$D$2))</f>
        <v/>
      </c>
      <c r="D22" s="16" t="str">
        <f aca="false">IF(A22="","",MAX(0,B22-C22))</f>
        <v/>
      </c>
      <c r="E22" s="15" t="str">
        <f aca="false">IF(A22="","",IF(D22=0,"PAGÓ","DEBE"))</f>
        <v/>
      </c>
    </row>
    <row r="23" customFormat="false" ht="15" hidden="false" customHeight="false" outlineLevel="0" collapsed="false">
      <c r="A23" s="15" t="str">
        <f aca="false">IF(OR(Alumnos!A20="",Alumnos!E20="No"),"",Alumnos!A20)</f>
        <v/>
      </c>
      <c r="B23" s="16" t="str">
        <f aca="false">IF(A23="","",Alumnos!D20)</f>
        <v/>
      </c>
      <c r="C23" s="16" t="str">
        <f aca="false">IF(A23="","",SUMIFS(Pagos!$E$2:$E$3001,Pagos!$B$2:$B$3001,A23,Pagos!$C$2:$C$3001,$B$2,Pagos!$D$2:$D$3001,$D$2))</f>
        <v/>
      </c>
      <c r="D23" s="16" t="str">
        <f aca="false">IF(A23="","",MAX(0,B23-C23))</f>
        <v/>
      </c>
      <c r="E23" s="15" t="str">
        <f aca="false">IF(A23="","",IF(D23=0,"PAGÓ","DEBE"))</f>
        <v/>
      </c>
    </row>
    <row r="24" customFormat="false" ht="15" hidden="false" customHeight="false" outlineLevel="0" collapsed="false">
      <c r="A24" s="15" t="str">
        <f aca="false">IF(OR(Alumnos!A21="",Alumnos!E21="No"),"",Alumnos!A21)</f>
        <v/>
      </c>
      <c r="B24" s="16" t="str">
        <f aca="false">IF(A24="","",Alumnos!D21)</f>
        <v/>
      </c>
      <c r="C24" s="16" t="str">
        <f aca="false">IF(A24="","",SUMIFS(Pagos!$E$2:$E$3001,Pagos!$B$2:$B$3001,A24,Pagos!$C$2:$C$3001,$B$2,Pagos!$D$2:$D$3001,$D$2))</f>
        <v/>
      </c>
      <c r="D24" s="16" t="str">
        <f aca="false">IF(A24="","",MAX(0,B24-C24))</f>
        <v/>
      </c>
      <c r="E24" s="15" t="str">
        <f aca="false">IF(A24="","",IF(D24=0,"PAGÓ","DEBE"))</f>
        <v/>
      </c>
    </row>
    <row r="25" customFormat="false" ht="15" hidden="false" customHeight="false" outlineLevel="0" collapsed="false">
      <c r="A25" s="15" t="str">
        <f aca="false">IF(OR(Alumnos!A22="",Alumnos!E22="No"),"",Alumnos!A22)</f>
        <v/>
      </c>
      <c r="B25" s="16" t="str">
        <f aca="false">IF(A25="","",Alumnos!D22)</f>
        <v/>
      </c>
      <c r="C25" s="16" t="str">
        <f aca="false">IF(A25="","",SUMIFS(Pagos!$E$2:$E$3001,Pagos!$B$2:$B$3001,A25,Pagos!$C$2:$C$3001,$B$2,Pagos!$D$2:$D$3001,$D$2))</f>
        <v/>
      </c>
      <c r="D25" s="16" t="str">
        <f aca="false">IF(A25="","",MAX(0,B25-C25))</f>
        <v/>
      </c>
      <c r="E25" s="15" t="str">
        <f aca="false">IF(A25="","",IF(D25=0,"PAGÓ","DEBE"))</f>
        <v/>
      </c>
    </row>
    <row r="26" customFormat="false" ht="15" hidden="false" customHeight="false" outlineLevel="0" collapsed="false">
      <c r="A26" s="15" t="str">
        <f aca="false">IF(OR(Alumnos!A23="",Alumnos!E23="No"),"",Alumnos!A23)</f>
        <v/>
      </c>
      <c r="B26" s="16" t="str">
        <f aca="false">IF(A26="","",Alumnos!D23)</f>
        <v/>
      </c>
      <c r="C26" s="16" t="str">
        <f aca="false">IF(A26="","",SUMIFS(Pagos!$E$2:$E$3001,Pagos!$B$2:$B$3001,A26,Pagos!$C$2:$C$3001,$B$2,Pagos!$D$2:$D$3001,$D$2))</f>
        <v/>
      </c>
      <c r="D26" s="16" t="str">
        <f aca="false">IF(A26="","",MAX(0,B26-C26))</f>
        <v/>
      </c>
      <c r="E26" s="15" t="str">
        <f aca="false">IF(A26="","",IF(D26=0,"PAGÓ","DEBE"))</f>
        <v/>
      </c>
    </row>
    <row r="27" customFormat="false" ht="15" hidden="false" customHeight="false" outlineLevel="0" collapsed="false">
      <c r="A27" s="15" t="str">
        <f aca="false">IF(OR(Alumnos!A24="",Alumnos!E24="No"),"",Alumnos!A24)</f>
        <v/>
      </c>
      <c r="B27" s="16" t="str">
        <f aca="false">IF(A27="","",Alumnos!D24)</f>
        <v/>
      </c>
      <c r="C27" s="16" t="str">
        <f aca="false">IF(A27="","",SUMIFS(Pagos!$E$2:$E$3001,Pagos!$B$2:$B$3001,A27,Pagos!$C$2:$C$3001,$B$2,Pagos!$D$2:$D$3001,$D$2))</f>
        <v/>
      </c>
      <c r="D27" s="16" t="str">
        <f aca="false">IF(A27="","",MAX(0,B27-C27))</f>
        <v/>
      </c>
      <c r="E27" s="15" t="str">
        <f aca="false">IF(A27="","",IF(D27=0,"PAGÓ","DEBE"))</f>
        <v/>
      </c>
    </row>
    <row r="28" customFormat="false" ht="15" hidden="false" customHeight="false" outlineLevel="0" collapsed="false">
      <c r="A28" s="15" t="str">
        <f aca="false">IF(OR(Alumnos!A25="",Alumnos!E25="No"),"",Alumnos!A25)</f>
        <v/>
      </c>
      <c r="B28" s="16" t="str">
        <f aca="false">IF(A28="","",Alumnos!D25)</f>
        <v/>
      </c>
      <c r="C28" s="16" t="str">
        <f aca="false">IF(A28="","",SUMIFS(Pagos!$E$2:$E$3001,Pagos!$B$2:$B$3001,A28,Pagos!$C$2:$C$3001,$B$2,Pagos!$D$2:$D$3001,$D$2))</f>
        <v/>
      </c>
      <c r="D28" s="16" t="str">
        <f aca="false">IF(A28="","",MAX(0,B28-C28))</f>
        <v/>
      </c>
      <c r="E28" s="15" t="str">
        <f aca="false">IF(A28="","",IF(D28=0,"PAGÓ","DEBE"))</f>
        <v/>
      </c>
    </row>
    <row r="29" customFormat="false" ht="15" hidden="false" customHeight="false" outlineLevel="0" collapsed="false">
      <c r="A29" s="15" t="str">
        <f aca="false">IF(OR(Alumnos!A26="",Alumnos!E26="No"),"",Alumnos!A26)</f>
        <v/>
      </c>
      <c r="B29" s="16" t="str">
        <f aca="false">IF(A29="","",Alumnos!D26)</f>
        <v/>
      </c>
      <c r="C29" s="16" t="str">
        <f aca="false">IF(A29="","",SUMIFS(Pagos!$E$2:$E$3001,Pagos!$B$2:$B$3001,A29,Pagos!$C$2:$C$3001,$B$2,Pagos!$D$2:$D$3001,$D$2))</f>
        <v/>
      </c>
      <c r="D29" s="16" t="str">
        <f aca="false">IF(A29="","",MAX(0,B29-C29))</f>
        <v/>
      </c>
      <c r="E29" s="15" t="str">
        <f aca="false">IF(A29="","",IF(D29=0,"PAGÓ","DEBE"))</f>
        <v/>
      </c>
    </row>
    <row r="30" customFormat="false" ht="15" hidden="false" customHeight="false" outlineLevel="0" collapsed="false">
      <c r="A30" s="15" t="str">
        <f aca="false">IF(OR(Alumnos!A27="",Alumnos!E27="No"),"",Alumnos!A27)</f>
        <v/>
      </c>
      <c r="B30" s="16" t="str">
        <f aca="false">IF(A30="","",Alumnos!D27)</f>
        <v/>
      </c>
      <c r="C30" s="16" t="str">
        <f aca="false">IF(A30="","",SUMIFS(Pagos!$E$2:$E$3001,Pagos!$B$2:$B$3001,A30,Pagos!$C$2:$C$3001,$B$2,Pagos!$D$2:$D$3001,$D$2))</f>
        <v/>
      </c>
      <c r="D30" s="16" t="str">
        <f aca="false">IF(A30="","",MAX(0,B30-C30))</f>
        <v/>
      </c>
      <c r="E30" s="15" t="str">
        <f aca="false">IF(A30="","",IF(D30=0,"PAGÓ","DEBE"))</f>
        <v/>
      </c>
    </row>
    <row r="31" customFormat="false" ht="15" hidden="false" customHeight="false" outlineLevel="0" collapsed="false">
      <c r="A31" s="15" t="str">
        <f aca="false">IF(OR(Alumnos!A28="",Alumnos!E28="No"),"",Alumnos!A28)</f>
        <v/>
      </c>
      <c r="B31" s="16" t="str">
        <f aca="false">IF(A31="","",Alumnos!D28)</f>
        <v/>
      </c>
      <c r="C31" s="16" t="str">
        <f aca="false">IF(A31="","",SUMIFS(Pagos!$E$2:$E$3001,Pagos!$B$2:$B$3001,A31,Pagos!$C$2:$C$3001,$B$2,Pagos!$D$2:$D$3001,$D$2))</f>
        <v/>
      </c>
      <c r="D31" s="16" t="str">
        <f aca="false">IF(A31="","",MAX(0,B31-C31))</f>
        <v/>
      </c>
      <c r="E31" s="15" t="str">
        <f aca="false">IF(A31="","",IF(D31=0,"PAGÓ","DEBE"))</f>
        <v/>
      </c>
    </row>
    <row r="32" customFormat="false" ht="15" hidden="false" customHeight="false" outlineLevel="0" collapsed="false">
      <c r="A32" s="15" t="str">
        <f aca="false">IF(OR(Alumnos!A29="",Alumnos!E29="No"),"",Alumnos!A29)</f>
        <v/>
      </c>
      <c r="B32" s="16" t="str">
        <f aca="false">IF(A32="","",Alumnos!D29)</f>
        <v/>
      </c>
      <c r="C32" s="16" t="str">
        <f aca="false">IF(A32="","",SUMIFS(Pagos!$E$2:$E$3001,Pagos!$B$2:$B$3001,A32,Pagos!$C$2:$C$3001,$B$2,Pagos!$D$2:$D$3001,$D$2))</f>
        <v/>
      </c>
      <c r="D32" s="16" t="str">
        <f aca="false">IF(A32="","",MAX(0,B32-C32))</f>
        <v/>
      </c>
      <c r="E32" s="15" t="str">
        <f aca="false">IF(A32="","",IF(D32=0,"PAGÓ","DEBE"))</f>
        <v/>
      </c>
    </row>
    <row r="33" customFormat="false" ht="15" hidden="false" customHeight="false" outlineLevel="0" collapsed="false">
      <c r="A33" s="15" t="str">
        <f aca="false">IF(OR(Alumnos!A30="",Alumnos!E30="No"),"",Alumnos!A30)</f>
        <v/>
      </c>
      <c r="B33" s="16" t="str">
        <f aca="false">IF(A33="","",Alumnos!D30)</f>
        <v/>
      </c>
      <c r="C33" s="16" t="str">
        <f aca="false">IF(A33="","",SUMIFS(Pagos!$E$2:$E$3001,Pagos!$B$2:$B$3001,A33,Pagos!$C$2:$C$3001,$B$2,Pagos!$D$2:$D$3001,$D$2))</f>
        <v/>
      </c>
      <c r="D33" s="16" t="str">
        <f aca="false">IF(A33="","",MAX(0,B33-C33))</f>
        <v/>
      </c>
      <c r="E33" s="15" t="str">
        <f aca="false">IF(A33="","",IF(D33=0,"PAGÓ","DEBE"))</f>
        <v/>
      </c>
    </row>
    <row r="34" customFormat="false" ht="15" hidden="false" customHeight="false" outlineLevel="0" collapsed="false">
      <c r="A34" s="15" t="str">
        <f aca="false">IF(OR(Alumnos!A31="",Alumnos!E31="No"),"",Alumnos!A31)</f>
        <v/>
      </c>
      <c r="B34" s="16" t="str">
        <f aca="false">IF(A34="","",Alumnos!D31)</f>
        <v/>
      </c>
      <c r="C34" s="16" t="str">
        <f aca="false">IF(A34="","",SUMIFS(Pagos!$E$2:$E$3001,Pagos!$B$2:$B$3001,A34,Pagos!$C$2:$C$3001,$B$2,Pagos!$D$2:$D$3001,$D$2))</f>
        <v/>
      </c>
      <c r="D34" s="16" t="str">
        <f aca="false">IF(A34="","",MAX(0,B34-C34))</f>
        <v/>
      </c>
      <c r="E34" s="15" t="str">
        <f aca="false">IF(A34="","",IF(D34=0,"PAGÓ","DEBE"))</f>
        <v/>
      </c>
    </row>
    <row r="35" customFormat="false" ht="15" hidden="false" customHeight="false" outlineLevel="0" collapsed="false">
      <c r="A35" s="15" t="str">
        <f aca="false">IF(OR(Alumnos!A32="",Alumnos!E32="No"),"",Alumnos!A32)</f>
        <v/>
      </c>
      <c r="B35" s="16" t="str">
        <f aca="false">IF(A35="","",Alumnos!D32)</f>
        <v/>
      </c>
      <c r="C35" s="16" t="str">
        <f aca="false">IF(A35="","",SUMIFS(Pagos!$E$2:$E$3001,Pagos!$B$2:$B$3001,A35,Pagos!$C$2:$C$3001,$B$2,Pagos!$D$2:$D$3001,$D$2))</f>
        <v/>
      </c>
      <c r="D35" s="16" t="str">
        <f aca="false">IF(A35="","",MAX(0,B35-C35))</f>
        <v/>
      </c>
      <c r="E35" s="15" t="str">
        <f aca="false">IF(A35="","",IF(D35=0,"PAGÓ","DEBE"))</f>
        <v/>
      </c>
    </row>
    <row r="36" customFormat="false" ht="15" hidden="false" customHeight="false" outlineLevel="0" collapsed="false">
      <c r="A36" s="15" t="str">
        <f aca="false">IF(OR(Alumnos!A33="",Alumnos!E33="No"),"",Alumnos!A33)</f>
        <v/>
      </c>
      <c r="B36" s="16" t="str">
        <f aca="false">IF(A36="","",Alumnos!D33)</f>
        <v/>
      </c>
      <c r="C36" s="16" t="str">
        <f aca="false">IF(A36="","",SUMIFS(Pagos!$E$2:$E$3001,Pagos!$B$2:$B$3001,A36,Pagos!$C$2:$C$3001,$B$2,Pagos!$D$2:$D$3001,$D$2))</f>
        <v/>
      </c>
      <c r="D36" s="16" t="str">
        <f aca="false">IF(A36="","",MAX(0,B36-C36))</f>
        <v/>
      </c>
      <c r="E36" s="15" t="str">
        <f aca="false">IF(A36="","",IF(D36=0,"PAGÓ","DEBE"))</f>
        <v/>
      </c>
    </row>
    <row r="37" customFormat="false" ht="15" hidden="false" customHeight="false" outlineLevel="0" collapsed="false">
      <c r="A37" s="15" t="str">
        <f aca="false">IF(OR(Alumnos!A34="",Alumnos!E34="No"),"",Alumnos!A34)</f>
        <v/>
      </c>
      <c r="B37" s="16" t="str">
        <f aca="false">IF(A37="","",Alumnos!D34)</f>
        <v/>
      </c>
      <c r="C37" s="16" t="str">
        <f aca="false">IF(A37="","",SUMIFS(Pagos!$E$2:$E$3001,Pagos!$B$2:$B$3001,A37,Pagos!$C$2:$C$3001,$B$2,Pagos!$D$2:$D$3001,$D$2))</f>
        <v/>
      </c>
      <c r="D37" s="16" t="str">
        <f aca="false">IF(A37="","",MAX(0,B37-C37))</f>
        <v/>
      </c>
      <c r="E37" s="15" t="str">
        <f aca="false">IF(A37="","",IF(D37=0,"PAGÓ","DEBE"))</f>
        <v/>
      </c>
    </row>
    <row r="38" customFormat="false" ht="15" hidden="false" customHeight="false" outlineLevel="0" collapsed="false">
      <c r="A38" s="15" t="str">
        <f aca="false">IF(OR(Alumnos!A35="",Alumnos!E35="No"),"",Alumnos!A35)</f>
        <v/>
      </c>
      <c r="B38" s="16" t="str">
        <f aca="false">IF(A38="","",Alumnos!D35)</f>
        <v/>
      </c>
      <c r="C38" s="16" t="str">
        <f aca="false">IF(A38="","",SUMIFS(Pagos!$E$2:$E$3001,Pagos!$B$2:$B$3001,A38,Pagos!$C$2:$C$3001,$B$2,Pagos!$D$2:$D$3001,$D$2))</f>
        <v/>
      </c>
      <c r="D38" s="16" t="str">
        <f aca="false">IF(A38="","",MAX(0,B38-C38))</f>
        <v/>
      </c>
      <c r="E38" s="15" t="str">
        <f aca="false">IF(A38="","",IF(D38=0,"PAGÓ","DEBE"))</f>
        <v/>
      </c>
    </row>
    <row r="39" customFormat="false" ht="15" hidden="false" customHeight="false" outlineLevel="0" collapsed="false">
      <c r="A39" s="15" t="str">
        <f aca="false">IF(OR(Alumnos!A36="",Alumnos!E36="No"),"",Alumnos!A36)</f>
        <v/>
      </c>
      <c r="B39" s="16" t="str">
        <f aca="false">IF(A39="","",Alumnos!D36)</f>
        <v/>
      </c>
      <c r="C39" s="16" t="str">
        <f aca="false">IF(A39="","",SUMIFS(Pagos!$E$2:$E$3001,Pagos!$B$2:$B$3001,A39,Pagos!$C$2:$C$3001,$B$2,Pagos!$D$2:$D$3001,$D$2))</f>
        <v/>
      </c>
      <c r="D39" s="16" t="str">
        <f aca="false">IF(A39="","",MAX(0,B39-C39))</f>
        <v/>
      </c>
      <c r="E39" s="15" t="str">
        <f aca="false">IF(A39="","",IF(D39=0,"PAGÓ","DEBE"))</f>
        <v/>
      </c>
    </row>
    <row r="40" customFormat="false" ht="15" hidden="false" customHeight="false" outlineLevel="0" collapsed="false">
      <c r="A40" s="15" t="str">
        <f aca="false">IF(OR(Alumnos!A37="",Alumnos!E37="No"),"",Alumnos!A37)</f>
        <v/>
      </c>
      <c r="B40" s="16" t="str">
        <f aca="false">IF(A40="","",Alumnos!D37)</f>
        <v/>
      </c>
      <c r="C40" s="16" t="str">
        <f aca="false">IF(A40="","",SUMIFS(Pagos!$E$2:$E$3001,Pagos!$B$2:$B$3001,A40,Pagos!$C$2:$C$3001,$B$2,Pagos!$D$2:$D$3001,$D$2))</f>
        <v/>
      </c>
      <c r="D40" s="16" t="str">
        <f aca="false">IF(A40="","",MAX(0,B40-C40))</f>
        <v/>
      </c>
      <c r="E40" s="15" t="str">
        <f aca="false">IF(A40="","",IF(D40=0,"PAGÓ","DEBE"))</f>
        <v/>
      </c>
    </row>
    <row r="41" customFormat="false" ht="15" hidden="false" customHeight="false" outlineLevel="0" collapsed="false">
      <c r="A41" s="15" t="str">
        <f aca="false">IF(OR(Alumnos!A38="",Alumnos!E38="No"),"",Alumnos!A38)</f>
        <v/>
      </c>
      <c r="B41" s="16" t="str">
        <f aca="false">IF(A41="","",Alumnos!D38)</f>
        <v/>
      </c>
      <c r="C41" s="16" t="str">
        <f aca="false">IF(A41="","",SUMIFS(Pagos!$E$2:$E$3001,Pagos!$B$2:$B$3001,A41,Pagos!$C$2:$C$3001,$B$2,Pagos!$D$2:$D$3001,$D$2))</f>
        <v/>
      </c>
      <c r="D41" s="16" t="str">
        <f aca="false">IF(A41="","",MAX(0,B41-C41))</f>
        <v/>
      </c>
      <c r="E41" s="15" t="str">
        <f aca="false">IF(A41="","",IF(D41=0,"PAGÓ","DEBE"))</f>
        <v/>
      </c>
    </row>
    <row r="42" customFormat="false" ht="15" hidden="false" customHeight="false" outlineLevel="0" collapsed="false">
      <c r="A42" s="15" t="str">
        <f aca="false">IF(OR(Alumnos!A39="",Alumnos!E39="No"),"",Alumnos!A39)</f>
        <v/>
      </c>
      <c r="B42" s="16" t="str">
        <f aca="false">IF(A42="","",Alumnos!D39)</f>
        <v/>
      </c>
      <c r="C42" s="16" t="str">
        <f aca="false">IF(A42="","",SUMIFS(Pagos!$E$2:$E$3001,Pagos!$B$2:$B$3001,A42,Pagos!$C$2:$C$3001,$B$2,Pagos!$D$2:$D$3001,$D$2))</f>
        <v/>
      </c>
      <c r="D42" s="16" t="str">
        <f aca="false">IF(A42="","",MAX(0,B42-C42))</f>
        <v/>
      </c>
      <c r="E42" s="15" t="str">
        <f aca="false">IF(A42="","",IF(D42=0,"PAGÓ","DEBE"))</f>
        <v/>
      </c>
    </row>
    <row r="43" customFormat="false" ht="15" hidden="false" customHeight="false" outlineLevel="0" collapsed="false">
      <c r="A43" s="15" t="str">
        <f aca="false">IF(OR(Alumnos!A40="",Alumnos!E40="No"),"",Alumnos!A40)</f>
        <v/>
      </c>
      <c r="B43" s="16" t="str">
        <f aca="false">IF(A43="","",Alumnos!D40)</f>
        <v/>
      </c>
      <c r="C43" s="16" t="str">
        <f aca="false">IF(A43="","",SUMIFS(Pagos!$E$2:$E$3001,Pagos!$B$2:$B$3001,A43,Pagos!$C$2:$C$3001,$B$2,Pagos!$D$2:$D$3001,$D$2))</f>
        <v/>
      </c>
      <c r="D43" s="16" t="str">
        <f aca="false">IF(A43="","",MAX(0,B43-C43))</f>
        <v/>
      </c>
      <c r="E43" s="15" t="str">
        <f aca="false">IF(A43="","",IF(D43=0,"PAGÓ","DEBE"))</f>
        <v/>
      </c>
    </row>
    <row r="44" customFormat="false" ht="15" hidden="false" customHeight="false" outlineLevel="0" collapsed="false">
      <c r="A44" s="15" t="str">
        <f aca="false">IF(OR(Alumnos!A41="",Alumnos!E41="No"),"",Alumnos!A41)</f>
        <v/>
      </c>
      <c r="B44" s="16" t="str">
        <f aca="false">IF(A44="","",Alumnos!D41)</f>
        <v/>
      </c>
      <c r="C44" s="16" t="str">
        <f aca="false">IF(A44="","",SUMIFS(Pagos!$E$2:$E$3001,Pagos!$B$2:$B$3001,A44,Pagos!$C$2:$C$3001,$B$2,Pagos!$D$2:$D$3001,$D$2))</f>
        <v/>
      </c>
      <c r="D44" s="16" t="str">
        <f aca="false">IF(A44="","",MAX(0,B44-C44))</f>
        <v/>
      </c>
      <c r="E44" s="15" t="str">
        <f aca="false">IF(A44="","",IF(D44=0,"PAGÓ","DEBE"))</f>
        <v/>
      </c>
    </row>
    <row r="45" customFormat="false" ht="15" hidden="false" customHeight="false" outlineLevel="0" collapsed="false">
      <c r="A45" s="15" t="str">
        <f aca="false">IF(OR(Alumnos!A42="",Alumnos!E42="No"),"",Alumnos!A42)</f>
        <v/>
      </c>
      <c r="B45" s="16" t="str">
        <f aca="false">IF(A45="","",Alumnos!D42)</f>
        <v/>
      </c>
      <c r="C45" s="16" t="str">
        <f aca="false">IF(A45="","",SUMIFS(Pagos!$E$2:$E$3001,Pagos!$B$2:$B$3001,A45,Pagos!$C$2:$C$3001,$B$2,Pagos!$D$2:$D$3001,$D$2))</f>
        <v/>
      </c>
      <c r="D45" s="16" t="str">
        <f aca="false">IF(A45="","",MAX(0,B45-C45))</f>
        <v/>
      </c>
      <c r="E45" s="15" t="str">
        <f aca="false">IF(A45="","",IF(D45=0,"PAGÓ","DEBE"))</f>
        <v/>
      </c>
    </row>
    <row r="46" customFormat="false" ht="15" hidden="false" customHeight="false" outlineLevel="0" collapsed="false">
      <c r="A46" s="15" t="str">
        <f aca="false">IF(OR(Alumnos!A43="",Alumnos!E43="No"),"",Alumnos!A43)</f>
        <v/>
      </c>
      <c r="B46" s="16" t="str">
        <f aca="false">IF(A46="","",Alumnos!D43)</f>
        <v/>
      </c>
      <c r="C46" s="16" t="str">
        <f aca="false">IF(A46="","",SUMIFS(Pagos!$E$2:$E$3001,Pagos!$B$2:$B$3001,A46,Pagos!$C$2:$C$3001,$B$2,Pagos!$D$2:$D$3001,$D$2))</f>
        <v/>
      </c>
      <c r="D46" s="16" t="str">
        <f aca="false">IF(A46="","",MAX(0,B46-C46))</f>
        <v/>
      </c>
      <c r="E46" s="15" t="str">
        <f aca="false">IF(A46="","",IF(D46=0,"PAGÓ","DEBE"))</f>
        <v/>
      </c>
    </row>
    <row r="47" customFormat="false" ht="15" hidden="false" customHeight="false" outlineLevel="0" collapsed="false">
      <c r="A47" s="15" t="str">
        <f aca="false">IF(OR(Alumnos!A44="",Alumnos!E44="No"),"",Alumnos!A44)</f>
        <v/>
      </c>
      <c r="B47" s="16" t="str">
        <f aca="false">IF(A47="","",Alumnos!D44)</f>
        <v/>
      </c>
      <c r="C47" s="16" t="str">
        <f aca="false">IF(A47="","",SUMIFS(Pagos!$E$2:$E$3001,Pagos!$B$2:$B$3001,A47,Pagos!$C$2:$C$3001,$B$2,Pagos!$D$2:$D$3001,$D$2))</f>
        <v/>
      </c>
      <c r="D47" s="16" t="str">
        <f aca="false">IF(A47="","",MAX(0,B47-C47))</f>
        <v/>
      </c>
      <c r="E47" s="15" t="str">
        <f aca="false">IF(A47="","",IF(D47=0,"PAGÓ","DEBE"))</f>
        <v/>
      </c>
    </row>
    <row r="48" customFormat="false" ht="15" hidden="false" customHeight="false" outlineLevel="0" collapsed="false">
      <c r="A48" s="15" t="str">
        <f aca="false">IF(OR(Alumnos!A45="",Alumnos!E45="No"),"",Alumnos!A45)</f>
        <v/>
      </c>
      <c r="B48" s="16" t="str">
        <f aca="false">IF(A48="","",Alumnos!D45)</f>
        <v/>
      </c>
      <c r="C48" s="16" t="str">
        <f aca="false">IF(A48="","",SUMIFS(Pagos!$E$2:$E$3001,Pagos!$B$2:$B$3001,A48,Pagos!$C$2:$C$3001,$B$2,Pagos!$D$2:$D$3001,$D$2))</f>
        <v/>
      </c>
      <c r="D48" s="16" t="str">
        <f aca="false">IF(A48="","",MAX(0,B48-C48))</f>
        <v/>
      </c>
      <c r="E48" s="15" t="str">
        <f aca="false">IF(A48="","",IF(D48=0,"PAGÓ","DEBE"))</f>
        <v/>
      </c>
    </row>
    <row r="49" customFormat="false" ht="15" hidden="false" customHeight="false" outlineLevel="0" collapsed="false">
      <c r="A49" s="15" t="str">
        <f aca="false">IF(OR(Alumnos!A46="",Alumnos!E46="No"),"",Alumnos!A46)</f>
        <v/>
      </c>
      <c r="B49" s="16" t="str">
        <f aca="false">IF(A49="","",Alumnos!D46)</f>
        <v/>
      </c>
      <c r="C49" s="16" t="str">
        <f aca="false">IF(A49="","",SUMIFS(Pagos!$E$2:$E$3001,Pagos!$B$2:$B$3001,A49,Pagos!$C$2:$C$3001,$B$2,Pagos!$D$2:$D$3001,$D$2))</f>
        <v/>
      </c>
      <c r="D49" s="16" t="str">
        <f aca="false">IF(A49="","",MAX(0,B49-C49))</f>
        <v/>
      </c>
      <c r="E49" s="15" t="str">
        <f aca="false">IF(A49="","",IF(D49=0,"PAGÓ","DEBE"))</f>
        <v/>
      </c>
    </row>
    <row r="50" customFormat="false" ht="15" hidden="false" customHeight="false" outlineLevel="0" collapsed="false">
      <c r="A50" s="15" t="str">
        <f aca="false">IF(OR(Alumnos!A47="",Alumnos!E47="No"),"",Alumnos!A47)</f>
        <v/>
      </c>
      <c r="B50" s="16" t="str">
        <f aca="false">IF(A50="","",Alumnos!D47)</f>
        <v/>
      </c>
      <c r="C50" s="16" t="str">
        <f aca="false">IF(A50="","",SUMIFS(Pagos!$E$2:$E$3001,Pagos!$B$2:$B$3001,A50,Pagos!$C$2:$C$3001,$B$2,Pagos!$D$2:$D$3001,$D$2))</f>
        <v/>
      </c>
      <c r="D50" s="16" t="str">
        <f aca="false">IF(A50="","",MAX(0,B50-C50))</f>
        <v/>
      </c>
      <c r="E50" s="15" t="str">
        <f aca="false">IF(A50="","",IF(D50=0,"PAGÓ","DEBE"))</f>
        <v/>
      </c>
    </row>
    <row r="51" customFormat="false" ht="15" hidden="false" customHeight="false" outlineLevel="0" collapsed="false">
      <c r="A51" s="15" t="str">
        <f aca="false">IF(OR(Alumnos!A48="",Alumnos!E48="No"),"",Alumnos!A48)</f>
        <v/>
      </c>
      <c r="B51" s="16" t="str">
        <f aca="false">IF(A51="","",Alumnos!D48)</f>
        <v/>
      </c>
      <c r="C51" s="16" t="str">
        <f aca="false">IF(A51="","",SUMIFS(Pagos!$E$2:$E$3001,Pagos!$B$2:$B$3001,A51,Pagos!$C$2:$C$3001,$B$2,Pagos!$D$2:$D$3001,$D$2))</f>
        <v/>
      </c>
      <c r="D51" s="16" t="str">
        <f aca="false">IF(A51="","",MAX(0,B51-C51))</f>
        <v/>
      </c>
      <c r="E51" s="15" t="str">
        <f aca="false">IF(A51="","",IF(D51=0,"PAGÓ","DEBE"))</f>
        <v/>
      </c>
    </row>
    <row r="52" customFormat="false" ht="15" hidden="false" customHeight="false" outlineLevel="0" collapsed="false">
      <c r="A52" s="15" t="str">
        <f aca="false">IF(OR(Alumnos!A49="",Alumnos!E49="No"),"",Alumnos!A49)</f>
        <v/>
      </c>
      <c r="B52" s="16" t="str">
        <f aca="false">IF(A52="","",Alumnos!D49)</f>
        <v/>
      </c>
      <c r="C52" s="16" t="str">
        <f aca="false">IF(A52="","",SUMIFS(Pagos!$E$2:$E$3001,Pagos!$B$2:$B$3001,A52,Pagos!$C$2:$C$3001,$B$2,Pagos!$D$2:$D$3001,$D$2))</f>
        <v/>
      </c>
      <c r="D52" s="16" t="str">
        <f aca="false">IF(A52="","",MAX(0,B52-C52))</f>
        <v/>
      </c>
      <c r="E52" s="15" t="str">
        <f aca="false">IF(A52="","",IF(D52=0,"PAGÓ","DEBE"))</f>
        <v/>
      </c>
    </row>
    <row r="53" customFormat="false" ht="15" hidden="false" customHeight="false" outlineLevel="0" collapsed="false">
      <c r="A53" s="15" t="str">
        <f aca="false">IF(OR(Alumnos!A50="",Alumnos!E50="No"),"",Alumnos!A50)</f>
        <v/>
      </c>
      <c r="B53" s="16" t="str">
        <f aca="false">IF(A53="","",Alumnos!D50)</f>
        <v/>
      </c>
      <c r="C53" s="16" t="str">
        <f aca="false">IF(A53="","",SUMIFS(Pagos!$E$2:$E$3001,Pagos!$B$2:$B$3001,A53,Pagos!$C$2:$C$3001,$B$2,Pagos!$D$2:$D$3001,$D$2))</f>
        <v/>
      </c>
      <c r="D53" s="16" t="str">
        <f aca="false">IF(A53="","",MAX(0,B53-C53))</f>
        <v/>
      </c>
      <c r="E53" s="15" t="str">
        <f aca="false">IF(A53="","",IF(D53=0,"PAGÓ","DEBE"))</f>
        <v/>
      </c>
    </row>
    <row r="54" customFormat="false" ht="15" hidden="false" customHeight="false" outlineLevel="0" collapsed="false">
      <c r="A54" s="15" t="str">
        <f aca="false">IF(OR(Alumnos!A51="",Alumnos!E51="No"),"",Alumnos!A51)</f>
        <v/>
      </c>
      <c r="B54" s="16" t="str">
        <f aca="false">IF(A54="","",Alumnos!D51)</f>
        <v/>
      </c>
      <c r="C54" s="16" t="str">
        <f aca="false">IF(A54="","",SUMIFS(Pagos!$E$2:$E$3001,Pagos!$B$2:$B$3001,A54,Pagos!$C$2:$C$3001,$B$2,Pagos!$D$2:$D$3001,$D$2))</f>
        <v/>
      </c>
      <c r="D54" s="16" t="str">
        <f aca="false">IF(A54="","",MAX(0,B54-C54))</f>
        <v/>
      </c>
      <c r="E54" s="15" t="str">
        <f aca="false">IF(A54="","",IF(D54=0,"PAGÓ","DEBE"))</f>
        <v/>
      </c>
    </row>
    <row r="55" customFormat="false" ht="15" hidden="false" customHeight="false" outlineLevel="0" collapsed="false">
      <c r="A55" s="15" t="str">
        <f aca="false">IF(OR(Alumnos!A52="",Alumnos!E52="No"),"",Alumnos!A52)</f>
        <v/>
      </c>
      <c r="B55" s="16" t="str">
        <f aca="false">IF(A55="","",Alumnos!D52)</f>
        <v/>
      </c>
      <c r="C55" s="16" t="str">
        <f aca="false">IF(A55="","",SUMIFS(Pagos!$E$2:$E$3001,Pagos!$B$2:$B$3001,A55,Pagos!$C$2:$C$3001,$B$2,Pagos!$D$2:$D$3001,$D$2))</f>
        <v/>
      </c>
      <c r="D55" s="16" t="str">
        <f aca="false">IF(A55="","",MAX(0,B55-C55))</f>
        <v/>
      </c>
      <c r="E55" s="15" t="str">
        <f aca="false">IF(A55="","",IF(D55=0,"PAGÓ","DEBE"))</f>
        <v/>
      </c>
    </row>
    <row r="56" customFormat="false" ht="15" hidden="false" customHeight="false" outlineLevel="0" collapsed="false">
      <c r="A56" s="15" t="str">
        <f aca="false">IF(OR(Alumnos!A53="",Alumnos!E53="No"),"",Alumnos!A53)</f>
        <v/>
      </c>
      <c r="B56" s="16" t="str">
        <f aca="false">IF(A56="","",Alumnos!D53)</f>
        <v/>
      </c>
      <c r="C56" s="16" t="str">
        <f aca="false">IF(A56="","",SUMIFS(Pagos!$E$2:$E$3001,Pagos!$B$2:$B$3001,A56,Pagos!$C$2:$C$3001,$B$2,Pagos!$D$2:$D$3001,$D$2))</f>
        <v/>
      </c>
      <c r="D56" s="16" t="str">
        <f aca="false">IF(A56="","",MAX(0,B56-C56))</f>
        <v/>
      </c>
      <c r="E56" s="15" t="str">
        <f aca="false">IF(A56="","",IF(D56=0,"PAGÓ","DEBE"))</f>
        <v/>
      </c>
    </row>
    <row r="57" customFormat="false" ht="15" hidden="false" customHeight="false" outlineLevel="0" collapsed="false">
      <c r="A57" s="15" t="str">
        <f aca="false">IF(OR(Alumnos!A54="",Alumnos!E54="No"),"",Alumnos!A54)</f>
        <v/>
      </c>
      <c r="B57" s="16" t="str">
        <f aca="false">IF(A57="","",Alumnos!D54)</f>
        <v/>
      </c>
      <c r="C57" s="16" t="str">
        <f aca="false">IF(A57="","",SUMIFS(Pagos!$E$2:$E$3001,Pagos!$B$2:$B$3001,A57,Pagos!$C$2:$C$3001,$B$2,Pagos!$D$2:$D$3001,$D$2))</f>
        <v/>
      </c>
      <c r="D57" s="16" t="str">
        <f aca="false">IF(A57="","",MAX(0,B57-C57))</f>
        <v/>
      </c>
      <c r="E57" s="15" t="str">
        <f aca="false">IF(A57="","",IF(D57=0,"PAGÓ","DEBE"))</f>
        <v/>
      </c>
    </row>
    <row r="58" customFormat="false" ht="15" hidden="false" customHeight="false" outlineLevel="0" collapsed="false">
      <c r="A58" s="15" t="str">
        <f aca="false">IF(OR(Alumnos!A55="",Alumnos!E55="No"),"",Alumnos!A55)</f>
        <v/>
      </c>
      <c r="B58" s="16" t="str">
        <f aca="false">IF(A58="","",Alumnos!D55)</f>
        <v/>
      </c>
      <c r="C58" s="16" t="str">
        <f aca="false">IF(A58="","",SUMIFS(Pagos!$E$2:$E$3001,Pagos!$B$2:$B$3001,A58,Pagos!$C$2:$C$3001,$B$2,Pagos!$D$2:$D$3001,$D$2))</f>
        <v/>
      </c>
      <c r="D58" s="16" t="str">
        <f aca="false">IF(A58="","",MAX(0,B58-C58))</f>
        <v/>
      </c>
      <c r="E58" s="15" t="str">
        <f aca="false">IF(A58="","",IF(D58=0,"PAGÓ","DEBE"))</f>
        <v/>
      </c>
    </row>
    <row r="59" customFormat="false" ht="15" hidden="false" customHeight="false" outlineLevel="0" collapsed="false">
      <c r="A59" s="15" t="str">
        <f aca="false">IF(OR(Alumnos!A56="",Alumnos!E56="No"),"",Alumnos!A56)</f>
        <v/>
      </c>
      <c r="B59" s="16" t="str">
        <f aca="false">IF(A59="","",Alumnos!D56)</f>
        <v/>
      </c>
      <c r="C59" s="16" t="str">
        <f aca="false">IF(A59="","",SUMIFS(Pagos!$E$2:$E$3001,Pagos!$B$2:$B$3001,A59,Pagos!$C$2:$C$3001,$B$2,Pagos!$D$2:$D$3001,$D$2))</f>
        <v/>
      </c>
      <c r="D59" s="16" t="str">
        <f aca="false">IF(A59="","",MAX(0,B59-C59))</f>
        <v/>
      </c>
      <c r="E59" s="15" t="str">
        <f aca="false">IF(A59="","",IF(D59=0,"PAGÓ","DEBE"))</f>
        <v/>
      </c>
    </row>
    <row r="60" customFormat="false" ht="15" hidden="false" customHeight="false" outlineLevel="0" collapsed="false">
      <c r="A60" s="15" t="str">
        <f aca="false">IF(OR(Alumnos!A57="",Alumnos!E57="No"),"",Alumnos!A57)</f>
        <v/>
      </c>
      <c r="B60" s="16" t="str">
        <f aca="false">IF(A60="","",Alumnos!D57)</f>
        <v/>
      </c>
      <c r="C60" s="16" t="str">
        <f aca="false">IF(A60="","",SUMIFS(Pagos!$E$2:$E$3001,Pagos!$B$2:$B$3001,A60,Pagos!$C$2:$C$3001,$B$2,Pagos!$D$2:$D$3001,$D$2))</f>
        <v/>
      </c>
      <c r="D60" s="16" t="str">
        <f aca="false">IF(A60="","",MAX(0,B60-C60))</f>
        <v/>
      </c>
      <c r="E60" s="15" t="str">
        <f aca="false">IF(A60="","",IF(D60=0,"PAGÓ","DEBE"))</f>
        <v/>
      </c>
    </row>
    <row r="61" customFormat="false" ht="15" hidden="false" customHeight="false" outlineLevel="0" collapsed="false">
      <c r="A61" s="15" t="str">
        <f aca="false">IF(OR(Alumnos!A58="",Alumnos!E58="No"),"",Alumnos!A58)</f>
        <v/>
      </c>
      <c r="B61" s="16" t="str">
        <f aca="false">IF(A61="","",Alumnos!D58)</f>
        <v/>
      </c>
      <c r="C61" s="16" t="str">
        <f aca="false">IF(A61="","",SUMIFS(Pagos!$E$2:$E$3001,Pagos!$B$2:$B$3001,A61,Pagos!$C$2:$C$3001,$B$2,Pagos!$D$2:$D$3001,$D$2))</f>
        <v/>
      </c>
      <c r="D61" s="16" t="str">
        <f aca="false">IF(A61="","",MAX(0,B61-C61))</f>
        <v/>
      </c>
      <c r="E61" s="15" t="str">
        <f aca="false">IF(A61="","",IF(D61=0,"PAGÓ","DEBE"))</f>
        <v/>
      </c>
    </row>
    <row r="62" customFormat="false" ht="15" hidden="false" customHeight="false" outlineLevel="0" collapsed="false">
      <c r="A62" s="15" t="str">
        <f aca="false">IF(OR(Alumnos!A59="",Alumnos!E59="No"),"",Alumnos!A59)</f>
        <v/>
      </c>
      <c r="B62" s="16" t="str">
        <f aca="false">IF(A62="","",Alumnos!D59)</f>
        <v/>
      </c>
      <c r="C62" s="16" t="str">
        <f aca="false">IF(A62="","",SUMIFS(Pagos!$E$2:$E$3001,Pagos!$B$2:$B$3001,A62,Pagos!$C$2:$C$3001,$B$2,Pagos!$D$2:$D$3001,$D$2))</f>
        <v/>
      </c>
      <c r="D62" s="16" t="str">
        <f aca="false">IF(A62="","",MAX(0,B62-C62))</f>
        <v/>
      </c>
      <c r="E62" s="15" t="str">
        <f aca="false">IF(A62="","",IF(D62=0,"PAGÓ","DEBE"))</f>
        <v/>
      </c>
    </row>
    <row r="63" customFormat="false" ht="15" hidden="false" customHeight="false" outlineLevel="0" collapsed="false">
      <c r="A63" s="15" t="str">
        <f aca="false">IF(OR(Alumnos!A60="",Alumnos!E60="No"),"",Alumnos!A60)</f>
        <v/>
      </c>
      <c r="B63" s="16" t="str">
        <f aca="false">IF(A63="","",Alumnos!D60)</f>
        <v/>
      </c>
      <c r="C63" s="16" t="str">
        <f aca="false">IF(A63="","",SUMIFS(Pagos!$E$2:$E$3001,Pagos!$B$2:$B$3001,A63,Pagos!$C$2:$C$3001,$B$2,Pagos!$D$2:$D$3001,$D$2))</f>
        <v/>
      </c>
      <c r="D63" s="16" t="str">
        <f aca="false">IF(A63="","",MAX(0,B63-C63))</f>
        <v/>
      </c>
      <c r="E63" s="15" t="str">
        <f aca="false">IF(A63="","",IF(D63=0,"PAGÓ","DEBE"))</f>
        <v/>
      </c>
    </row>
    <row r="64" customFormat="false" ht="15" hidden="false" customHeight="false" outlineLevel="0" collapsed="false">
      <c r="A64" s="15" t="str">
        <f aca="false">IF(OR(Alumnos!A61="",Alumnos!E61="No"),"",Alumnos!A61)</f>
        <v/>
      </c>
      <c r="B64" s="16" t="str">
        <f aca="false">IF(A64="","",Alumnos!D61)</f>
        <v/>
      </c>
      <c r="C64" s="16" t="str">
        <f aca="false">IF(A64="","",SUMIFS(Pagos!$E$2:$E$3001,Pagos!$B$2:$B$3001,A64,Pagos!$C$2:$C$3001,$B$2,Pagos!$D$2:$D$3001,$D$2))</f>
        <v/>
      </c>
      <c r="D64" s="16" t="str">
        <f aca="false">IF(A64="","",MAX(0,B64-C64))</f>
        <v/>
      </c>
      <c r="E64" s="15" t="str">
        <f aca="false">IF(A64="","",IF(D64=0,"PAGÓ","DEBE"))</f>
        <v/>
      </c>
    </row>
    <row r="65" customFormat="false" ht="15" hidden="false" customHeight="false" outlineLevel="0" collapsed="false">
      <c r="A65" s="15" t="str">
        <f aca="false">IF(OR(Alumnos!A62="",Alumnos!E62="No"),"",Alumnos!A62)</f>
        <v/>
      </c>
      <c r="B65" s="16" t="str">
        <f aca="false">IF(A65="","",Alumnos!D62)</f>
        <v/>
      </c>
      <c r="C65" s="16" t="str">
        <f aca="false">IF(A65="","",SUMIFS(Pagos!$E$2:$E$3001,Pagos!$B$2:$B$3001,A65,Pagos!$C$2:$C$3001,$B$2,Pagos!$D$2:$D$3001,$D$2))</f>
        <v/>
      </c>
      <c r="D65" s="16" t="str">
        <f aca="false">IF(A65="","",MAX(0,B65-C65))</f>
        <v/>
      </c>
      <c r="E65" s="15" t="str">
        <f aca="false">IF(A65="","",IF(D65=0,"PAGÓ","DEBE"))</f>
        <v/>
      </c>
    </row>
    <row r="66" customFormat="false" ht="15" hidden="false" customHeight="false" outlineLevel="0" collapsed="false">
      <c r="A66" s="15" t="str">
        <f aca="false">IF(OR(Alumnos!A63="",Alumnos!E63="No"),"",Alumnos!A63)</f>
        <v/>
      </c>
      <c r="B66" s="16" t="str">
        <f aca="false">IF(A66="","",Alumnos!D63)</f>
        <v/>
      </c>
      <c r="C66" s="16" t="str">
        <f aca="false">IF(A66="","",SUMIFS(Pagos!$E$2:$E$3001,Pagos!$B$2:$B$3001,A66,Pagos!$C$2:$C$3001,$B$2,Pagos!$D$2:$D$3001,$D$2))</f>
        <v/>
      </c>
      <c r="D66" s="16" t="str">
        <f aca="false">IF(A66="","",MAX(0,B66-C66))</f>
        <v/>
      </c>
      <c r="E66" s="15" t="str">
        <f aca="false">IF(A66="","",IF(D66=0,"PAGÓ","DEBE"))</f>
        <v/>
      </c>
    </row>
    <row r="67" customFormat="false" ht="15" hidden="false" customHeight="false" outlineLevel="0" collapsed="false">
      <c r="A67" s="15" t="str">
        <f aca="false">IF(OR(Alumnos!A64="",Alumnos!E64="No"),"",Alumnos!A64)</f>
        <v/>
      </c>
      <c r="B67" s="16" t="str">
        <f aca="false">IF(A67="","",Alumnos!D64)</f>
        <v/>
      </c>
      <c r="C67" s="16" t="str">
        <f aca="false">IF(A67="","",SUMIFS(Pagos!$E$2:$E$3001,Pagos!$B$2:$B$3001,A67,Pagos!$C$2:$C$3001,$B$2,Pagos!$D$2:$D$3001,$D$2))</f>
        <v/>
      </c>
      <c r="D67" s="16" t="str">
        <f aca="false">IF(A67="","",MAX(0,B67-C67))</f>
        <v/>
      </c>
      <c r="E67" s="15" t="str">
        <f aca="false">IF(A67="","",IF(D67=0,"PAGÓ","DEBE"))</f>
        <v/>
      </c>
    </row>
    <row r="68" customFormat="false" ht="15" hidden="false" customHeight="false" outlineLevel="0" collapsed="false">
      <c r="A68" s="15" t="str">
        <f aca="false">IF(OR(Alumnos!A65="",Alumnos!E65="No"),"",Alumnos!A65)</f>
        <v/>
      </c>
      <c r="B68" s="16" t="str">
        <f aca="false">IF(A68="","",Alumnos!D65)</f>
        <v/>
      </c>
      <c r="C68" s="16" t="str">
        <f aca="false">IF(A68="","",SUMIFS(Pagos!$E$2:$E$3001,Pagos!$B$2:$B$3001,A68,Pagos!$C$2:$C$3001,$B$2,Pagos!$D$2:$D$3001,$D$2))</f>
        <v/>
      </c>
      <c r="D68" s="16" t="str">
        <f aca="false">IF(A68="","",MAX(0,B68-C68))</f>
        <v/>
      </c>
      <c r="E68" s="15" t="str">
        <f aca="false">IF(A68="","",IF(D68=0,"PAGÓ","DEBE"))</f>
        <v/>
      </c>
    </row>
    <row r="69" customFormat="false" ht="15" hidden="false" customHeight="false" outlineLevel="0" collapsed="false">
      <c r="A69" s="15" t="str">
        <f aca="false">IF(OR(Alumnos!A66="",Alumnos!E66="No"),"",Alumnos!A66)</f>
        <v/>
      </c>
      <c r="B69" s="16" t="str">
        <f aca="false">IF(A69="","",Alumnos!D66)</f>
        <v/>
      </c>
      <c r="C69" s="16" t="str">
        <f aca="false">IF(A69="","",SUMIFS(Pagos!$E$2:$E$3001,Pagos!$B$2:$B$3001,A69,Pagos!$C$2:$C$3001,$B$2,Pagos!$D$2:$D$3001,$D$2))</f>
        <v/>
      </c>
      <c r="D69" s="16" t="str">
        <f aca="false">IF(A69="","",MAX(0,B69-C69))</f>
        <v/>
      </c>
      <c r="E69" s="15" t="str">
        <f aca="false">IF(A69="","",IF(D69=0,"PAGÓ","DEBE"))</f>
        <v/>
      </c>
    </row>
    <row r="70" customFormat="false" ht="15" hidden="false" customHeight="false" outlineLevel="0" collapsed="false">
      <c r="A70" s="15" t="str">
        <f aca="false">IF(OR(Alumnos!A67="",Alumnos!E67="No"),"",Alumnos!A67)</f>
        <v/>
      </c>
      <c r="B70" s="16" t="str">
        <f aca="false">IF(A70="","",Alumnos!D67)</f>
        <v/>
      </c>
      <c r="C70" s="16" t="str">
        <f aca="false">IF(A70="","",SUMIFS(Pagos!$E$2:$E$3001,Pagos!$B$2:$B$3001,A70,Pagos!$C$2:$C$3001,$B$2,Pagos!$D$2:$D$3001,$D$2))</f>
        <v/>
      </c>
      <c r="D70" s="16" t="str">
        <f aca="false">IF(A70="","",MAX(0,B70-C70))</f>
        <v/>
      </c>
      <c r="E70" s="15" t="str">
        <f aca="false">IF(A70="","",IF(D70=0,"PAGÓ","DEBE"))</f>
        <v/>
      </c>
    </row>
    <row r="71" customFormat="false" ht="15" hidden="false" customHeight="false" outlineLevel="0" collapsed="false">
      <c r="A71" s="15" t="str">
        <f aca="false">IF(OR(Alumnos!A68="",Alumnos!E68="No"),"",Alumnos!A68)</f>
        <v/>
      </c>
      <c r="B71" s="16" t="str">
        <f aca="false">IF(A71="","",Alumnos!D68)</f>
        <v/>
      </c>
      <c r="C71" s="16" t="str">
        <f aca="false">IF(A71="","",SUMIFS(Pagos!$E$2:$E$3001,Pagos!$B$2:$B$3001,A71,Pagos!$C$2:$C$3001,$B$2,Pagos!$D$2:$D$3001,$D$2))</f>
        <v/>
      </c>
      <c r="D71" s="16" t="str">
        <f aca="false">IF(A71="","",MAX(0,B71-C71))</f>
        <v/>
      </c>
      <c r="E71" s="15" t="str">
        <f aca="false">IF(A71="","",IF(D71=0,"PAGÓ","DEBE"))</f>
        <v/>
      </c>
    </row>
    <row r="72" customFormat="false" ht="15" hidden="false" customHeight="false" outlineLevel="0" collapsed="false">
      <c r="A72" s="15" t="str">
        <f aca="false">IF(OR(Alumnos!A69="",Alumnos!E69="No"),"",Alumnos!A69)</f>
        <v/>
      </c>
      <c r="B72" s="16" t="str">
        <f aca="false">IF(A72="","",Alumnos!D69)</f>
        <v/>
      </c>
      <c r="C72" s="16" t="str">
        <f aca="false">IF(A72="","",SUMIFS(Pagos!$E$2:$E$3001,Pagos!$B$2:$B$3001,A72,Pagos!$C$2:$C$3001,$B$2,Pagos!$D$2:$D$3001,$D$2))</f>
        <v/>
      </c>
      <c r="D72" s="16" t="str">
        <f aca="false">IF(A72="","",MAX(0,B72-C72))</f>
        <v/>
      </c>
      <c r="E72" s="15" t="str">
        <f aca="false">IF(A72="","",IF(D72=0,"PAGÓ","DEBE"))</f>
        <v/>
      </c>
    </row>
    <row r="73" customFormat="false" ht="15" hidden="false" customHeight="false" outlineLevel="0" collapsed="false">
      <c r="A73" s="15" t="str">
        <f aca="false">IF(OR(Alumnos!A70="",Alumnos!E70="No"),"",Alumnos!A70)</f>
        <v/>
      </c>
      <c r="B73" s="16" t="str">
        <f aca="false">IF(A73="","",Alumnos!D70)</f>
        <v/>
      </c>
      <c r="C73" s="16" t="str">
        <f aca="false">IF(A73="","",SUMIFS(Pagos!$E$2:$E$3001,Pagos!$B$2:$B$3001,A73,Pagos!$C$2:$C$3001,$B$2,Pagos!$D$2:$D$3001,$D$2))</f>
        <v/>
      </c>
      <c r="D73" s="16" t="str">
        <f aca="false">IF(A73="","",MAX(0,B73-C73))</f>
        <v/>
      </c>
      <c r="E73" s="15" t="str">
        <f aca="false">IF(A73="","",IF(D73=0,"PAGÓ","DEBE"))</f>
        <v/>
      </c>
    </row>
    <row r="74" customFormat="false" ht="15" hidden="false" customHeight="false" outlineLevel="0" collapsed="false">
      <c r="A74" s="15" t="str">
        <f aca="false">IF(OR(Alumnos!A71="",Alumnos!E71="No"),"",Alumnos!A71)</f>
        <v/>
      </c>
      <c r="B74" s="16" t="str">
        <f aca="false">IF(A74="","",Alumnos!D71)</f>
        <v/>
      </c>
      <c r="C74" s="16" t="str">
        <f aca="false">IF(A74="","",SUMIFS(Pagos!$E$2:$E$3001,Pagos!$B$2:$B$3001,A74,Pagos!$C$2:$C$3001,$B$2,Pagos!$D$2:$D$3001,$D$2))</f>
        <v/>
      </c>
      <c r="D74" s="16" t="str">
        <f aca="false">IF(A74="","",MAX(0,B74-C74))</f>
        <v/>
      </c>
      <c r="E74" s="15" t="str">
        <f aca="false">IF(A74="","",IF(D74=0,"PAGÓ","DEBE"))</f>
        <v/>
      </c>
    </row>
    <row r="75" customFormat="false" ht="15" hidden="false" customHeight="false" outlineLevel="0" collapsed="false">
      <c r="A75" s="15" t="str">
        <f aca="false">IF(OR(Alumnos!A72="",Alumnos!E72="No"),"",Alumnos!A72)</f>
        <v/>
      </c>
      <c r="B75" s="16" t="str">
        <f aca="false">IF(A75="","",Alumnos!D72)</f>
        <v/>
      </c>
      <c r="C75" s="16" t="str">
        <f aca="false">IF(A75="","",SUMIFS(Pagos!$E$2:$E$3001,Pagos!$B$2:$B$3001,A75,Pagos!$C$2:$C$3001,$B$2,Pagos!$D$2:$D$3001,$D$2))</f>
        <v/>
      </c>
      <c r="D75" s="16" t="str">
        <f aca="false">IF(A75="","",MAX(0,B75-C75))</f>
        <v/>
      </c>
      <c r="E75" s="15" t="str">
        <f aca="false">IF(A75="","",IF(D75=0,"PAGÓ","DEBE"))</f>
        <v/>
      </c>
    </row>
    <row r="76" customFormat="false" ht="15" hidden="false" customHeight="false" outlineLevel="0" collapsed="false">
      <c r="A76" s="15" t="str">
        <f aca="false">IF(OR(Alumnos!A73="",Alumnos!E73="No"),"",Alumnos!A73)</f>
        <v/>
      </c>
      <c r="B76" s="16" t="str">
        <f aca="false">IF(A76="","",Alumnos!D73)</f>
        <v/>
      </c>
      <c r="C76" s="16" t="str">
        <f aca="false">IF(A76="","",SUMIFS(Pagos!$E$2:$E$3001,Pagos!$B$2:$B$3001,A76,Pagos!$C$2:$C$3001,$B$2,Pagos!$D$2:$D$3001,$D$2))</f>
        <v/>
      </c>
      <c r="D76" s="16" t="str">
        <f aca="false">IF(A76="","",MAX(0,B76-C76))</f>
        <v/>
      </c>
      <c r="E76" s="15" t="str">
        <f aca="false">IF(A76="","",IF(D76=0,"PAGÓ","DEBE"))</f>
        <v/>
      </c>
    </row>
    <row r="77" customFormat="false" ht="15" hidden="false" customHeight="false" outlineLevel="0" collapsed="false">
      <c r="A77" s="15" t="str">
        <f aca="false">IF(OR(Alumnos!A74="",Alumnos!E74="No"),"",Alumnos!A74)</f>
        <v/>
      </c>
      <c r="B77" s="16" t="str">
        <f aca="false">IF(A77="","",Alumnos!D74)</f>
        <v/>
      </c>
      <c r="C77" s="16" t="str">
        <f aca="false">IF(A77="","",SUMIFS(Pagos!$E$2:$E$3001,Pagos!$B$2:$B$3001,A77,Pagos!$C$2:$C$3001,$B$2,Pagos!$D$2:$D$3001,$D$2))</f>
        <v/>
      </c>
      <c r="D77" s="16" t="str">
        <f aca="false">IF(A77="","",MAX(0,B77-C77))</f>
        <v/>
      </c>
      <c r="E77" s="15" t="str">
        <f aca="false">IF(A77="","",IF(D77=0,"PAGÓ","DEBE"))</f>
        <v/>
      </c>
    </row>
    <row r="78" customFormat="false" ht="15" hidden="false" customHeight="false" outlineLevel="0" collapsed="false">
      <c r="A78" s="15" t="str">
        <f aca="false">IF(OR(Alumnos!A75="",Alumnos!E75="No"),"",Alumnos!A75)</f>
        <v/>
      </c>
      <c r="B78" s="16" t="str">
        <f aca="false">IF(A78="","",Alumnos!D75)</f>
        <v/>
      </c>
      <c r="C78" s="16" t="str">
        <f aca="false">IF(A78="","",SUMIFS(Pagos!$E$2:$E$3001,Pagos!$B$2:$B$3001,A78,Pagos!$C$2:$C$3001,$B$2,Pagos!$D$2:$D$3001,$D$2))</f>
        <v/>
      </c>
      <c r="D78" s="16" t="str">
        <f aca="false">IF(A78="","",MAX(0,B78-C78))</f>
        <v/>
      </c>
      <c r="E78" s="15" t="str">
        <f aca="false">IF(A78="","",IF(D78=0,"PAGÓ","DEBE"))</f>
        <v/>
      </c>
    </row>
    <row r="79" customFormat="false" ht="15" hidden="false" customHeight="false" outlineLevel="0" collapsed="false">
      <c r="A79" s="15" t="str">
        <f aca="false">IF(OR(Alumnos!A76="",Alumnos!E76="No"),"",Alumnos!A76)</f>
        <v/>
      </c>
      <c r="B79" s="16" t="str">
        <f aca="false">IF(A79="","",Alumnos!D76)</f>
        <v/>
      </c>
      <c r="C79" s="16" t="str">
        <f aca="false">IF(A79="","",SUMIFS(Pagos!$E$2:$E$3001,Pagos!$B$2:$B$3001,A79,Pagos!$C$2:$C$3001,$B$2,Pagos!$D$2:$D$3001,$D$2))</f>
        <v/>
      </c>
      <c r="D79" s="16" t="str">
        <f aca="false">IF(A79="","",MAX(0,B79-C79))</f>
        <v/>
      </c>
      <c r="E79" s="15" t="str">
        <f aca="false">IF(A79="","",IF(D79=0,"PAGÓ","DEBE"))</f>
        <v/>
      </c>
    </row>
    <row r="80" customFormat="false" ht="15" hidden="false" customHeight="false" outlineLevel="0" collapsed="false">
      <c r="A80" s="15" t="str">
        <f aca="false">IF(OR(Alumnos!A77="",Alumnos!E77="No"),"",Alumnos!A77)</f>
        <v/>
      </c>
      <c r="B80" s="16" t="str">
        <f aca="false">IF(A80="","",Alumnos!D77)</f>
        <v/>
      </c>
      <c r="C80" s="16" t="str">
        <f aca="false">IF(A80="","",SUMIFS(Pagos!$E$2:$E$3001,Pagos!$B$2:$B$3001,A80,Pagos!$C$2:$C$3001,$B$2,Pagos!$D$2:$D$3001,$D$2))</f>
        <v/>
      </c>
      <c r="D80" s="16" t="str">
        <f aca="false">IF(A80="","",MAX(0,B80-C80))</f>
        <v/>
      </c>
      <c r="E80" s="15" t="str">
        <f aca="false">IF(A80="","",IF(D80=0,"PAGÓ","DEBE"))</f>
        <v/>
      </c>
    </row>
    <row r="81" customFormat="false" ht="15" hidden="false" customHeight="false" outlineLevel="0" collapsed="false">
      <c r="A81" s="15" t="str">
        <f aca="false">IF(OR(Alumnos!A78="",Alumnos!E78="No"),"",Alumnos!A78)</f>
        <v/>
      </c>
      <c r="B81" s="16" t="str">
        <f aca="false">IF(A81="","",Alumnos!D78)</f>
        <v/>
      </c>
      <c r="C81" s="16" t="str">
        <f aca="false">IF(A81="","",SUMIFS(Pagos!$E$2:$E$3001,Pagos!$B$2:$B$3001,A81,Pagos!$C$2:$C$3001,$B$2,Pagos!$D$2:$D$3001,$D$2))</f>
        <v/>
      </c>
      <c r="D81" s="16" t="str">
        <f aca="false">IF(A81="","",MAX(0,B81-C81))</f>
        <v/>
      </c>
      <c r="E81" s="15" t="str">
        <f aca="false">IF(A81="","",IF(D81=0,"PAGÓ","DEBE"))</f>
        <v/>
      </c>
    </row>
    <row r="82" customFormat="false" ht="15" hidden="false" customHeight="false" outlineLevel="0" collapsed="false">
      <c r="A82" s="15" t="str">
        <f aca="false">IF(OR(Alumnos!A79="",Alumnos!E79="No"),"",Alumnos!A79)</f>
        <v/>
      </c>
      <c r="B82" s="16" t="str">
        <f aca="false">IF(A82="","",Alumnos!D79)</f>
        <v/>
      </c>
      <c r="C82" s="16" t="str">
        <f aca="false">IF(A82="","",SUMIFS(Pagos!$E$2:$E$3001,Pagos!$B$2:$B$3001,A82,Pagos!$C$2:$C$3001,$B$2,Pagos!$D$2:$D$3001,$D$2))</f>
        <v/>
      </c>
      <c r="D82" s="16" t="str">
        <f aca="false">IF(A82="","",MAX(0,B82-C82))</f>
        <v/>
      </c>
      <c r="E82" s="15" t="str">
        <f aca="false">IF(A82="","",IF(D82=0,"PAGÓ","DEBE"))</f>
        <v/>
      </c>
    </row>
    <row r="83" customFormat="false" ht="15" hidden="false" customHeight="false" outlineLevel="0" collapsed="false">
      <c r="A83" s="15" t="str">
        <f aca="false">IF(OR(Alumnos!A80="",Alumnos!E80="No"),"",Alumnos!A80)</f>
        <v/>
      </c>
      <c r="B83" s="16" t="str">
        <f aca="false">IF(A83="","",Alumnos!D80)</f>
        <v/>
      </c>
      <c r="C83" s="16" t="str">
        <f aca="false">IF(A83="","",SUMIFS(Pagos!$E$2:$E$3001,Pagos!$B$2:$B$3001,A83,Pagos!$C$2:$C$3001,$B$2,Pagos!$D$2:$D$3001,$D$2))</f>
        <v/>
      </c>
      <c r="D83" s="16" t="str">
        <f aca="false">IF(A83="","",MAX(0,B83-C83))</f>
        <v/>
      </c>
      <c r="E83" s="15" t="str">
        <f aca="false">IF(A83="","",IF(D83=0,"PAGÓ","DEBE"))</f>
        <v/>
      </c>
    </row>
    <row r="84" customFormat="false" ht="15" hidden="false" customHeight="false" outlineLevel="0" collapsed="false">
      <c r="A84" s="15" t="str">
        <f aca="false">IF(OR(Alumnos!A81="",Alumnos!E81="No"),"",Alumnos!A81)</f>
        <v/>
      </c>
      <c r="B84" s="16" t="str">
        <f aca="false">IF(A84="","",Alumnos!D81)</f>
        <v/>
      </c>
      <c r="C84" s="16" t="str">
        <f aca="false">IF(A84="","",SUMIFS(Pagos!$E$2:$E$3001,Pagos!$B$2:$B$3001,A84,Pagos!$C$2:$C$3001,$B$2,Pagos!$D$2:$D$3001,$D$2))</f>
        <v/>
      </c>
      <c r="D84" s="16" t="str">
        <f aca="false">IF(A84="","",MAX(0,B84-C84))</f>
        <v/>
      </c>
      <c r="E84" s="15" t="str">
        <f aca="false">IF(A84="","",IF(D84=0,"PAGÓ","DEBE"))</f>
        <v/>
      </c>
    </row>
    <row r="85" customFormat="false" ht="15" hidden="false" customHeight="false" outlineLevel="0" collapsed="false">
      <c r="A85" s="15" t="str">
        <f aca="false">IF(OR(Alumnos!A82="",Alumnos!E82="No"),"",Alumnos!A82)</f>
        <v/>
      </c>
      <c r="B85" s="16" t="str">
        <f aca="false">IF(A85="","",Alumnos!D82)</f>
        <v/>
      </c>
      <c r="C85" s="16" t="str">
        <f aca="false">IF(A85="","",SUMIFS(Pagos!$E$2:$E$3001,Pagos!$B$2:$B$3001,A85,Pagos!$C$2:$C$3001,$B$2,Pagos!$D$2:$D$3001,$D$2))</f>
        <v/>
      </c>
      <c r="D85" s="16" t="str">
        <f aca="false">IF(A85="","",MAX(0,B85-C85))</f>
        <v/>
      </c>
      <c r="E85" s="15" t="str">
        <f aca="false">IF(A85="","",IF(D85=0,"PAGÓ","DEBE"))</f>
        <v/>
      </c>
    </row>
    <row r="86" customFormat="false" ht="15" hidden="false" customHeight="false" outlineLevel="0" collapsed="false">
      <c r="A86" s="15" t="str">
        <f aca="false">IF(OR(Alumnos!A83="",Alumnos!E83="No"),"",Alumnos!A83)</f>
        <v/>
      </c>
      <c r="B86" s="16" t="str">
        <f aca="false">IF(A86="","",Alumnos!D83)</f>
        <v/>
      </c>
      <c r="C86" s="16" t="str">
        <f aca="false">IF(A86="","",SUMIFS(Pagos!$E$2:$E$3001,Pagos!$B$2:$B$3001,A86,Pagos!$C$2:$C$3001,$B$2,Pagos!$D$2:$D$3001,$D$2))</f>
        <v/>
      </c>
      <c r="D86" s="16" t="str">
        <f aca="false">IF(A86="","",MAX(0,B86-C86))</f>
        <v/>
      </c>
      <c r="E86" s="15" t="str">
        <f aca="false">IF(A86="","",IF(D86=0,"PAGÓ","DEBE"))</f>
        <v/>
      </c>
    </row>
    <row r="87" customFormat="false" ht="15" hidden="false" customHeight="false" outlineLevel="0" collapsed="false">
      <c r="A87" s="15" t="str">
        <f aca="false">IF(OR(Alumnos!A84="",Alumnos!E84="No"),"",Alumnos!A84)</f>
        <v/>
      </c>
      <c r="B87" s="16" t="str">
        <f aca="false">IF(A87="","",Alumnos!D84)</f>
        <v/>
      </c>
      <c r="C87" s="16" t="str">
        <f aca="false">IF(A87="","",SUMIFS(Pagos!$E$2:$E$3001,Pagos!$B$2:$B$3001,A87,Pagos!$C$2:$C$3001,$B$2,Pagos!$D$2:$D$3001,$D$2))</f>
        <v/>
      </c>
      <c r="D87" s="16" t="str">
        <f aca="false">IF(A87="","",MAX(0,B87-C87))</f>
        <v/>
      </c>
      <c r="E87" s="15" t="str">
        <f aca="false">IF(A87="","",IF(D87=0,"PAGÓ","DEBE"))</f>
        <v/>
      </c>
    </row>
    <row r="88" customFormat="false" ht="15" hidden="false" customHeight="false" outlineLevel="0" collapsed="false">
      <c r="A88" s="15" t="str">
        <f aca="false">IF(OR(Alumnos!A85="",Alumnos!E85="No"),"",Alumnos!A85)</f>
        <v/>
      </c>
      <c r="B88" s="16" t="str">
        <f aca="false">IF(A88="","",Alumnos!D85)</f>
        <v/>
      </c>
      <c r="C88" s="16" t="str">
        <f aca="false">IF(A88="","",SUMIFS(Pagos!$E$2:$E$3001,Pagos!$B$2:$B$3001,A88,Pagos!$C$2:$C$3001,$B$2,Pagos!$D$2:$D$3001,$D$2))</f>
        <v/>
      </c>
      <c r="D88" s="16" t="str">
        <f aca="false">IF(A88="","",MAX(0,B88-C88))</f>
        <v/>
      </c>
      <c r="E88" s="15" t="str">
        <f aca="false">IF(A88="","",IF(D88=0,"PAGÓ","DEBE"))</f>
        <v/>
      </c>
    </row>
    <row r="89" customFormat="false" ht="15" hidden="false" customHeight="false" outlineLevel="0" collapsed="false">
      <c r="A89" s="15" t="str">
        <f aca="false">IF(OR(Alumnos!A86="",Alumnos!E86="No"),"",Alumnos!A86)</f>
        <v/>
      </c>
      <c r="B89" s="16" t="str">
        <f aca="false">IF(A89="","",Alumnos!D86)</f>
        <v/>
      </c>
      <c r="C89" s="16" t="str">
        <f aca="false">IF(A89="","",SUMIFS(Pagos!$E$2:$E$3001,Pagos!$B$2:$B$3001,A89,Pagos!$C$2:$C$3001,$B$2,Pagos!$D$2:$D$3001,$D$2))</f>
        <v/>
      </c>
      <c r="D89" s="16" t="str">
        <f aca="false">IF(A89="","",MAX(0,B89-C89))</f>
        <v/>
      </c>
      <c r="E89" s="15" t="str">
        <f aca="false">IF(A89="","",IF(D89=0,"PAGÓ","DEBE"))</f>
        <v/>
      </c>
    </row>
    <row r="90" customFormat="false" ht="15" hidden="false" customHeight="false" outlineLevel="0" collapsed="false">
      <c r="A90" s="15" t="str">
        <f aca="false">IF(OR(Alumnos!A87="",Alumnos!E87="No"),"",Alumnos!A87)</f>
        <v/>
      </c>
      <c r="B90" s="16" t="str">
        <f aca="false">IF(A90="","",Alumnos!D87)</f>
        <v/>
      </c>
      <c r="C90" s="16" t="str">
        <f aca="false">IF(A90="","",SUMIFS(Pagos!$E$2:$E$3001,Pagos!$B$2:$B$3001,A90,Pagos!$C$2:$C$3001,$B$2,Pagos!$D$2:$D$3001,$D$2))</f>
        <v/>
      </c>
      <c r="D90" s="16" t="str">
        <f aca="false">IF(A90="","",MAX(0,B90-C90))</f>
        <v/>
      </c>
      <c r="E90" s="15" t="str">
        <f aca="false">IF(A90="","",IF(D90=0,"PAGÓ","DEBE"))</f>
        <v/>
      </c>
    </row>
    <row r="91" customFormat="false" ht="15" hidden="false" customHeight="false" outlineLevel="0" collapsed="false">
      <c r="A91" s="15" t="str">
        <f aca="false">IF(OR(Alumnos!A88="",Alumnos!E88="No"),"",Alumnos!A88)</f>
        <v/>
      </c>
      <c r="B91" s="16" t="str">
        <f aca="false">IF(A91="","",Alumnos!D88)</f>
        <v/>
      </c>
      <c r="C91" s="16" t="str">
        <f aca="false">IF(A91="","",SUMIFS(Pagos!$E$2:$E$3001,Pagos!$B$2:$B$3001,A91,Pagos!$C$2:$C$3001,$B$2,Pagos!$D$2:$D$3001,$D$2))</f>
        <v/>
      </c>
      <c r="D91" s="16" t="str">
        <f aca="false">IF(A91="","",MAX(0,B91-C91))</f>
        <v/>
      </c>
      <c r="E91" s="15" t="str">
        <f aca="false">IF(A91="","",IF(D91=0,"PAGÓ","DEBE"))</f>
        <v/>
      </c>
    </row>
    <row r="92" customFormat="false" ht="15" hidden="false" customHeight="false" outlineLevel="0" collapsed="false">
      <c r="A92" s="15" t="str">
        <f aca="false">IF(OR(Alumnos!A89="",Alumnos!E89="No"),"",Alumnos!A89)</f>
        <v/>
      </c>
      <c r="B92" s="16" t="str">
        <f aca="false">IF(A92="","",Alumnos!D89)</f>
        <v/>
      </c>
      <c r="C92" s="16" t="str">
        <f aca="false">IF(A92="","",SUMIFS(Pagos!$E$2:$E$3001,Pagos!$B$2:$B$3001,A92,Pagos!$C$2:$C$3001,$B$2,Pagos!$D$2:$D$3001,$D$2))</f>
        <v/>
      </c>
      <c r="D92" s="16" t="str">
        <f aca="false">IF(A92="","",MAX(0,B92-C92))</f>
        <v/>
      </c>
      <c r="E92" s="15" t="str">
        <f aca="false">IF(A92="","",IF(D92=0,"PAGÓ","DEBE"))</f>
        <v/>
      </c>
    </row>
    <row r="93" customFormat="false" ht="15" hidden="false" customHeight="false" outlineLevel="0" collapsed="false">
      <c r="A93" s="15" t="str">
        <f aca="false">IF(OR(Alumnos!A90="",Alumnos!E90="No"),"",Alumnos!A90)</f>
        <v/>
      </c>
      <c r="B93" s="16" t="str">
        <f aca="false">IF(A93="","",Alumnos!D90)</f>
        <v/>
      </c>
      <c r="C93" s="16" t="str">
        <f aca="false">IF(A93="","",SUMIFS(Pagos!$E$2:$E$3001,Pagos!$B$2:$B$3001,A93,Pagos!$C$2:$C$3001,$B$2,Pagos!$D$2:$D$3001,$D$2))</f>
        <v/>
      </c>
      <c r="D93" s="16" t="str">
        <f aca="false">IF(A93="","",MAX(0,B93-C93))</f>
        <v/>
      </c>
      <c r="E93" s="15" t="str">
        <f aca="false">IF(A93="","",IF(D93=0,"PAGÓ","DEBE"))</f>
        <v/>
      </c>
    </row>
    <row r="94" customFormat="false" ht="15" hidden="false" customHeight="false" outlineLevel="0" collapsed="false">
      <c r="A94" s="15" t="str">
        <f aca="false">IF(OR(Alumnos!A91="",Alumnos!E91="No"),"",Alumnos!A91)</f>
        <v/>
      </c>
      <c r="B94" s="16" t="str">
        <f aca="false">IF(A94="","",Alumnos!D91)</f>
        <v/>
      </c>
      <c r="C94" s="16" t="str">
        <f aca="false">IF(A94="","",SUMIFS(Pagos!$E$2:$E$3001,Pagos!$B$2:$B$3001,A94,Pagos!$C$2:$C$3001,$B$2,Pagos!$D$2:$D$3001,$D$2))</f>
        <v/>
      </c>
      <c r="D94" s="16" t="str">
        <f aca="false">IF(A94="","",MAX(0,B94-C94))</f>
        <v/>
      </c>
      <c r="E94" s="15" t="str">
        <f aca="false">IF(A94="","",IF(D94=0,"PAGÓ","DEBE"))</f>
        <v/>
      </c>
    </row>
    <row r="95" customFormat="false" ht="15" hidden="false" customHeight="false" outlineLevel="0" collapsed="false">
      <c r="A95" s="15" t="str">
        <f aca="false">IF(OR(Alumnos!A92="",Alumnos!E92="No"),"",Alumnos!A92)</f>
        <v/>
      </c>
      <c r="B95" s="16" t="str">
        <f aca="false">IF(A95="","",Alumnos!D92)</f>
        <v/>
      </c>
      <c r="C95" s="16" t="str">
        <f aca="false">IF(A95="","",SUMIFS(Pagos!$E$2:$E$3001,Pagos!$B$2:$B$3001,A95,Pagos!$C$2:$C$3001,$B$2,Pagos!$D$2:$D$3001,$D$2))</f>
        <v/>
      </c>
      <c r="D95" s="16" t="str">
        <f aca="false">IF(A95="","",MAX(0,B95-C95))</f>
        <v/>
      </c>
      <c r="E95" s="15" t="str">
        <f aca="false">IF(A95="","",IF(D95=0,"PAGÓ","DEBE"))</f>
        <v/>
      </c>
    </row>
    <row r="96" customFormat="false" ht="15" hidden="false" customHeight="false" outlineLevel="0" collapsed="false">
      <c r="A96" s="15" t="str">
        <f aca="false">IF(OR(Alumnos!A93="",Alumnos!E93="No"),"",Alumnos!A93)</f>
        <v/>
      </c>
      <c r="B96" s="16" t="str">
        <f aca="false">IF(A96="","",Alumnos!D93)</f>
        <v/>
      </c>
      <c r="C96" s="16" t="str">
        <f aca="false">IF(A96="","",SUMIFS(Pagos!$E$2:$E$3001,Pagos!$B$2:$B$3001,A96,Pagos!$C$2:$C$3001,$B$2,Pagos!$D$2:$D$3001,$D$2))</f>
        <v/>
      </c>
      <c r="D96" s="16" t="str">
        <f aca="false">IF(A96="","",MAX(0,B96-C96))</f>
        <v/>
      </c>
      <c r="E96" s="15" t="str">
        <f aca="false">IF(A96="","",IF(D96=0,"PAGÓ","DEBE"))</f>
        <v/>
      </c>
    </row>
    <row r="97" customFormat="false" ht="15" hidden="false" customHeight="false" outlineLevel="0" collapsed="false">
      <c r="A97" s="15" t="str">
        <f aca="false">IF(OR(Alumnos!A94="",Alumnos!E94="No"),"",Alumnos!A94)</f>
        <v/>
      </c>
      <c r="B97" s="16" t="str">
        <f aca="false">IF(A97="","",Alumnos!D94)</f>
        <v/>
      </c>
      <c r="C97" s="16" t="str">
        <f aca="false">IF(A97="","",SUMIFS(Pagos!$E$2:$E$3001,Pagos!$B$2:$B$3001,A97,Pagos!$C$2:$C$3001,$B$2,Pagos!$D$2:$D$3001,$D$2))</f>
        <v/>
      </c>
      <c r="D97" s="16" t="str">
        <f aca="false">IF(A97="","",MAX(0,B97-C97))</f>
        <v/>
      </c>
      <c r="E97" s="15" t="str">
        <f aca="false">IF(A97="","",IF(D97=0,"PAGÓ","DEBE"))</f>
        <v/>
      </c>
    </row>
    <row r="98" customFormat="false" ht="15" hidden="false" customHeight="false" outlineLevel="0" collapsed="false">
      <c r="A98" s="15" t="str">
        <f aca="false">IF(OR(Alumnos!A95="",Alumnos!E95="No"),"",Alumnos!A95)</f>
        <v/>
      </c>
      <c r="B98" s="16" t="str">
        <f aca="false">IF(A98="","",Alumnos!D95)</f>
        <v/>
      </c>
      <c r="C98" s="16" t="str">
        <f aca="false">IF(A98="","",SUMIFS(Pagos!$E$2:$E$3001,Pagos!$B$2:$B$3001,A98,Pagos!$C$2:$C$3001,$B$2,Pagos!$D$2:$D$3001,$D$2))</f>
        <v/>
      </c>
      <c r="D98" s="16" t="str">
        <f aca="false">IF(A98="","",MAX(0,B98-C98))</f>
        <v/>
      </c>
      <c r="E98" s="15" t="str">
        <f aca="false">IF(A98="","",IF(D98=0,"PAGÓ","DEBE"))</f>
        <v/>
      </c>
    </row>
    <row r="99" customFormat="false" ht="15" hidden="false" customHeight="false" outlineLevel="0" collapsed="false">
      <c r="A99" s="15" t="str">
        <f aca="false">IF(OR(Alumnos!A96="",Alumnos!E96="No"),"",Alumnos!A96)</f>
        <v/>
      </c>
      <c r="B99" s="16" t="str">
        <f aca="false">IF(A99="","",Alumnos!D96)</f>
        <v/>
      </c>
      <c r="C99" s="16" t="str">
        <f aca="false">IF(A99="","",SUMIFS(Pagos!$E$2:$E$3001,Pagos!$B$2:$B$3001,A99,Pagos!$C$2:$C$3001,$B$2,Pagos!$D$2:$D$3001,$D$2))</f>
        <v/>
      </c>
      <c r="D99" s="16" t="str">
        <f aca="false">IF(A99="","",MAX(0,B99-C99))</f>
        <v/>
      </c>
      <c r="E99" s="15" t="str">
        <f aca="false">IF(A99="","",IF(D99=0,"PAGÓ","DEBE"))</f>
        <v/>
      </c>
    </row>
    <row r="100" customFormat="false" ht="15" hidden="false" customHeight="false" outlineLevel="0" collapsed="false">
      <c r="A100" s="15" t="str">
        <f aca="false">IF(OR(Alumnos!A97="",Alumnos!E97="No"),"",Alumnos!A97)</f>
        <v/>
      </c>
      <c r="B100" s="16" t="str">
        <f aca="false">IF(A100="","",Alumnos!D97)</f>
        <v/>
      </c>
      <c r="C100" s="16" t="str">
        <f aca="false">IF(A100="","",SUMIFS(Pagos!$E$2:$E$3001,Pagos!$B$2:$B$3001,A100,Pagos!$C$2:$C$3001,$B$2,Pagos!$D$2:$D$3001,$D$2))</f>
        <v/>
      </c>
      <c r="D100" s="16" t="str">
        <f aca="false">IF(A100="","",MAX(0,B100-C100))</f>
        <v/>
      </c>
      <c r="E100" s="15" t="str">
        <f aca="false">IF(A100="","",IF(D100=0,"PAGÓ","DEBE"))</f>
        <v/>
      </c>
    </row>
    <row r="101" customFormat="false" ht="15" hidden="false" customHeight="false" outlineLevel="0" collapsed="false">
      <c r="A101" s="15" t="str">
        <f aca="false">IF(OR(Alumnos!A98="",Alumnos!E98="No"),"",Alumnos!A98)</f>
        <v/>
      </c>
      <c r="B101" s="16" t="str">
        <f aca="false">IF(A101="","",Alumnos!D98)</f>
        <v/>
      </c>
      <c r="C101" s="16" t="str">
        <f aca="false">IF(A101="","",SUMIFS(Pagos!$E$2:$E$3001,Pagos!$B$2:$B$3001,A101,Pagos!$C$2:$C$3001,$B$2,Pagos!$D$2:$D$3001,$D$2))</f>
        <v/>
      </c>
      <c r="D101" s="16" t="str">
        <f aca="false">IF(A101="","",MAX(0,B101-C101))</f>
        <v/>
      </c>
      <c r="E101" s="15" t="str">
        <f aca="false">IF(A101="","",IF(D101=0,"PAGÓ","DEBE"))</f>
        <v/>
      </c>
    </row>
    <row r="102" customFormat="false" ht="15" hidden="false" customHeight="false" outlineLevel="0" collapsed="false">
      <c r="A102" s="15" t="str">
        <f aca="false">IF(OR(Alumnos!A99="",Alumnos!E99="No"),"",Alumnos!A99)</f>
        <v/>
      </c>
      <c r="B102" s="16" t="str">
        <f aca="false">IF(A102="","",Alumnos!D99)</f>
        <v/>
      </c>
      <c r="C102" s="16" t="str">
        <f aca="false">IF(A102="","",SUMIFS(Pagos!$E$2:$E$3001,Pagos!$B$2:$B$3001,A102,Pagos!$C$2:$C$3001,$B$2,Pagos!$D$2:$D$3001,$D$2))</f>
        <v/>
      </c>
      <c r="D102" s="16" t="str">
        <f aca="false">IF(A102="","",MAX(0,B102-C102))</f>
        <v/>
      </c>
      <c r="E102" s="15" t="str">
        <f aca="false">IF(A102="","",IF(D102=0,"PAGÓ","DEBE"))</f>
        <v/>
      </c>
    </row>
    <row r="103" customFormat="false" ht="15" hidden="false" customHeight="false" outlineLevel="0" collapsed="false">
      <c r="A103" s="15" t="str">
        <f aca="false">IF(OR(Alumnos!A100="",Alumnos!E100="No"),"",Alumnos!A100)</f>
        <v/>
      </c>
      <c r="B103" s="16" t="str">
        <f aca="false">IF(A103="","",Alumnos!D100)</f>
        <v/>
      </c>
      <c r="C103" s="16" t="str">
        <f aca="false">IF(A103="","",SUMIFS(Pagos!$E$2:$E$3001,Pagos!$B$2:$B$3001,A103,Pagos!$C$2:$C$3001,$B$2,Pagos!$D$2:$D$3001,$D$2))</f>
        <v/>
      </c>
      <c r="D103" s="16" t="str">
        <f aca="false">IF(A103="","",MAX(0,B103-C103))</f>
        <v/>
      </c>
      <c r="E103" s="15" t="str">
        <f aca="false">IF(A103="","",IF(D103=0,"PAGÓ","DEBE"))</f>
        <v/>
      </c>
    </row>
    <row r="104" customFormat="false" ht="15" hidden="false" customHeight="false" outlineLevel="0" collapsed="false">
      <c r="A104" s="15" t="str">
        <f aca="false">IF(OR(Alumnos!A101="",Alumnos!E101="No"),"",Alumnos!A101)</f>
        <v/>
      </c>
      <c r="B104" s="16" t="str">
        <f aca="false">IF(A104="","",Alumnos!D101)</f>
        <v/>
      </c>
      <c r="C104" s="16" t="str">
        <f aca="false">IF(A104="","",SUMIFS(Pagos!$E$2:$E$3001,Pagos!$B$2:$B$3001,A104,Pagos!$C$2:$C$3001,$B$2,Pagos!$D$2:$D$3001,$D$2))</f>
        <v/>
      </c>
      <c r="D104" s="16" t="str">
        <f aca="false">IF(A104="","",MAX(0,B104-C104))</f>
        <v/>
      </c>
      <c r="E104" s="15" t="str">
        <f aca="false">IF(A104="","",IF(D104=0,"PAGÓ","DEBE"))</f>
        <v/>
      </c>
    </row>
    <row r="105" customFormat="false" ht="15" hidden="false" customHeight="false" outlineLevel="0" collapsed="false">
      <c r="A105" s="15" t="str">
        <f aca="false">IF(OR(Alumnos!A102="",Alumnos!E102="No"),"",Alumnos!A102)</f>
        <v/>
      </c>
      <c r="B105" s="16" t="str">
        <f aca="false">IF(A105="","",Alumnos!D102)</f>
        <v/>
      </c>
      <c r="C105" s="16" t="str">
        <f aca="false">IF(A105="","",SUMIFS(Pagos!$E$2:$E$3001,Pagos!$B$2:$B$3001,A105,Pagos!$C$2:$C$3001,$B$2,Pagos!$D$2:$D$3001,$D$2))</f>
        <v/>
      </c>
      <c r="D105" s="16" t="str">
        <f aca="false">IF(A105="","",MAX(0,B105-C105))</f>
        <v/>
      </c>
      <c r="E105" s="15" t="str">
        <f aca="false">IF(A105="","",IF(D105=0,"PAGÓ","DEBE"))</f>
        <v/>
      </c>
    </row>
    <row r="106" customFormat="false" ht="15" hidden="false" customHeight="false" outlineLevel="0" collapsed="false">
      <c r="A106" s="15" t="str">
        <f aca="false">IF(OR(Alumnos!A103="",Alumnos!E103="No"),"",Alumnos!A103)</f>
        <v/>
      </c>
      <c r="B106" s="16" t="str">
        <f aca="false">IF(A106="","",Alumnos!D103)</f>
        <v/>
      </c>
      <c r="C106" s="16" t="str">
        <f aca="false">IF(A106="","",SUMIFS(Pagos!$E$2:$E$3001,Pagos!$B$2:$B$3001,A106,Pagos!$C$2:$C$3001,$B$2,Pagos!$D$2:$D$3001,$D$2))</f>
        <v/>
      </c>
      <c r="D106" s="16" t="str">
        <f aca="false">IF(A106="","",MAX(0,B106-C106))</f>
        <v/>
      </c>
      <c r="E106" s="15" t="str">
        <f aca="false">IF(A106="","",IF(D106=0,"PAGÓ","DEBE"))</f>
        <v/>
      </c>
    </row>
    <row r="107" customFormat="false" ht="15" hidden="false" customHeight="false" outlineLevel="0" collapsed="false">
      <c r="A107" s="15" t="str">
        <f aca="false">IF(OR(Alumnos!A104="",Alumnos!E104="No"),"",Alumnos!A104)</f>
        <v/>
      </c>
      <c r="B107" s="16" t="str">
        <f aca="false">IF(A107="","",Alumnos!D104)</f>
        <v/>
      </c>
      <c r="C107" s="16" t="str">
        <f aca="false">IF(A107="","",SUMIFS(Pagos!$E$2:$E$3001,Pagos!$B$2:$B$3001,A107,Pagos!$C$2:$C$3001,$B$2,Pagos!$D$2:$D$3001,$D$2))</f>
        <v/>
      </c>
      <c r="D107" s="16" t="str">
        <f aca="false">IF(A107="","",MAX(0,B107-C107))</f>
        <v/>
      </c>
      <c r="E107" s="15" t="str">
        <f aca="false">IF(A107="","",IF(D107=0,"PAGÓ","DEBE"))</f>
        <v/>
      </c>
    </row>
    <row r="108" customFormat="false" ht="15" hidden="false" customHeight="false" outlineLevel="0" collapsed="false">
      <c r="A108" s="15" t="str">
        <f aca="false">IF(OR(Alumnos!A105="",Alumnos!E105="No"),"",Alumnos!A105)</f>
        <v/>
      </c>
      <c r="B108" s="16" t="str">
        <f aca="false">IF(A108="","",Alumnos!D105)</f>
        <v/>
      </c>
      <c r="C108" s="16" t="str">
        <f aca="false">IF(A108="","",SUMIFS(Pagos!$E$2:$E$3001,Pagos!$B$2:$B$3001,A108,Pagos!$C$2:$C$3001,$B$2,Pagos!$D$2:$D$3001,$D$2))</f>
        <v/>
      </c>
      <c r="D108" s="16" t="str">
        <f aca="false">IF(A108="","",MAX(0,B108-C108))</f>
        <v/>
      </c>
      <c r="E108" s="15" t="str">
        <f aca="false">IF(A108="","",IF(D108=0,"PAGÓ","DEBE"))</f>
        <v/>
      </c>
    </row>
    <row r="109" customFormat="false" ht="15" hidden="false" customHeight="false" outlineLevel="0" collapsed="false">
      <c r="A109" s="15" t="str">
        <f aca="false">IF(OR(Alumnos!A106="",Alumnos!E106="No"),"",Alumnos!A106)</f>
        <v/>
      </c>
      <c r="B109" s="16" t="str">
        <f aca="false">IF(A109="","",Alumnos!D106)</f>
        <v/>
      </c>
      <c r="C109" s="16" t="str">
        <f aca="false">IF(A109="","",SUMIFS(Pagos!$E$2:$E$3001,Pagos!$B$2:$B$3001,A109,Pagos!$C$2:$C$3001,$B$2,Pagos!$D$2:$D$3001,$D$2))</f>
        <v/>
      </c>
      <c r="D109" s="16" t="str">
        <f aca="false">IF(A109="","",MAX(0,B109-C109))</f>
        <v/>
      </c>
      <c r="E109" s="15" t="str">
        <f aca="false">IF(A109="","",IF(D109=0,"PAGÓ","DEBE"))</f>
        <v/>
      </c>
    </row>
    <row r="110" customFormat="false" ht="15" hidden="false" customHeight="false" outlineLevel="0" collapsed="false">
      <c r="A110" s="15" t="str">
        <f aca="false">IF(OR(Alumnos!A107="",Alumnos!E107="No"),"",Alumnos!A107)</f>
        <v/>
      </c>
      <c r="B110" s="16" t="str">
        <f aca="false">IF(A110="","",Alumnos!D107)</f>
        <v/>
      </c>
      <c r="C110" s="16" t="str">
        <f aca="false">IF(A110="","",SUMIFS(Pagos!$E$2:$E$3001,Pagos!$B$2:$B$3001,A110,Pagos!$C$2:$C$3001,$B$2,Pagos!$D$2:$D$3001,$D$2))</f>
        <v/>
      </c>
      <c r="D110" s="16" t="str">
        <f aca="false">IF(A110="","",MAX(0,B110-C110))</f>
        <v/>
      </c>
      <c r="E110" s="15" t="str">
        <f aca="false">IF(A110="","",IF(D110=0,"PAGÓ","DEBE"))</f>
        <v/>
      </c>
    </row>
    <row r="111" customFormat="false" ht="15" hidden="false" customHeight="false" outlineLevel="0" collapsed="false">
      <c r="A111" s="15" t="str">
        <f aca="false">IF(OR(Alumnos!A108="",Alumnos!E108="No"),"",Alumnos!A108)</f>
        <v/>
      </c>
      <c r="B111" s="16" t="str">
        <f aca="false">IF(A111="","",Alumnos!D108)</f>
        <v/>
      </c>
      <c r="C111" s="16" t="str">
        <f aca="false">IF(A111="","",SUMIFS(Pagos!$E$2:$E$3001,Pagos!$B$2:$B$3001,A111,Pagos!$C$2:$C$3001,$B$2,Pagos!$D$2:$D$3001,$D$2))</f>
        <v/>
      </c>
      <c r="D111" s="16" t="str">
        <f aca="false">IF(A111="","",MAX(0,B111-C111))</f>
        <v/>
      </c>
      <c r="E111" s="15" t="str">
        <f aca="false">IF(A111="","",IF(D111=0,"PAGÓ","DEBE"))</f>
        <v/>
      </c>
    </row>
    <row r="112" customFormat="false" ht="15" hidden="false" customHeight="false" outlineLevel="0" collapsed="false">
      <c r="A112" s="15" t="str">
        <f aca="false">IF(OR(Alumnos!A109="",Alumnos!E109="No"),"",Alumnos!A109)</f>
        <v/>
      </c>
      <c r="B112" s="16" t="str">
        <f aca="false">IF(A112="","",Alumnos!D109)</f>
        <v/>
      </c>
      <c r="C112" s="16" t="str">
        <f aca="false">IF(A112="","",SUMIFS(Pagos!$E$2:$E$3001,Pagos!$B$2:$B$3001,A112,Pagos!$C$2:$C$3001,$B$2,Pagos!$D$2:$D$3001,$D$2))</f>
        <v/>
      </c>
      <c r="D112" s="16" t="str">
        <f aca="false">IF(A112="","",MAX(0,B112-C112))</f>
        <v/>
      </c>
      <c r="E112" s="15" t="str">
        <f aca="false">IF(A112="","",IF(D112=0,"PAGÓ","DEBE"))</f>
        <v/>
      </c>
    </row>
    <row r="113" customFormat="false" ht="15" hidden="false" customHeight="false" outlineLevel="0" collapsed="false">
      <c r="A113" s="15" t="str">
        <f aca="false">IF(OR(Alumnos!A110="",Alumnos!E110="No"),"",Alumnos!A110)</f>
        <v/>
      </c>
      <c r="B113" s="16" t="str">
        <f aca="false">IF(A113="","",Alumnos!D110)</f>
        <v/>
      </c>
      <c r="C113" s="16" t="str">
        <f aca="false">IF(A113="","",SUMIFS(Pagos!$E$2:$E$3001,Pagos!$B$2:$B$3001,A113,Pagos!$C$2:$C$3001,$B$2,Pagos!$D$2:$D$3001,$D$2))</f>
        <v/>
      </c>
      <c r="D113" s="16" t="str">
        <f aca="false">IF(A113="","",MAX(0,B113-C113))</f>
        <v/>
      </c>
      <c r="E113" s="15" t="str">
        <f aca="false">IF(A113="","",IF(D113=0,"PAGÓ","DEBE"))</f>
        <v/>
      </c>
    </row>
    <row r="114" customFormat="false" ht="15" hidden="false" customHeight="false" outlineLevel="0" collapsed="false">
      <c r="A114" s="15" t="str">
        <f aca="false">IF(OR(Alumnos!A111="",Alumnos!E111="No"),"",Alumnos!A111)</f>
        <v/>
      </c>
      <c r="B114" s="16" t="str">
        <f aca="false">IF(A114="","",Alumnos!D111)</f>
        <v/>
      </c>
      <c r="C114" s="16" t="str">
        <f aca="false">IF(A114="","",SUMIFS(Pagos!$E$2:$E$3001,Pagos!$B$2:$B$3001,A114,Pagos!$C$2:$C$3001,$B$2,Pagos!$D$2:$D$3001,$D$2))</f>
        <v/>
      </c>
      <c r="D114" s="16" t="str">
        <f aca="false">IF(A114="","",MAX(0,B114-C114))</f>
        <v/>
      </c>
      <c r="E114" s="15" t="str">
        <f aca="false">IF(A114="","",IF(D114=0,"PAGÓ","DEBE"))</f>
        <v/>
      </c>
    </row>
    <row r="115" customFormat="false" ht="15" hidden="false" customHeight="false" outlineLevel="0" collapsed="false">
      <c r="A115" s="15" t="str">
        <f aca="false">IF(OR(Alumnos!A112="",Alumnos!E112="No"),"",Alumnos!A112)</f>
        <v/>
      </c>
      <c r="B115" s="16" t="str">
        <f aca="false">IF(A115="","",Alumnos!D112)</f>
        <v/>
      </c>
      <c r="C115" s="16" t="str">
        <f aca="false">IF(A115="","",SUMIFS(Pagos!$E$2:$E$3001,Pagos!$B$2:$B$3001,A115,Pagos!$C$2:$C$3001,$B$2,Pagos!$D$2:$D$3001,$D$2))</f>
        <v/>
      </c>
      <c r="D115" s="16" t="str">
        <f aca="false">IF(A115="","",MAX(0,B115-C115))</f>
        <v/>
      </c>
      <c r="E115" s="15" t="str">
        <f aca="false">IF(A115="","",IF(D115=0,"PAGÓ","DEBE"))</f>
        <v/>
      </c>
    </row>
    <row r="116" customFormat="false" ht="15" hidden="false" customHeight="false" outlineLevel="0" collapsed="false">
      <c r="A116" s="15" t="str">
        <f aca="false">IF(OR(Alumnos!A113="",Alumnos!E113="No"),"",Alumnos!A113)</f>
        <v/>
      </c>
      <c r="B116" s="16" t="str">
        <f aca="false">IF(A116="","",Alumnos!D113)</f>
        <v/>
      </c>
      <c r="C116" s="16" t="str">
        <f aca="false">IF(A116="","",SUMIFS(Pagos!$E$2:$E$3001,Pagos!$B$2:$B$3001,A116,Pagos!$C$2:$C$3001,$B$2,Pagos!$D$2:$D$3001,$D$2))</f>
        <v/>
      </c>
      <c r="D116" s="16" t="str">
        <f aca="false">IF(A116="","",MAX(0,B116-C116))</f>
        <v/>
      </c>
      <c r="E116" s="15" t="str">
        <f aca="false">IF(A116="","",IF(D116=0,"PAGÓ","DEBE"))</f>
        <v/>
      </c>
    </row>
    <row r="117" customFormat="false" ht="15" hidden="false" customHeight="false" outlineLevel="0" collapsed="false">
      <c r="A117" s="15" t="str">
        <f aca="false">IF(OR(Alumnos!A114="",Alumnos!E114="No"),"",Alumnos!A114)</f>
        <v/>
      </c>
      <c r="B117" s="16" t="str">
        <f aca="false">IF(A117="","",Alumnos!D114)</f>
        <v/>
      </c>
      <c r="C117" s="16" t="str">
        <f aca="false">IF(A117="","",SUMIFS(Pagos!$E$2:$E$3001,Pagos!$B$2:$B$3001,A117,Pagos!$C$2:$C$3001,$B$2,Pagos!$D$2:$D$3001,$D$2))</f>
        <v/>
      </c>
      <c r="D117" s="16" t="str">
        <f aca="false">IF(A117="","",MAX(0,B117-C117))</f>
        <v/>
      </c>
      <c r="E117" s="15" t="str">
        <f aca="false">IF(A117="","",IF(D117=0,"PAGÓ","DEBE"))</f>
        <v/>
      </c>
    </row>
    <row r="118" customFormat="false" ht="15" hidden="false" customHeight="false" outlineLevel="0" collapsed="false">
      <c r="A118" s="15" t="str">
        <f aca="false">IF(OR(Alumnos!A115="",Alumnos!E115="No"),"",Alumnos!A115)</f>
        <v/>
      </c>
      <c r="B118" s="16" t="str">
        <f aca="false">IF(A118="","",Alumnos!D115)</f>
        <v/>
      </c>
      <c r="C118" s="16" t="str">
        <f aca="false">IF(A118="","",SUMIFS(Pagos!$E$2:$E$3001,Pagos!$B$2:$B$3001,A118,Pagos!$C$2:$C$3001,$B$2,Pagos!$D$2:$D$3001,$D$2))</f>
        <v/>
      </c>
      <c r="D118" s="16" t="str">
        <f aca="false">IF(A118="","",MAX(0,B118-C118))</f>
        <v/>
      </c>
      <c r="E118" s="15" t="str">
        <f aca="false">IF(A118="","",IF(D118=0,"PAGÓ","DEBE"))</f>
        <v/>
      </c>
    </row>
    <row r="119" customFormat="false" ht="15" hidden="false" customHeight="false" outlineLevel="0" collapsed="false">
      <c r="A119" s="15" t="str">
        <f aca="false">IF(OR(Alumnos!A116="",Alumnos!E116="No"),"",Alumnos!A116)</f>
        <v/>
      </c>
      <c r="B119" s="16" t="str">
        <f aca="false">IF(A119="","",Alumnos!D116)</f>
        <v/>
      </c>
      <c r="C119" s="16" t="str">
        <f aca="false">IF(A119="","",SUMIFS(Pagos!$E$2:$E$3001,Pagos!$B$2:$B$3001,A119,Pagos!$C$2:$C$3001,$B$2,Pagos!$D$2:$D$3001,$D$2))</f>
        <v/>
      </c>
      <c r="D119" s="16" t="str">
        <f aca="false">IF(A119="","",MAX(0,B119-C119))</f>
        <v/>
      </c>
      <c r="E119" s="15" t="str">
        <f aca="false">IF(A119="","",IF(D119=0,"PAGÓ","DEBE"))</f>
        <v/>
      </c>
    </row>
    <row r="120" customFormat="false" ht="15" hidden="false" customHeight="false" outlineLevel="0" collapsed="false">
      <c r="A120" s="15" t="str">
        <f aca="false">IF(OR(Alumnos!A117="",Alumnos!E117="No"),"",Alumnos!A117)</f>
        <v/>
      </c>
      <c r="B120" s="16" t="str">
        <f aca="false">IF(A120="","",Alumnos!D117)</f>
        <v/>
      </c>
      <c r="C120" s="16" t="str">
        <f aca="false">IF(A120="","",SUMIFS(Pagos!$E$2:$E$3001,Pagos!$B$2:$B$3001,A120,Pagos!$C$2:$C$3001,$B$2,Pagos!$D$2:$D$3001,$D$2))</f>
        <v/>
      </c>
      <c r="D120" s="16" t="str">
        <f aca="false">IF(A120="","",MAX(0,B120-C120))</f>
        <v/>
      </c>
      <c r="E120" s="15" t="str">
        <f aca="false">IF(A120="","",IF(D120=0,"PAGÓ","DEBE"))</f>
        <v/>
      </c>
    </row>
    <row r="121" customFormat="false" ht="15" hidden="false" customHeight="false" outlineLevel="0" collapsed="false">
      <c r="A121" s="15" t="str">
        <f aca="false">IF(OR(Alumnos!A118="",Alumnos!E118="No"),"",Alumnos!A118)</f>
        <v/>
      </c>
      <c r="B121" s="16" t="str">
        <f aca="false">IF(A121="","",Alumnos!D118)</f>
        <v/>
      </c>
      <c r="C121" s="16" t="str">
        <f aca="false">IF(A121="","",SUMIFS(Pagos!$E$2:$E$3001,Pagos!$B$2:$B$3001,A121,Pagos!$C$2:$C$3001,$B$2,Pagos!$D$2:$D$3001,$D$2))</f>
        <v/>
      </c>
      <c r="D121" s="16" t="str">
        <f aca="false">IF(A121="","",MAX(0,B121-C121))</f>
        <v/>
      </c>
      <c r="E121" s="15" t="str">
        <f aca="false">IF(A121="","",IF(D121=0,"PAGÓ","DEBE"))</f>
        <v/>
      </c>
    </row>
    <row r="122" customFormat="false" ht="15" hidden="false" customHeight="false" outlineLevel="0" collapsed="false">
      <c r="A122" s="15" t="str">
        <f aca="false">IF(OR(Alumnos!A119="",Alumnos!E119="No"),"",Alumnos!A119)</f>
        <v/>
      </c>
      <c r="B122" s="16" t="str">
        <f aca="false">IF(A122="","",Alumnos!D119)</f>
        <v/>
      </c>
      <c r="C122" s="16" t="str">
        <f aca="false">IF(A122="","",SUMIFS(Pagos!$E$2:$E$3001,Pagos!$B$2:$B$3001,A122,Pagos!$C$2:$C$3001,$B$2,Pagos!$D$2:$D$3001,$D$2))</f>
        <v/>
      </c>
      <c r="D122" s="16" t="str">
        <f aca="false">IF(A122="","",MAX(0,B122-C122))</f>
        <v/>
      </c>
      <c r="E122" s="15" t="str">
        <f aca="false">IF(A122="","",IF(D122=0,"PAGÓ","DEBE"))</f>
        <v/>
      </c>
    </row>
    <row r="123" customFormat="false" ht="15" hidden="false" customHeight="false" outlineLevel="0" collapsed="false">
      <c r="A123" s="15" t="str">
        <f aca="false">IF(OR(Alumnos!A120="",Alumnos!E120="No"),"",Alumnos!A120)</f>
        <v/>
      </c>
      <c r="B123" s="16" t="str">
        <f aca="false">IF(A123="","",Alumnos!D120)</f>
        <v/>
      </c>
      <c r="C123" s="16" t="str">
        <f aca="false">IF(A123="","",SUMIFS(Pagos!$E$2:$E$3001,Pagos!$B$2:$B$3001,A123,Pagos!$C$2:$C$3001,$B$2,Pagos!$D$2:$D$3001,$D$2))</f>
        <v/>
      </c>
      <c r="D123" s="16" t="str">
        <f aca="false">IF(A123="","",MAX(0,B123-C123))</f>
        <v/>
      </c>
      <c r="E123" s="15" t="str">
        <f aca="false">IF(A123="","",IF(D123=0,"PAGÓ","DEBE"))</f>
        <v/>
      </c>
    </row>
    <row r="124" customFormat="false" ht="15" hidden="false" customHeight="false" outlineLevel="0" collapsed="false">
      <c r="A124" s="15" t="str">
        <f aca="false">IF(OR(Alumnos!A121="",Alumnos!E121="No"),"",Alumnos!A121)</f>
        <v/>
      </c>
      <c r="B124" s="16" t="str">
        <f aca="false">IF(A124="","",Alumnos!D121)</f>
        <v/>
      </c>
      <c r="C124" s="16" t="str">
        <f aca="false">IF(A124="","",SUMIFS(Pagos!$E$2:$E$3001,Pagos!$B$2:$B$3001,A124,Pagos!$C$2:$C$3001,$B$2,Pagos!$D$2:$D$3001,$D$2))</f>
        <v/>
      </c>
      <c r="D124" s="16" t="str">
        <f aca="false">IF(A124="","",MAX(0,B124-C124))</f>
        <v/>
      </c>
      <c r="E124" s="15" t="str">
        <f aca="false">IF(A124="","",IF(D124=0,"PAGÓ","DEBE"))</f>
        <v/>
      </c>
    </row>
    <row r="125" customFormat="false" ht="15" hidden="false" customHeight="false" outlineLevel="0" collapsed="false">
      <c r="A125" s="15" t="str">
        <f aca="false">IF(OR(Alumnos!A122="",Alumnos!E122="No"),"",Alumnos!A122)</f>
        <v/>
      </c>
      <c r="B125" s="16" t="str">
        <f aca="false">IF(A125="","",Alumnos!D122)</f>
        <v/>
      </c>
      <c r="C125" s="16" t="str">
        <f aca="false">IF(A125="","",SUMIFS(Pagos!$E$2:$E$3001,Pagos!$B$2:$B$3001,A125,Pagos!$C$2:$C$3001,$B$2,Pagos!$D$2:$D$3001,$D$2))</f>
        <v/>
      </c>
      <c r="D125" s="16" t="str">
        <f aca="false">IF(A125="","",MAX(0,B125-C125))</f>
        <v/>
      </c>
      <c r="E125" s="15" t="str">
        <f aca="false">IF(A125="","",IF(D125=0,"PAGÓ","DEBE"))</f>
        <v/>
      </c>
    </row>
    <row r="126" customFormat="false" ht="15" hidden="false" customHeight="false" outlineLevel="0" collapsed="false">
      <c r="A126" s="15" t="str">
        <f aca="false">IF(OR(Alumnos!A123="",Alumnos!E123="No"),"",Alumnos!A123)</f>
        <v/>
      </c>
      <c r="B126" s="16" t="str">
        <f aca="false">IF(A126="","",Alumnos!D123)</f>
        <v/>
      </c>
      <c r="C126" s="16" t="str">
        <f aca="false">IF(A126="","",SUMIFS(Pagos!$E$2:$E$3001,Pagos!$B$2:$B$3001,A126,Pagos!$C$2:$C$3001,$B$2,Pagos!$D$2:$D$3001,$D$2))</f>
        <v/>
      </c>
      <c r="D126" s="16" t="str">
        <f aca="false">IF(A126="","",MAX(0,B126-C126))</f>
        <v/>
      </c>
      <c r="E126" s="15" t="str">
        <f aca="false">IF(A126="","",IF(D126=0,"PAGÓ","DEBE"))</f>
        <v/>
      </c>
    </row>
    <row r="127" customFormat="false" ht="15" hidden="false" customHeight="false" outlineLevel="0" collapsed="false">
      <c r="A127" s="15" t="str">
        <f aca="false">IF(OR(Alumnos!A124="",Alumnos!E124="No"),"",Alumnos!A124)</f>
        <v/>
      </c>
      <c r="B127" s="16" t="str">
        <f aca="false">IF(A127="","",Alumnos!D124)</f>
        <v/>
      </c>
      <c r="C127" s="16" t="str">
        <f aca="false">IF(A127="","",SUMIFS(Pagos!$E$2:$E$3001,Pagos!$B$2:$B$3001,A127,Pagos!$C$2:$C$3001,$B$2,Pagos!$D$2:$D$3001,$D$2))</f>
        <v/>
      </c>
      <c r="D127" s="16" t="str">
        <f aca="false">IF(A127="","",MAX(0,B127-C127))</f>
        <v/>
      </c>
      <c r="E127" s="15" t="str">
        <f aca="false">IF(A127="","",IF(D127=0,"PAGÓ","DEBE"))</f>
        <v/>
      </c>
    </row>
    <row r="128" customFormat="false" ht="15" hidden="false" customHeight="false" outlineLevel="0" collapsed="false">
      <c r="A128" s="15" t="str">
        <f aca="false">IF(OR(Alumnos!A125="",Alumnos!E125="No"),"",Alumnos!A125)</f>
        <v/>
      </c>
      <c r="B128" s="16" t="str">
        <f aca="false">IF(A128="","",Alumnos!D125)</f>
        <v/>
      </c>
      <c r="C128" s="16" t="str">
        <f aca="false">IF(A128="","",SUMIFS(Pagos!$E$2:$E$3001,Pagos!$B$2:$B$3001,A128,Pagos!$C$2:$C$3001,$B$2,Pagos!$D$2:$D$3001,$D$2))</f>
        <v/>
      </c>
      <c r="D128" s="16" t="str">
        <f aca="false">IF(A128="","",MAX(0,B128-C128))</f>
        <v/>
      </c>
      <c r="E128" s="15" t="str">
        <f aca="false">IF(A128="","",IF(D128=0,"PAGÓ","DEBE"))</f>
        <v/>
      </c>
    </row>
    <row r="129" customFormat="false" ht="15" hidden="false" customHeight="false" outlineLevel="0" collapsed="false">
      <c r="A129" s="15" t="str">
        <f aca="false">IF(OR(Alumnos!A126="",Alumnos!E126="No"),"",Alumnos!A126)</f>
        <v/>
      </c>
      <c r="B129" s="16" t="str">
        <f aca="false">IF(A129="","",Alumnos!D126)</f>
        <v/>
      </c>
      <c r="C129" s="16" t="str">
        <f aca="false">IF(A129="","",SUMIFS(Pagos!$E$2:$E$3001,Pagos!$B$2:$B$3001,A129,Pagos!$C$2:$C$3001,$B$2,Pagos!$D$2:$D$3001,$D$2))</f>
        <v/>
      </c>
      <c r="D129" s="16" t="str">
        <f aca="false">IF(A129="","",MAX(0,B129-C129))</f>
        <v/>
      </c>
      <c r="E129" s="15" t="str">
        <f aca="false">IF(A129="","",IF(D129=0,"PAGÓ","DEBE"))</f>
        <v/>
      </c>
    </row>
    <row r="130" customFormat="false" ht="15" hidden="false" customHeight="false" outlineLevel="0" collapsed="false">
      <c r="A130" s="15" t="str">
        <f aca="false">IF(OR(Alumnos!A127="",Alumnos!E127="No"),"",Alumnos!A127)</f>
        <v/>
      </c>
      <c r="B130" s="16" t="str">
        <f aca="false">IF(A130="","",Alumnos!D127)</f>
        <v/>
      </c>
      <c r="C130" s="16" t="str">
        <f aca="false">IF(A130="","",SUMIFS(Pagos!$E$2:$E$3001,Pagos!$B$2:$B$3001,A130,Pagos!$C$2:$C$3001,$B$2,Pagos!$D$2:$D$3001,$D$2))</f>
        <v/>
      </c>
      <c r="D130" s="16" t="str">
        <f aca="false">IF(A130="","",MAX(0,B130-C130))</f>
        <v/>
      </c>
      <c r="E130" s="15" t="str">
        <f aca="false">IF(A130="","",IF(D130=0,"PAGÓ","DEBE"))</f>
        <v/>
      </c>
    </row>
    <row r="131" customFormat="false" ht="15" hidden="false" customHeight="false" outlineLevel="0" collapsed="false">
      <c r="A131" s="15" t="str">
        <f aca="false">IF(OR(Alumnos!A128="",Alumnos!E128="No"),"",Alumnos!A128)</f>
        <v/>
      </c>
      <c r="B131" s="16" t="str">
        <f aca="false">IF(A131="","",Alumnos!D128)</f>
        <v/>
      </c>
      <c r="C131" s="16" t="str">
        <f aca="false">IF(A131="","",SUMIFS(Pagos!$E$2:$E$3001,Pagos!$B$2:$B$3001,A131,Pagos!$C$2:$C$3001,$B$2,Pagos!$D$2:$D$3001,$D$2))</f>
        <v/>
      </c>
      <c r="D131" s="16" t="str">
        <f aca="false">IF(A131="","",MAX(0,B131-C131))</f>
        <v/>
      </c>
      <c r="E131" s="15" t="str">
        <f aca="false">IF(A131="","",IF(D131=0,"PAGÓ","DEBE"))</f>
        <v/>
      </c>
    </row>
    <row r="132" customFormat="false" ht="15" hidden="false" customHeight="false" outlineLevel="0" collapsed="false">
      <c r="A132" s="15" t="str">
        <f aca="false">IF(OR(Alumnos!A129="",Alumnos!E129="No"),"",Alumnos!A129)</f>
        <v/>
      </c>
      <c r="B132" s="16" t="str">
        <f aca="false">IF(A132="","",Alumnos!D129)</f>
        <v/>
      </c>
      <c r="C132" s="16" t="str">
        <f aca="false">IF(A132="","",SUMIFS(Pagos!$E$2:$E$3001,Pagos!$B$2:$B$3001,A132,Pagos!$C$2:$C$3001,$B$2,Pagos!$D$2:$D$3001,$D$2))</f>
        <v/>
      </c>
      <c r="D132" s="16" t="str">
        <f aca="false">IF(A132="","",MAX(0,B132-C132))</f>
        <v/>
      </c>
      <c r="E132" s="15" t="str">
        <f aca="false">IF(A132="","",IF(D132=0,"PAGÓ","DEBE"))</f>
        <v/>
      </c>
    </row>
    <row r="133" customFormat="false" ht="15" hidden="false" customHeight="false" outlineLevel="0" collapsed="false">
      <c r="A133" s="15" t="str">
        <f aca="false">IF(OR(Alumnos!A130="",Alumnos!E130="No"),"",Alumnos!A130)</f>
        <v/>
      </c>
      <c r="B133" s="16" t="str">
        <f aca="false">IF(A133="","",Alumnos!D130)</f>
        <v/>
      </c>
      <c r="C133" s="16" t="str">
        <f aca="false">IF(A133="","",SUMIFS(Pagos!$E$2:$E$3001,Pagos!$B$2:$B$3001,A133,Pagos!$C$2:$C$3001,$B$2,Pagos!$D$2:$D$3001,$D$2))</f>
        <v/>
      </c>
      <c r="D133" s="16" t="str">
        <f aca="false">IF(A133="","",MAX(0,B133-C133))</f>
        <v/>
      </c>
      <c r="E133" s="15" t="str">
        <f aca="false">IF(A133="","",IF(D133=0,"PAGÓ","DEBE"))</f>
        <v/>
      </c>
    </row>
    <row r="134" customFormat="false" ht="15" hidden="false" customHeight="false" outlineLevel="0" collapsed="false">
      <c r="A134" s="15" t="str">
        <f aca="false">IF(OR(Alumnos!A131="",Alumnos!E131="No"),"",Alumnos!A131)</f>
        <v/>
      </c>
      <c r="B134" s="16" t="str">
        <f aca="false">IF(A134="","",Alumnos!D131)</f>
        <v/>
      </c>
      <c r="C134" s="16" t="str">
        <f aca="false">IF(A134="","",SUMIFS(Pagos!$E$2:$E$3001,Pagos!$B$2:$B$3001,A134,Pagos!$C$2:$C$3001,$B$2,Pagos!$D$2:$D$3001,$D$2))</f>
        <v/>
      </c>
      <c r="D134" s="16" t="str">
        <f aca="false">IF(A134="","",MAX(0,B134-C134))</f>
        <v/>
      </c>
      <c r="E134" s="15" t="str">
        <f aca="false">IF(A134="","",IF(D134=0,"PAGÓ","DEBE"))</f>
        <v/>
      </c>
    </row>
    <row r="135" customFormat="false" ht="15" hidden="false" customHeight="false" outlineLevel="0" collapsed="false">
      <c r="A135" s="15" t="str">
        <f aca="false">IF(OR(Alumnos!A132="",Alumnos!E132="No"),"",Alumnos!A132)</f>
        <v/>
      </c>
      <c r="B135" s="16" t="str">
        <f aca="false">IF(A135="","",Alumnos!D132)</f>
        <v/>
      </c>
      <c r="C135" s="16" t="str">
        <f aca="false">IF(A135="","",SUMIFS(Pagos!$E$2:$E$3001,Pagos!$B$2:$B$3001,A135,Pagos!$C$2:$C$3001,$B$2,Pagos!$D$2:$D$3001,$D$2))</f>
        <v/>
      </c>
      <c r="D135" s="16" t="str">
        <f aca="false">IF(A135="","",MAX(0,B135-C135))</f>
        <v/>
      </c>
      <c r="E135" s="15" t="str">
        <f aca="false">IF(A135="","",IF(D135=0,"PAGÓ","DEBE"))</f>
        <v/>
      </c>
    </row>
    <row r="136" customFormat="false" ht="15" hidden="false" customHeight="false" outlineLevel="0" collapsed="false">
      <c r="A136" s="15" t="str">
        <f aca="false">IF(OR(Alumnos!A133="",Alumnos!E133="No"),"",Alumnos!A133)</f>
        <v/>
      </c>
      <c r="B136" s="16" t="str">
        <f aca="false">IF(A136="","",Alumnos!D133)</f>
        <v/>
      </c>
      <c r="C136" s="16" t="str">
        <f aca="false">IF(A136="","",SUMIFS(Pagos!$E$2:$E$3001,Pagos!$B$2:$B$3001,A136,Pagos!$C$2:$C$3001,$B$2,Pagos!$D$2:$D$3001,$D$2))</f>
        <v/>
      </c>
      <c r="D136" s="16" t="str">
        <f aca="false">IF(A136="","",MAX(0,B136-C136))</f>
        <v/>
      </c>
      <c r="E136" s="15" t="str">
        <f aca="false">IF(A136="","",IF(D136=0,"PAGÓ","DEBE"))</f>
        <v/>
      </c>
    </row>
    <row r="137" customFormat="false" ht="15" hidden="false" customHeight="false" outlineLevel="0" collapsed="false">
      <c r="A137" s="15" t="str">
        <f aca="false">IF(OR(Alumnos!A134="",Alumnos!E134="No"),"",Alumnos!A134)</f>
        <v/>
      </c>
      <c r="B137" s="16" t="str">
        <f aca="false">IF(A137="","",Alumnos!D134)</f>
        <v/>
      </c>
      <c r="C137" s="16" t="str">
        <f aca="false">IF(A137="","",SUMIFS(Pagos!$E$2:$E$3001,Pagos!$B$2:$B$3001,A137,Pagos!$C$2:$C$3001,$B$2,Pagos!$D$2:$D$3001,$D$2))</f>
        <v/>
      </c>
      <c r="D137" s="16" t="str">
        <f aca="false">IF(A137="","",MAX(0,B137-C137))</f>
        <v/>
      </c>
      <c r="E137" s="15" t="str">
        <f aca="false">IF(A137="","",IF(D137=0,"PAGÓ","DEBE"))</f>
        <v/>
      </c>
    </row>
    <row r="138" customFormat="false" ht="15" hidden="false" customHeight="false" outlineLevel="0" collapsed="false">
      <c r="A138" s="15" t="str">
        <f aca="false">IF(OR(Alumnos!A135="",Alumnos!E135="No"),"",Alumnos!A135)</f>
        <v/>
      </c>
      <c r="B138" s="16" t="str">
        <f aca="false">IF(A138="","",Alumnos!D135)</f>
        <v/>
      </c>
      <c r="C138" s="16" t="str">
        <f aca="false">IF(A138="","",SUMIFS(Pagos!$E$2:$E$3001,Pagos!$B$2:$B$3001,A138,Pagos!$C$2:$C$3001,$B$2,Pagos!$D$2:$D$3001,$D$2))</f>
        <v/>
      </c>
      <c r="D138" s="16" t="str">
        <f aca="false">IF(A138="","",MAX(0,B138-C138))</f>
        <v/>
      </c>
      <c r="E138" s="15" t="str">
        <f aca="false">IF(A138="","",IF(D138=0,"PAGÓ","DEBE"))</f>
        <v/>
      </c>
    </row>
    <row r="139" customFormat="false" ht="15" hidden="false" customHeight="false" outlineLevel="0" collapsed="false">
      <c r="A139" s="15" t="str">
        <f aca="false">IF(OR(Alumnos!A136="",Alumnos!E136="No"),"",Alumnos!A136)</f>
        <v/>
      </c>
      <c r="B139" s="16" t="str">
        <f aca="false">IF(A139="","",Alumnos!D136)</f>
        <v/>
      </c>
      <c r="C139" s="16" t="str">
        <f aca="false">IF(A139="","",SUMIFS(Pagos!$E$2:$E$3001,Pagos!$B$2:$B$3001,A139,Pagos!$C$2:$C$3001,$B$2,Pagos!$D$2:$D$3001,$D$2))</f>
        <v/>
      </c>
      <c r="D139" s="16" t="str">
        <f aca="false">IF(A139="","",MAX(0,B139-C139))</f>
        <v/>
      </c>
      <c r="E139" s="15" t="str">
        <f aca="false">IF(A139="","",IF(D139=0,"PAGÓ","DEBE"))</f>
        <v/>
      </c>
    </row>
    <row r="140" customFormat="false" ht="15" hidden="false" customHeight="false" outlineLevel="0" collapsed="false">
      <c r="A140" s="15" t="str">
        <f aca="false">IF(OR(Alumnos!A137="",Alumnos!E137="No"),"",Alumnos!A137)</f>
        <v/>
      </c>
      <c r="B140" s="16" t="str">
        <f aca="false">IF(A140="","",Alumnos!D137)</f>
        <v/>
      </c>
      <c r="C140" s="16" t="str">
        <f aca="false">IF(A140="","",SUMIFS(Pagos!$E$2:$E$3001,Pagos!$B$2:$B$3001,A140,Pagos!$C$2:$C$3001,$B$2,Pagos!$D$2:$D$3001,$D$2))</f>
        <v/>
      </c>
      <c r="D140" s="16" t="str">
        <f aca="false">IF(A140="","",MAX(0,B140-C140))</f>
        <v/>
      </c>
      <c r="E140" s="15" t="str">
        <f aca="false">IF(A140="","",IF(D140=0,"PAGÓ","DEBE"))</f>
        <v/>
      </c>
    </row>
    <row r="141" customFormat="false" ht="15" hidden="false" customHeight="false" outlineLevel="0" collapsed="false">
      <c r="A141" s="15" t="str">
        <f aca="false">IF(OR(Alumnos!A138="",Alumnos!E138="No"),"",Alumnos!A138)</f>
        <v/>
      </c>
      <c r="B141" s="16" t="str">
        <f aca="false">IF(A141="","",Alumnos!D138)</f>
        <v/>
      </c>
      <c r="C141" s="16" t="str">
        <f aca="false">IF(A141="","",SUMIFS(Pagos!$E$2:$E$3001,Pagos!$B$2:$B$3001,A141,Pagos!$C$2:$C$3001,$B$2,Pagos!$D$2:$D$3001,$D$2))</f>
        <v/>
      </c>
      <c r="D141" s="16" t="str">
        <f aca="false">IF(A141="","",MAX(0,B141-C141))</f>
        <v/>
      </c>
      <c r="E141" s="15" t="str">
        <f aca="false">IF(A141="","",IF(D141=0,"PAGÓ","DEBE"))</f>
        <v/>
      </c>
    </row>
    <row r="142" customFormat="false" ht="15" hidden="false" customHeight="false" outlineLevel="0" collapsed="false">
      <c r="A142" s="15" t="str">
        <f aca="false">IF(OR(Alumnos!A139="",Alumnos!E139="No"),"",Alumnos!A139)</f>
        <v/>
      </c>
      <c r="B142" s="16" t="str">
        <f aca="false">IF(A142="","",Alumnos!D139)</f>
        <v/>
      </c>
      <c r="C142" s="16" t="str">
        <f aca="false">IF(A142="","",SUMIFS(Pagos!$E$2:$E$3001,Pagos!$B$2:$B$3001,A142,Pagos!$C$2:$C$3001,$B$2,Pagos!$D$2:$D$3001,$D$2))</f>
        <v/>
      </c>
      <c r="D142" s="16" t="str">
        <f aca="false">IF(A142="","",MAX(0,B142-C142))</f>
        <v/>
      </c>
      <c r="E142" s="15" t="str">
        <f aca="false">IF(A142="","",IF(D142=0,"PAGÓ","DEBE"))</f>
        <v/>
      </c>
    </row>
    <row r="143" customFormat="false" ht="15" hidden="false" customHeight="false" outlineLevel="0" collapsed="false">
      <c r="A143" s="15" t="str">
        <f aca="false">IF(OR(Alumnos!A140="",Alumnos!E140="No"),"",Alumnos!A140)</f>
        <v/>
      </c>
      <c r="B143" s="16" t="str">
        <f aca="false">IF(A143="","",Alumnos!D140)</f>
        <v/>
      </c>
      <c r="C143" s="16" t="str">
        <f aca="false">IF(A143="","",SUMIFS(Pagos!$E$2:$E$3001,Pagos!$B$2:$B$3001,A143,Pagos!$C$2:$C$3001,$B$2,Pagos!$D$2:$D$3001,$D$2))</f>
        <v/>
      </c>
      <c r="D143" s="16" t="str">
        <f aca="false">IF(A143="","",MAX(0,B143-C143))</f>
        <v/>
      </c>
      <c r="E143" s="15" t="str">
        <f aca="false">IF(A143="","",IF(D143=0,"PAGÓ","DEBE"))</f>
        <v/>
      </c>
    </row>
    <row r="144" customFormat="false" ht="15" hidden="false" customHeight="false" outlineLevel="0" collapsed="false">
      <c r="A144" s="15" t="str">
        <f aca="false">IF(OR(Alumnos!A141="",Alumnos!E141="No"),"",Alumnos!A141)</f>
        <v/>
      </c>
      <c r="B144" s="16" t="str">
        <f aca="false">IF(A144="","",Alumnos!D141)</f>
        <v/>
      </c>
      <c r="C144" s="16" t="str">
        <f aca="false">IF(A144="","",SUMIFS(Pagos!$E$2:$E$3001,Pagos!$B$2:$B$3001,A144,Pagos!$C$2:$C$3001,$B$2,Pagos!$D$2:$D$3001,$D$2))</f>
        <v/>
      </c>
      <c r="D144" s="16" t="str">
        <f aca="false">IF(A144="","",MAX(0,B144-C144))</f>
        <v/>
      </c>
      <c r="E144" s="15" t="str">
        <f aca="false">IF(A144="","",IF(D144=0,"PAGÓ","DEBE"))</f>
        <v/>
      </c>
    </row>
    <row r="145" customFormat="false" ht="15" hidden="false" customHeight="false" outlineLevel="0" collapsed="false">
      <c r="A145" s="15" t="str">
        <f aca="false">IF(OR(Alumnos!A142="",Alumnos!E142="No"),"",Alumnos!A142)</f>
        <v/>
      </c>
      <c r="B145" s="16" t="str">
        <f aca="false">IF(A145="","",Alumnos!D142)</f>
        <v/>
      </c>
      <c r="C145" s="16" t="str">
        <f aca="false">IF(A145="","",SUMIFS(Pagos!$E$2:$E$3001,Pagos!$B$2:$B$3001,A145,Pagos!$C$2:$C$3001,$B$2,Pagos!$D$2:$D$3001,$D$2))</f>
        <v/>
      </c>
      <c r="D145" s="16" t="str">
        <f aca="false">IF(A145="","",MAX(0,B145-C145))</f>
        <v/>
      </c>
      <c r="E145" s="15" t="str">
        <f aca="false">IF(A145="","",IF(D145=0,"PAGÓ","DEBE"))</f>
        <v/>
      </c>
    </row>
    <row r="146" customFormat="false" ht="15" hidden="false" customHeight="false" outlineLevel="0" collapsed="false">
      <c r="A146" s="15" t="str">
        <f aca="false">IF(OR(Alumnos!A143="",Alumnos!E143="No"),"",Alumnos!A143)</f>
        <v/>
      </c>
      <c r="B146" s="16" t="str">
        <f aca="false">IF(A146="","",Alumnos!D143)</f>
        <v/>
      </c>
      <c r="C146" s="16" t="str">
        <f aca="false">IF(A146="","",SUMIFS(Pagos!$E$2:$E$3001,Pagos!$B$2:$B$3001,A146,Pagos!$C$2:$C$3001,$B$2,Pagos!$D$2:$D$3001,$D$2))</f>
        <v/>
      </c>
      <c r="D146" s="16" t="str">
        <f aca="false">IF(A146="","",MAX(0,B146-C146))</f>
        <v/>
      </c>
      <c r="E146" s="15" t="str">
        <f aca="false">IF(A146="","",IF(D146=0,"PAGÓ","DEBE"))</f>
        <v/>
      </c>
    </row>
    <row r="147" customFormat="false" ht="15" hidden="false" customHeight="false" outlineLevel="0" collapsed="false">
      <c r="A147" s="15" t="str">
        <f aca="false">IF(OR(Alumnos!A144="",Alumnos!E144="No"),"",Alumnos!A144)</f>
        <v/>
      </c>
      <c r="B147" s="16" t="str">
        <f aca="false">IF(A147="","",Alumnos!D144)</f>
        <v/>
      </c>
      <c r="C147" s="16" t="str">
        <f aca="false">IF(A147="","",SUMIFS(Pagos!$E$2:$E$3001,Pagos!$B$2:$B$3001,A147,Pagos!$C$2:$C$3001,$B$2,Pagos!$D$2:$D$3001,$D$2))</f>
        <v/>
      </c>
      <c r="D147" s="16" t="str">
        <f aca="false">IF(A147="","",MAX(0,B147-C147))</f>
        <v/>
      </c>
      <c r="E147" s="15" t="str">
        <f aca="false">IF(A147="","",IF(D147=0,"PAGÓ","DEBE"))</f>
        <v/>
      </c>
    </row>
    <row r="148" customFormat="false" ht="15" hidden="false" customHeight="false" outlineLevel="0" collapsed="false">
      <c r="A148" s="15" t="str">
        <f aca="false">IF(OR(Alumnos!A145="",Alumnos!E145="No"),"",Alumnos!A145)</f>
        <v/>
      </c>
      <c r="B148" s="16" t="str">
        <f aca="false">IF(A148="","",Alumnos!D145)</f>
        <v/>
      </c>
      <c r="C148" s="16" t="str">
        <f aca="false">IF(A148="","",SUMIFS(Pagos!$E$2:$E$3001,Pagos!$B$2:$B$3001,A148,Pagos!$C$2:$C$3001,$B$2,Pagos!$D$2:$D$3001,$D$2))</f>
        <v/>
      </c>
      <c r="D148" s="16" t="str">
        <f aca="false">IF(A148="","",MAX(0,B148-C148))</f>
        <v/>
      </c>
      <c r="E148" s="15" t="str">
        <f aca="false">IF(A148="","",IF(D148=0,"PAGÓ","DEBE"))</f>
        <v/>
      </c>
    </row>
    <row r="149" customFormat="false" ht="15" hidden="false" customHeight="false" outlineLevel="0" collapsed="false">
      <c r="A149" s="15" t="str">
        <f aca="false">IF(OR(Alumnos!A146="",Alumnos!E146="No"),"",Alumnos!A146)</f>
        <v/>
      </c>
      <c r="B149" s="16" t="str">
        <f aca="false">IF(A149="","",Alumnos!D146)</f>
        <v/>
      </c>
      <c r="C149" s="16" t="str">
        <f aca="false">IF(A149="","",SUMIFS(Pagos!$E$2:$E$3001,Pagos!$B$2:$B$3001,A149,Pagos!$C$2:$C$3001,$B$2,Pagos!$D$2:$D$3001,$D$2))</f>
        <v/>
      </c>
      <c r="D149" s="16" t="str">
        <f aca="false">IF(A149="","",MAX(0,B149-C149))</f>
        <v/>
      </c>
      <c r="E149" s="15" t="str">
        <f aca="false">IF(A149="","",IF(D149=0,"PAGÓ","DEBE"))</f>
        <v/>
      </c>
    </row>
    <row r="150" customFormat="false" ht="15" hidden="false" customHeight="false" outlineLevel="0" collapsed="false">
      <c r="A150" s="15" t="str">
        <f aca="false">IF(OR(Alumnos!A147="",Alumnos!E147="No"),"",Alumnos!A147)</f>
        <v/>
      </c>
      <c r="B150" s="16" t="str">
        <f aca="false">IF(A150="","",Alumnos!D147)</f>
        <v/>
      </c>
      <c r="C150" s="16" t="str">
        <f aca="false">IF(A150="","",SUMIFS(Pagos!$E$2:$E$3001,Pagos!$B$2:$B$3001,A150,Pagos!$C$2:$C$3001,$B$2,Pagos!$D$2:$D$3001,$D$2))</f>
        <v/>
      </c>
      <c r="D150" s="16" t="str">
        <f aca="false">IF(A150="","",MAX(0,B150-C150))</f>
        <v/>
      </c>
      <c r="E150" s="15" t="str">
        <f aca="false">IF(A150="","",IF(D150=0,"PAGÓ","DEBE"))</f>
        <v/>
      </c>
    </row>
    <row r="151" customFormat="false" ht="15" hidden="false" customHeight="false" outlineLevel="0" collapsed="false">
      <c r="A151" s="15" t="str">
        <f aca="false">IF(OR(Alumnos!A148="",Alumnos!E148="No"),"",Alumnos!A148)</f>
        <v/>
      </c>
      <c r="B151" s="16" t="str">
        <f aca="false">IF(A151="","",Alumnos!D148)</f>
        <v/>
      </c>
      <c r="C151" s="16" t="str">
        <f aca="false">IF(A151="","",SUMIFS(Pagos!$E$2:$E$3001,Pagos!$B$2:$B$3001,A151,Pagos!$C$2:$C$3001,$B$2,Pagos!$D$2:$D$3001,$D$2))</f>
        <v/>
      </c>
      <c r="D151" s="16" t="str">
        <f aca="false">IF(A151="","",MAX(0,B151-C151))</f>
        <v/>
      </c>
      <c r="E151" s="15" t="str">
        <f aca="false">IF(A151="","",IF(D151=0,"PAGÓ","DEBE"))</f>
        <v/>
      </c>
    </row>
    <row r="152" customFormat="false" ht="15" hidden="false" customHeight="false" outlineLevel="0" collapsed="false">
      <c r="A152" s="15" t="str">
        <f aca="false">IF(OR(Alumnos!A149="",Alumnos!E149="No"),"",Alumnos!A149)</f>
        <v/>
      </c>
      <c r="B152" s="16" t="str">
        <f aca="false">IF(A152="","",Alumnos!D149)</f>
        <v/>
      </c>
      <c r="C152" s="16" t="str">
        <f aca="false">IF(A152="","",SUMIFS(Pagos!$E$2:$E$3001,Pagos!$B$2:$B$3001,A152,Pagos!$C$2:$C$3001,$B$2,Pagos!$D$2:$D$3001,$D$2))</f>
        <v/>
      </c>
      <c r="D152" s="16" t="str">
        <f aca="false">IF(A152="","",MAX(0,B152-C152))</f>
        <v/>
      </c>
      <c r="E152" s="15" t="str">
        <f aca="false">IF(A152="","",IF(D152=0,"PAGÓ","DEBE"))</f>
        <v/>
      </c>
    </row>
    <row r="153" customFormat="false" ht="15" hidden="false" customHeight="false" outlineLevel="0" collapsed="false">
      <c r="A153" s="15" t="str">
        <f aca="false">IF(OR(Alumnos!A150="",Alumnos!E150="No"),"",Alumnos!A150)</f>
        <v/>
      </c>
      <c r="B153" s="16" t="str">
        <f aca="false">IF(A153="","",Alumnos!D150)</f>
        <v/>
      </c>
      <c r="C153" s="16" t="str">
        <f aca="false">IF(A153="","",SUMIFS(Pagos!$E$2:$E$3001,Pagos!$B$2:$B$3001,A153,Pagos!$C$2:$C$3001,$B$2,Pagos!$D$2:$D$3001,$D$2))</f>
        <v/>
      </c>
      <c r="D153" s="16" t="str">
        <f aca="false">IF(A153="","",MAX(0,B153-C153))</f>
        <v/>
      </c>
      <c r="E153" s="15" t="str">
        <f aca="false">IF(A153="","",IF(D153=0,"PAGÓ","DEBE"))</f>
        <v/>
      </c>
    </row>
    <row r="154" customFormat="false" ht="15" hidden="false" customHeight="false" outlineLevel="0" collapsed="false">
      <c r="A154" s="15" t="str">
        <f aca="false">IF(OR(Alumnos!A151="",Alumnos!E151="No"),"",Alumnos!A151)</f>
        <v/>
      </c>
      <c r="B154" s="16" t="str">
        <f aca="false">IF(A154="","",Alumnos!D151)</f>
        <v/>
      </c>
      <c r="C154" s="16" t="str">
        <f aca="false">IF(A154="","",SUMIFS(Pagos!$E$2:$E$3001,Pagos!$B$2:$B$3001,A154,Pagos!$C$2:$C$3001,$B$2,Pagos!$D$2:$D$3001,$D$2))</f>
        <v/>
      </c>
      <c r="D154" s="16" t="str">
        <f aca="false">IF(A154="","",MAX(0,B154-C154))</f>
        <v/>
      </c>
      <c r="E154" s="15" t="str">
        <f aca="false">IF(A154="","",IF(D154=0,"PAGÓ","DEBE"))</f>
        <v/>
      </c>
    </row>
    <row r="155" customFormat="false" ht="15" hidden="false" customHeight="false" outlineLevel="0" collapsed="false">
      <c r="A155" s="15" t="str">
        <f aca="false">IF(OR(Alumnos!A152="",Alumnos!E152="No"),"",Alumnos!A152)</f>
        <v/>
      </c>
      <c r="B155" s="16" t="str">
        <f aca="false">IF(A155="","",Alumnos!D152)</f>
        <v/>
      </c>
      <c r="C155" s="16" t="str">
        <f aca="false">IF(A155="","",SUMIFS(Pagos!$E$2:$E$3001,Pagos!$B$2:$B$3001,A155,Pagos!$C$2:$C$3001,$B$2,Pagos!$D$2:$D$3001,$D$2))</f>
        <v/>
      </c>
      <c r="D155" s="16" t="str">
        <f aca="false">IF(A155="","",MAX(0,B155-C155))</f>
        <v/>
      </c>
      <c r="E155" s="15" t="str">
        <f aca="false">IF(A155="","",IF(D155=0,"PAGÓ","DEBE"))</f>
        <v/>
      </c>
    </row>
    <row r="156" customFormat="false" ht="15" hidden="false" customHeight="false" outlineLevel="0" collapsed="false">
      <c r="A156" s="15" t="str">
        <f aca="false">IF(OR(Alumnos!A153="",Alumnos!E153="No"),"",Alumnos!A153)</f>
        <v/>
      </c>
      <c r="B156" s="16" t="str">
        <f aca="false">IF(A156="","",Alumnos!D153)</f>
        <v/>
      </c>
      <c r="C156" s="16" t="str">
        <f aca="false">IF(A156="","",SUMIFS(Pagos!$E$2:$E$3001,Pagos!$B$2:$B$3001,A156,Pagos!$C$2:$C$3001,$B$2,Pagos!$D$2:$D$3001,$D$2))</f>
        <v/>
      </c>
      <c r="D156" s="16" t="str">
        <f aca="false">IF(A156="","",MAX(0,B156-C156))</f>
        <v/>
      </c>
      <c r="E156" s="15" t="str">
        <f aca="false">IF(A156="","",IF(D156=0,"PAGÓ","DEBE"))</f>
        <v/>
      </c>
    </row>
    <row r="157" customFormat="false" ht="15" hidden="false" customHeight="false" outlineLevel="0" collapsed="false">
      <c r="A157" s="15" t="str">
        <f aca="false">IF(OR(Alumnos!A154="",Alumnos!E154="No"),"",Alumnos!A154)</f>
        <v/>
      </c>
      <c r="B157" s="16" t="str">
        <f aca="false">IF(A157="","",Alumnos!D154)</f>
        <v/>
      </c>
      <c r="C157" s="16" t="str">
        <f aca="false">IF(A157="","",SUMIFS(Pagos!$E$2:$E$3001,Pagos!$B$2:$B$3001,A157,Pagos!$C$2:$C$3001,$B$2,Pagos!$D$2:$D$3001,$D$2))</f>
        <v/>
      </c>
      <c r="D157" s="16" t="str">
        <f aca="false">IF(A157="","",MAX(0,B157-C157))</f>
        <v/>
      </c>
      <c r="E157" s="15" t="str">
        <f aca="false">IF(A157="","",IF(D157=0,"PAGÓ","DEBE"))</f>
        <v/>
      </c>
    </row>
    <row r="158" customFormat="false" ht="15" hidden="false" customHeight="false" outlineLevel="0" collapsed="false">
      <c r="A158" s="15" t="str">
        <f aca="false">IF(OR(Alumnos!A155="",Alumnos!E155="No"),"",Alumnos!A155)</f>
        <v/>
      </c>
      <c r="B158" s="16" t="str">
        <f aca="false">IF(A158="","",Alumnos!D155)</f>
        <v/>
      </c>
      <c r="C158" s="16" t="str">
        <f aca="false">IF(A158="","",SUMIFS(Pagos!$E$2:$E$3001,Pagos!$B$2:$B$3001,A158,Pagos!$C$2:$C$3001,$B$2,Pagos!$D$2:$D$3001,$D$2))</f>
        <v/>
      </c>
      <c r="D158" s="16" t="str">
        <f aca="false">IF(A158="","",MAX(0,B158-C158))</f>
        <v/>
      </c>
      <c r="E158" s="15" t="str">
        <f aca="false">IF(A158="","",IF(D158=0,"PAGÓ","DEBE"))</f>
        <v/>
      </c>
    </row>
    <row r="159" customFormat="false" ht="15" hidden="false" customHeight="false" outlineLevel="0" collapsed="false">
      <c r="A159" s="15" t="str">
        <f aca="false">IF(OR(Alumnos!A156="",Alumnos!E156="No"),"",Alumnos!A156)</f>
        <v/>
      </c>
      <c r="B159" s="16" t="str">
        <f aca="false">IF(A159="","",Alumnos!D156)</f>
        <v/>
      </c>
      <c r="C159" s="16" t="str">
        <f aca="false">IF(A159="","",SUMIFS(Pagos!$E$2:$E$3001,Pagos!$B$2:$B$3001,A159,Pagos!$C$2:$C$3001,$B$2,Pagos!$D$2:$D$3001,$D$2))</f>
        <v/>
      </c>
      <c r="D159" s="16" t="str">
        <f aca="false">IF(A159="","",MAX(0,B159-C159))</f>
        <v/>
      </c>
      <c r="E159" s="15" t="str">
        <f aca="false">IF(A159="","",IF(D159=0,"PAGÓ","DEBE"))</f>
        <v/>
      </c>
    </row>
    <row r="160" customFormat="false" ht="15" hidden="false" customHeight="false" outlineLevel="0" collapsed="false">
      <c r="A160" s="15" t="str">
        <f aca="false">IF(OR(Alumnos!A157="",Alumnos!E157="No"),"",Alumnos!A157)</f>
        <v/>
      </c>
      <c r="B160" s="16" t="str">
        <f aca="false">IF(A160="","",Alumnos!D157)</f>
        <v/>
      </c>
      <c r="C160" s="16" t="str">
        <f aca="false">IF(A160="","",SUMIFS(Pagos!$E$2:$E$3001,Pagos!$B$2:$B$3001,A160,Pagos!$C$2:$C$3001,$B$2,Pagos!$D$2:$D$3001,$D$2))</f>
        <v/>
      </c>
      <c r="D160" s="16" t="str">
        <f aca="false">IF(A160="","",MAX(0,B160-C160))</f>
        <v/>
      </c>
      <c r="E160" s="15" t="str">
        <f aca="false">IF(A160="","",IF(D160=0,"PAGÓ","DEBE"))</f>
        <v/>
      </c>
    </row>
    <row r="161" customFormat="false" ht="15" hidden="false" customHeight="false" outlineLevel="0" collapsed="false">
      <c r="A161" s="15" t="str">
        <f aca="false">IF(OR(Alumnos!A158="",Alumnos!E158="No"),"",Alumnos!A158)</f>
        <v/>
      </c>
      <c r="B161" s="16" t="str">
        <f aca="false">IF(A161="","",Alumnos!D158)</f>
        <v/>
      </c>
      <c r="C161" s="16" t="str">
        <f aca="false">IF(A161="","",SUMIFS(Pagos!$E$2:$E$3001,Pagos!$B$2:$B$3001,A161,Pagos!$C$2:$C$3001,$B$2,Pagos!$D$2:$D$3001,$D$2))</f>
        <v/>
      </c>
      <c r="D161" s="16" t="str">
        <f aca="false">IF(A161="","",MAX(0,B161-C161))</f>
        <v/>
      </c>
      <c r="E161" s="15" t="str">
        <f aca="false">IF(A161="","",IF(D161=0,"PAGÓ","DEBE"))</f>
        <v/>
      </c>
    </row>
    <row r="162" customFormat="false" ht="15" hidden="false" customHeight="false" outlineLevel="0" collapsed="false">
      <c r="A162" s="15" t="str">
        <f aca="false">IF(OR(Alumnos!A159="",Alumnos!E159="No"),"",Alumnos!A159)</f>
        <v/>
      </c>
      <c r="B162" s="16" t="str">
        <f aca="false">IF(A162="","",Alumnos!D159)</f>
        <v/>
      </c>
      <c r="C162" s="16" t="str">
        <f aca="false">IF(A162="","",SUMIFS(Pagos!$E$2:$E$3001,Pagos!$B$2:$B$3001,A162,Pagos!$C$2:$C$3001,$B$2,Pagos!$D$2:$D$3001,$D$2))</f>
        <v/>
      </c>
      <c r="D162" s="16" t="str">
        <f aca="false">IF(A162="","",MAX(0,B162-C162))</f>
        <v/>
      </c>
      <c r="E162" s="15" t="str">
        <f aca="false">IF(A162="","",IF(D162=0,"PAGÓ","DEBE"))</f>
        <v/>
      </c>
    </row>
    <row r="163" customFormat="false" ht="15" hidden="false" customHeight="false" outlineLevel="0" collapsed="false">
      <c r="A163" s="15" t="str">
        <f aca="false">IF(OR(Alumnos!A160="",Alumnos!E160="No"),"",Alumnos!A160)</f>
        <v/>
      </c>
      <c r="B163" s="16" t="str">
        <f aca="false">IF(A163="","",Alumnos!D160)</f>
        <v/>
      </c>
      <c r="C163" s="16" t="str">
        <f aca="false">IF(A163="","",SUMIFS(Pagos!$E$2:$E$3001,Pagos!$B$2:$B$3001,A163,Pagos!$C$2:$C$3001,$B$2,Pagos!$D$2:$D$3001,$D$2))</f>
        <v/>
      </c>
      <c r="D163" s="16" t="str">
        <f aca="false">IF(A163="","",MAX(0,B163-C163))</f>
        <v/>
      </c>
      <c r="E163" s="15" t="str">
        <f aca="false">IF(A163="","",IF(D163=0,"PAGÓ","DEBE"))</f>
        <v/>
      </c>
    </row>
    <row r="164" customFormat="false" ht="15" hidden="false" customHeight="false" outlineLevel="0" collapsed="false">
      <c r="A164" s="15" t="str">
        <f aca="false">IF(OR(Alumnos!A161="",Alumnos!E161="No"),"",Alumnos!A161)</f>
        <v/>
      </c>
      <c r="B164" s="16" t="str">
        <f aca="false">IF(A164="","",Alumnos!D161)</f>
        <v/>
      </c>
      <c r="C164" s="16" t="str">
        <f aca="false">IF(A164="","",SUMIFS(Pagos!$E$2:$E$3001,Pagos!$B$2:$B$3001,A164,Pagos!$C$2:$C$3001,$B$2,Pagos!$D$2:$D$3001,$D$2))</f>
        <v/>
      </c>
      <c r="D164" s="16" t="str">
        <f aca="false">IF(A164="","",MAX(0,B164-C164))</f>
        <v/>
      </c>
      <c r="E164" s="15" t="str">
        <f aca="false">IF(A164="","",IF(D164=0,"PAGÓ","DEBE"))</f>
        <v/>
      </c>
    </row>
    <row r="165" customFormat="false" ht="15" hidden="false" customHeight="false" outlineLevel="0" collapsed="false">
      <c r="A165" s="15" t="str">
        <f aca="false">IF(OR(Alumnos!A162="",Alumnos!E162="No"),"",Alumnos!A162)</f>
        <v/>
      </c>
      <c r="B165" s="16" t="str">
        <f aca="false">IF(A165="","",Alumnos!D162)</f>
        <v/>
      </c>
      <c r="C165" s="16" t="str">
        <f aca="false">IF(A165="","",SUMIFS(Pagos!$E$2:$E$3001,Pagos!$B$2:$B$3001,A165,Pagos!$C$2:$C$3001,$B$2,Pagos!$D$2:$D$3001,$D$2))</f>
        <v/>
      </c>
      <c r="D165" s="16" t="str">
        <f aca="false">IF(A165="","",MAX(0,B165-C165))</f>
        <v/>
      </c>
      <c r="E165" s="15" t="str">
        <f aca="false">IF(A165="","",IF(D165=0,"PAGÓ","DEBE"))</f>
        <v/>
      </c>
    </row>
    <row r="166" customFormat="false" ht="15" hidden="false" customHeight="false" outlineLevel="0" collapsed="false">
      <c r="A166" s="15" t="str">
        <f aca="false">IF(OR(Alumnos!A163="",Alumnos!E163="No"),"",Alumnos!A163)</f>
        <v/>
      </c>
      <c r="B166" s="16" t="str">
        <f aca="false">IF(A166="","",Alumnos!D163)</f>
        <v/>
      </c>
      <c r="C166" s="16" t="str">
        <f aca="false">IF(A166="","",SUMIFS(Pagos!$E$2:$E$3001,Pagos!$B$2:$B$3001,A166,Pagos!$C$2:$C$3001,$B$2,Pagos!$D$2:$D$3001,$D$2))</f>
        <v/>
      </c>
      <c r="D166" s="16" t="str">
        <f aca="false">IF(A166="","",MAX(0,B166-C166))</f>
        <v/>
      </c>
      <c r="E166" s="15" t="str">
        <f aca="false">IF(A166="","",IF(D166=0,"PAGÓ","DEBE"))</f>
        <v/>
      </c>
    </row>
    <row r="167" customFormat="false" ht="15" hidden="false" customHeight="false" outlineLevel="0" collapsed="false">
      <c r="A167" s="15" t="str">
        <f aca="false">IF(OR(Alumnos!A164="",Alumnos!E164="No"),"",Alumnos!A164)</f>
        <v/>
      </c>
      <c r="B167" s="16" t="str">
        <f aca="false">IF(A167="","",Alumnos!D164)</f>
        <v/>
      </c>
      <c r="C167" s="16" t="str">
        <f aca="false">IF(A167="","",SUMIFS(Pagos!$E$2:$E$3001,Pagos!$B$2:$B$3001,A167,Pagos!$C$2:$C$3001,$B$2,Pagos!$D$2:$D$3001,$D$2))</f>
        <v/>
      </c>
      <c r="D167" s="16" t="str">
        <f aca="false">IF(A167="","",MAX(0,B167-C167))</f>
        <v/>
      </c>
      <c r="E167" s="15" t="str">
        <f aca="false">IF(A167="","",IF(D167=0,"PAGÓ","DEBE"))</f>
        <v/>
      </c>
    </row>
    <row r="168" customFormat="false" ht="15" hidden="false" customHeight="false" outlineLevel="0" collapsed="false">
      <c r="A168" s="15" t="str">
        <f aca="false">IF(OR(Alumnos!A165="",Alumnos!E165="No"),"",Alumnos!A165)</f>
        <v/>
      </c>
      <c r="B168" s="16" t="str">
        <f aca="false">IF(A168="","",Alumnos!D165)</f>
        <v/>
      </c>
      <c r="C168" s="16" t="str">
        <f aca="false">IF(A168="","",SUMIFS(Pagos!$E$2:$E$3001,Pagos!$B$2:$B$3001,A168,Pagos!$C$2:$C$3001,$B$2,Pagos!$D$2:$D$3001,$D$2))</f>
        <v/>
      </c>
      <c r="D168" s="16" t="str">
        <f aca="false">IF(A168="","",MAX(0,B168-C168))</f>
        <v/>
      </c>
      <c r="E168" s="15" t="str">
        <f aca="false">IF(A168="","",IF(D168=0,"PAGÓ","DEBE"))</f>
        <v/>
      </c>
    </row>
    <row r="169" customFormat="false" ht="15" hidden="false" customHeight="false" outlineLevel="0" collapsed="false">
      <c r="A169" s="15" t="str">
        <f aca="false">IF(OR(Alumnos!A166="",Alumnos!E166="No"),"",Alumnos!A166)</f>
        <v/>
      </c>
      <c r="B169" s="16" t="str">
        <f aca="false">IF(A169="","",Alumnos!D166)</f>
        <v/>
      </c>
      <c r="C169" s="16" t="str">
        <f aca="false">IF(A169="","",SUMIFS(Pagos!$E$2:$E$3001,Pagos!$B$2:$B$3001,A169,Pagos!$C$2:$C$3001,$B$2,Pagos!$D$2:$D$3001,$D$2))</f>
        <v/>
      </c>
      <c r="D169" s="16" t="str">
        <f aca="false">IF(A169="","",MAX(0,B169-C169))</f>
        <v/>
      </c>
      <c r="E169" s="15" t="str">
        <f aca="false">IF(A169="","",IF(D169=0,"PAGÓ","DEBE"))</f>
        <v/>
      </c>
    </row>
    <row r="170" customFormat="false" ht="15" hidden="false" customHeight="false" outlineLevel="0" collapsed="false">
      <c r="A170" s="15" t="str">
        <f aca="false">IF(OR(Alumnos!A167="",Alumnos!E167="No"),"",Alumnos!A167)</f>
        <v/>
      </c>
      <c r="B170" s="16" t="str">
        <f aca="false">IF(A170="","",Alumnos!D167)</f>
        <v/>
      </c>
      <c r="C170" s="16" t="str">
        <f aca="false">IF(A170="","",SUMIFS(Pagos!$E$2:$E$3001,Pagos!$B$2:$B$3001,A170,Pagos!$C$2:$C$3001,$B$2,Pagos!$D$2:$D$3001,$D$2))</f>
        <v/>
      </c>
      <c r="D170" s="16" t="str">
        <f aca="false">IF(A170="","",MAX(0,B170-C170))</f>
        <v/>
      </c>
      <c r="E170" s="15" t="str">
        <f aca="false">IF(A170="","",IF(D170=0,"PAGÓ","DEBE"))</f>
        <v/>
      </c>
    </row>
    <row r="171" customFormat="false" ht="15" hidden="false" customHeight="false" outlineLevel="0" collapsed="false">
      <c r="A171" s="15" t="str">
        <f aca="false">IF(OR(Alumnos!A168="",Alumnos!E168="No"),"",Alumnos!A168)</f>
        <v/>
      </c>
      <c r="B171" s="16" t="str">
        <f aca="false">IF(A171="","",Alumnos!D168)</f>
        <v/>
      </c>
      <c r="C171" s="16" t="str">
        <f aca="false">IF(A171="","",SUMIFS(Pagos!$E$2:$E$3001,Pagos!$B$2:$B$3001,A171,Pagos!$C$2:$C$3001,$B$2,Pagos!$D$2:$D$3001,$D$2))</f>
        <v/>
      </c>
      <c r="D171" s="16" t="str">
        <f aca="false">IF(A171="","",MAX(0,B171-C171))</f>
        <v/>
      </c>
      <c r="E171" s="15" t="str">
        <f aca="false">IF(A171="","",IF(D171=0,"PAGÓ","DEBE"))</f>
        <v/>
      </c>
    </row>
    <row r="172" customFormat="false" ht="15" hidden="false" customHeight="false" outlineLevel="0" collapsed="false">
      <c r="A172" s="15" t="str">
        <f aca="false">IF(OR(Alumnos!A169="",Alumnos!E169="No"),"",Alumnos!A169)</f>
        <v/>
      </c>
      <c r="B172" s="16" t="str">
        <f aca="false">IF(A172="","",Alumnos!D169)</f>
        <v/>
      </c>
      <c r="C172" s="16" t="str">
        <f aca="false">IF(A172="","",SUMIFS(Pagos!$E$2:$E$3001,Pagos!$B$2:$B$3001,A172,Pagos!$C$2:$C$3001,$B$2,Pagos!$D$2:$D$3001,$D$2))</f>
        <v/>
      </c>
      <c r="D172" s="16" t="str">
        <f aca="false">IF(A172="","",MAX(0,B172-C172))</f>
        <v/>
      </c>
      <c r="E172" s="15" t="str">
        <f aca="false">IF(A172="","",IF(D172=0,"PAGÓ","DEBE"))</f>
        <v/>
      </c>
    </row>
    <row r="173" customFormat="false" ht="15" hidden="false" customHeight="false" outlineLevel="0" collapsed="false">
      <c r="A173" s="15" t="str">
        <f aca="false">IF(OR(Alumnos!A170="",Alumnos!E170="No"),"",Alumnos!A170)</f>
        <v/>
      </c>
      <c r="B173" s="16" t="str">
        <f aca="false">IF(A173="","",Alumnos!D170)</f>
        <v/>
      </c>
      <c r="C173" s="16" t="str">
        <f aca="false">IF(A173="","",SUMIFS(Pagos!$E$2:$E$3001,Pagos!$B$2:$B$3001,A173,Pagos!$C$2:$C$3001,$B$2,Pagos!$D$2:$D$3001,$D$2))</f>
        <v/>
      </c>
      <c r="D173" s="16" t="str">
        <f aca="false">IF(A173="","",MAX(0,B173-C173))</f>
        <v/>
      </c>
      <c r="E173" s="15" t="str">
        <f aca="false">IF(A173="","",IF(D173=0,"PAGÓ","DEBE"))</f>
        <v/>
      </c>
    </row>
    <row r="174" customFormat="false" ht="15" hidden="false" customHeight="false" outlineLevel="0" collapsed="false">
      <c r="A174" s="15" t="str">
        <f aca="false">IF(OR(Alumnos!A171="",Alumnos!E171="No"),"",Alumnos!A171)</f>
        <v/>
      </c>
      <c r="B174" s="16" t="str">
        <f aca="false">IF(A174="","",Alumnos!D171)</f>
        <v/>
      </c>
      <c r="C174" s="16" t="str">
        <f aca="false">IF(A174="","",SUMIFS(Pagos!$E$2:$E$3001,Pagos!$B$2:$B$3001,A174,Pagos!$C$2:$C$3001,$B$2,Pagos!$D$2:$D$3001,$D$2))</f>
        <v/>
      </c>
      <c r="D174" s="16" t="str">
        <f aca="false">IF(A174="","",MAX(0,B174-C174))</f>
        <v/>
      </c>
      <c r="E174" s="15" t="str">
        <f aca="false">IF(A174="","",IF(D174=0,"PAGÓ","DEBE"))</f>
        <v/>
      </c>
    </row>
    <row r="175" customFormat="false" ht="15" hidden="false" customHeight="false" outlineLevel="0" collapsed="false">
      <c r="A175" s="15" t="str">
        <f aca="false">IF(OR(Alumnos!A172="",Alumnos!E172="No"),"",Alumnos!A172)</f>
        <v/>
      </c>
      <c r="B175" s="16" t="str">
        <f aca="false">IF(A175="","",Alumnos!D172)</f>
        <v/>
      </c>
      <c r="C175" s="16" t="str">
        <f aca="false">IF(A175="","",SUMIFS(Pagos!$E$2:$E$3001,Pagos!$B$2:$B$3001,A175,Pagos!$C$2:$C$3001,$B$2,Pagos!$D$2:$D$3001,$D$2))</f>
        <v/>
      </c>
      <c r="D175" s="16" t="str">
        <f aca="false">IF(A175="","",MAX(0,B175-C175))</f>
        <v/>
      </c>
      <c r="E175" s="15" t="str">
        <f aca="false">IF(A175="","",IF(D175=0,"PAGÓ","DEBE"))</f>
        <v/>
      </c>
    </row>
    <row r="176" customFormat="false" ht="15" hidden="false" customHeight="false" outlineLevel="0" collapsed="false">
      <c r="A176" s="15" t="str">
        <f aca="false">IF(OR(Alumnos!A173="",Alumnos!E173="No"),"",Alumnos!A173)</f>
        <v/>
      </c>
      <c r="B176" s="16" t="str">
        <f aca="false">IF(A176="","",Alumnos!D173)</f>
        <v/>
      </c>
      <c r="C176" s="16" t="str">
        <f aca="false">IF(A176="","",SUMIFS(Pagos!$E$2:$E$3001,Pagos!$B$2:$B$3001,A176,Pagos!$C$2:$C$3001,$B$2,Pagos!$D$2:$D$3001,$D$2))</f>
        <v/>
      </c>
      <c r="D176" s="16" t="str">
        <f aca="false">IF(A176="","",MAX(0,B176-C176))</f>
        <v/>
      </c>
      <c r="E176" s="15" t="str">
        <f aca="false">IF(A176="","",IF(D176=0,"PAGÓ","DEBE"))</f>
        <v/>
      </c>
    </row>
    <row r="177" customFormat="false" ht="15" hidden="false" customHeight="false" outlineLevel="0" collapsed="false">
      <c r="A177" s="15" t="str">
        <f aca="false">IF(OR(Alumnos!A174="",Alumnos!E174="No"),"",Alumnos!A174)</f>
        <v/>
      </c>
      <c r="B177" s="16" t="str">
        <f aca="false">IF(A177="","",Alumnos!D174)</f>
        <v/>
      </c>
      <c r="C177" s="16" t="str">
        <f aca="false">IF(A177="","",SUMIFS(Pagos!$E$2:$E$3001,Pagos!$B$2:$B$3001,A177,Pagos!$C$2:$C$3001,$B$2,Pagos!$D$2:$D$3001,$D$2))</f>
        <v/>
      </c>
      <c r="D177" s="16" t="str">
        <f aca="false">IF(A177="","",MAX(0,B177-C177))</f>
        <v/>
      </c>
      <c r="E177" s="15" t="str">
        <f aca="false">IF(A177="","",IF(D177=0,"PAGÓ","DEBE"))</f>
        <v/>
      </c>
    </row>
    <row r="178" customFormat="false" ht="15" hidden="false" customHeight="false" outlineLevel="0" collapsed="false">
      <c r="A178" s="15" t="str">
        <f aca="false">IF(OR(Alumnos!A175="",Alumnos!E175="No"),"",Alumnos!A175)</f>
        <v/>
      </c>
      <c r="B178" s="16" t="str">
        <f aca="false">IF(A178="","",Alumnos!D175)</f>
        <v/>
      </c>
      <c r="C178" s="16" t="str">
        <f aca="false">IF(A178="","",SUMIFS(Pagos!$E$2:$E$3001,Pagos!$B$2:$B$3001,A178,Pagos!$C$2:$C$3001,$B$2,Pagos!$D$2:$D$3001,$D$2))</f>
        <v/>
      </c>
      <c r="D178" s="16" t="str">
        <f aca="false">IF(A178="","",MAX(0,B178-C178))</f>
        <v/>
      </c>
      <c r="E178" s="15" t="str">
        <f aca="false">IF(A178="","",IF(D178=0,"PAGÓ","DEBE"))</f>
        <v/>
      </c>
    </row>
    <row r="179" customFormat="false" ht="15" hidden="false" customHeight="false" outlineLevel="0" collapsed="false">
      <c r="A179" s="15" t="str">
        <f aca="false">IF(OR(Alumnos!A176="",Alumnos!E176="No"),"",Alumnos!A176)</f>
        <v/>
      </c>
      <c r="B179" s="16" t="str">
        <f aca="false">IF(A179="","",Alumnos!D176)</f>
        <v/>
      </c>
      <c r="C179" s="16" t="str">
        <f aca="false">IF(A179="","",SUMIFS(Pagos!$E$2:$E$3001,Pagos!$B$2:$B$3001,A179,Pagos!$C$2:$C$3001,$B$2,Pagos!$D$2:$D$3001,$D$2))</f>
        <v/>
      </c>
      <c r="D179" s="16" t="str">
        <f aca="false">IF(A179="","",MAX(0,B179-C179))</f>
        <v/>
      </c>
      <c r="E179" s="15" t="str">
        <f aca="false">IF(A179="","",IF(D179=0,"PAGÓ","DEBE"))</f>
        <v/>
      </c>
    </row>
    <row r="180" customFormat="false" ht="15" hidden="false" customHeight="false" outlineLevel="0" collapsed="false">
      <c r="A180" s="15" t="str">
        <f aca="false">IF(OR(Alumnos!A177="",Alumnos!E177="No"),"",Alumnos!A177)</f>
        <v/>
      </c>
      <c r="B180" s="16" t="str">
        <f aca="false">IF(A180="","",Alumnos!D177)</f>
        <v/>
      </c>
      <c r="C180" s="16" t="str">
        <f aca="false">IF(A180="","",SUMIFS(Pagos!$E$2:$E$3001,Pagos!$B$2:$B$3001,A180,Pagos!$C$2:$C$3001,$B$2,Pagos!$D$2:$D$3001,$D$2))</f>
        <v/>
      </c>
      <c r="D180" s="16" t="str">
        <f aca="false">IF(A180="","",MAX(0,B180-C180))</f>
        <v/>
      </c>
      <c r="E180" s="15" t="str">
        <f aca="false">IF(A180="","",IF(D180=0,"PAGÓ","DEBE"))</f>
        <v/>
      </c>
    </row>
    <row r="181" customFormat="false" ht="15" hidden="false" customHeight="false" outlineLevel="0" collapsed="false">
      <c r="A181" s="15" t="str">
        <f aca="false">IF(OR(Alumnos!A178="",Alumnos!E178="No"),"",Alumnos!A178)</f>
        <v/>
      </c>
      <c r="B181" s="16" t="str">
        <f aca="false">IF(A181="","",Alumnos!D178)</f>
        <v/>
      </c>
      <c r="C181" s="16" t="str">
        <f aca="false">IF(A181="","",SUMIFS(Pagos!$E$2:$E$3001,Pagos!$B$2:$B$3001,A181,Pagos!$C$2:$C$3001,$B$2,Pagos!$D$2:$D$3001,$D$2))</f>
        <v/>
      </c>
      <c r="D181" s="16" t="str">
        <f aca="false">IF(A181="","",MAX(0,B181-C181))</f>
        <v/>
      </c>
      <c r="E181" s="15" t="str">
        <f aca="false">IF(A181="","",IF(D181=0,"PAGÓ","DEBE"))</f>
        <v/>
      </c>
    </row>
    <row r="182" customFormat="false" ht="15" hidden="false" customHeight="false" outlineLevel="0" collapsed="false">
      <c r="A182" s="15" t="str">
        <f aca="false">IF(OR(Alumnos!A179="",Alumnos!E179="No"),"",Alumnos!A179)</f>
        <v/>
      </c>
      <c r="B182" s="16" t="str">
        <f aca="false">IF(A182="","",Alumnos!D179)</f>
        <v/>
      </c>
      <c r="C182" s="16" t="str">
        <f aca="false">IF(A182="","",SUMIFS(Pagos!$E$2:$E$3001,Pagos!$B$2:$B$3001,A182,Pagos!$C$2:$C$3001,$B$2,Pagos!$D$2:$D$3001,$D$2))</f>
        <v/>
      </c>
      <c r="D182" s="16" t="str">
        <f aca="false">IF(A182="","",MAX(0,B182-C182))</f>
        <v/>
      </c>
      <c r="E182" s="15" t="str">
        <f aca="false">IF(A182="","",IF(D182=0,"PAGÓ","DEBE"))</f>
        <v/>
      </c>
    </row>
    <row r="183" customFormat="false" ht="15" hidden="false" customHeight="false" outlineLevel="0" collapsed="false">
      <c r="A183" s="15" t="str">
        <f aca="false">IF(OR(Alumnos!A180="",Alumnos!E180="No"),"",Alumnos!A180)</f>
        <v/>
      </c>
      <c r="B183" s="16" t="str">
        <f aca="false">IF(A183="","",Alumnos!D180)</f>
        <v/>
      </c>
      <c r="C183" s="16" t="str">
        <f aca="false">IF(A183="","",SUMIFS(Pagos!$E$2:$E$3001,Pagos!$B$2:$B$3001,A183,Pagos!$C$2:$C$3001,$B$2,Pagos!$D$2:$D$3001,$D$2))</f>
        <v/>
      </c>
      <c r="D183" s="16" t="str">
        <f aca="false">IF(A183="","",MAX(0,B183-C183))</f>
        <v/>
      </c>
      <c r="E183" s="15" t="str">
        <f aca="false">IF(A183="","",IF(D183=0,"PAGÓ","DEBE"))</f>
        <v/>
      </c>
    </row>
    <row r="184" customFormat="false" ht="15" hidden="false" customHeight="false" outlineLevel="0" collapsed="false">
      <c r="A184" s="15" t="str">
        <f aca="false">IF(OR(Alumnos!A181="",Alumnos!E181="No"),"",Alumnos!A181)</f>
        <v/>
      </c>
      <c r="B184" s="16" t="str">
        <f aca="false">IF(A184="","",Alumnos!D181)</f>
        <v/>
      </c>
      <c r="C184" s="16" t="str">
        <f aca="false">IF(A184="","",SUMIFS(Pagos!$E$2:$E$3001,Pagos!$B$2:$B$3001,A184,Pagos!$C$2:$C$3001,$B$2,Pagos!$D$2:$D$3001,$D$2))</f>
        <v/>
      </c>
      <c r="D184" s="16" t="str">
        <f aca="false">IF(A184="","",MAX(0,B184-C184))</f>
        <v/>
      </c>
      <c r="E184" s="15" t="str">
        <f aca="false">IF(A184="","",IF(D184=0,"PAGÓ","DEBE"))</f>
        <v/>
      </c>
    </row>
    <row r="185" customFormat="false" ht="15" hidden="false" customHeight="false" outlineLevel="0" collapsed="false">
      <c r="A185" s="15" t="str">
        <f aca="false">IF(OR(Alumnos!A182="",Alumnos!E182="No"),"",Alumnos!A182)</f>
        <v/>
      </c>
      <c r="B185" s="16" t="str">
        <f aca="false">IF(A185="","",Alumnos!D182)</f>
        <v/>
      </c>
      <c r="C185" s="16" t="str">
        <f aca="false">IF(A185="","",SUMIFS(Pagos!$E$2:$E$3001,Pagos!$B$2:$B$3001,A185,Pagos!$C$2:$C$3001,$B$2,Pagos!$D$2:$D$3001,$D$2))</f>
        <v/>
      </c>
      <c r="D185" s="16" t="str">
        <f aca="false">IF(A185="","",MAX(0,B185-C185))</f>
        <v/>
      </c>
      <c r="E185" s="15" t="str">
        <f aca="false">IF(A185="","",IF(D185=0,"PAGÓ","DEBE"))</f>
        <v/>
      </c>
    </row>
    <row r="186" customFormat="false" ht="15" hidden="false" customHeight="false" outlineLevel="0" collapsed="false">
      <c r="A186" s="15" t="str">
        <f aca="false">IF(OR(Alumnos!A183="",Alumnos!E183="No"),"",Alumnos!A183)</f>
        <v/>
      </c>
      <c r="B186" s="16" t="str">
        <f aca="false">IF(A186="","",Alumnos!D183)</f>
        <v/>
      </c>
      <c r="C186" s="16" t="str">
        <f aca="false">IF(A186="","",SUMIFS(Pagos!$E$2:$E$3001,Pagos!$B$2:$B$3001,A186,Pagos!$C$2:$C$3001,$B$2,Pagos!$D$2:$D$3001,$D$2))</f>
        <v/>
      </c>
      <c r="D186" s="16" t="str">
        <f aca="false">IF(A186="","",MAX(0,B186-C186))</f>
        <v/>
      </c>
      <c r="E186" s="15" t="str">
        <f aca="false">IF(A186="","",IF(D186=0,"PAGÓ","DEBE"))</f>
        <v/>
      </c>
    </row>
    <row r="187" customFormat="false" ht="15" hidden="false" customHeight="false" outlineLevel="0" collapsed="false">
      <c r="A187" s="15" t="str">
        <f aca="false">IF(OR(Alumnos!A184="",Alumnos!E184="No"),"",Alumnos!A184)</f>
        <v/>
      </c>
      <c r="B187" s="16" t="str">
        <f aca="false">IF(A187="","",Alumnos!D184)</f>
        <v/>
      </c>
      <c r="C187" s="16" t="str">
        <f aca="false">IF(A187="","",SUMIFS(Pagos!$E$2:$E$3001,Pagos!$B$2:$B$3001,A187,Pagos!$C$2:$C$3001,$B$2,Pagos!$D$2:$D$3001,$D$2))</f>
        <v/>
      </c>
      <c r="D187" s="16" t="str">
        <f aca="false">IF(A187="","",MAX(0,B187-C187))</f>
        <v/>
      </c>
      <c r="E187" s="15" t="str">
        <f aca="false">IF(A187="","",IF(D187=0,"PAGÓ","DEBE"))</f>
        <v/>
      </c>
    </row>
    <row r="188" customFormat="false" ht="15" hidden="false" customHeight="false" outlineLevel="0" collapsed="false">
      <c r="A188" s="15" t="str">
        <f aca="false">IF(OR(Alumnos!A185="",Alumnos!E185="No"),"",Alumnos!A185)</f>
        <v/>
      </c>
      <c r="B188" s="16" t="str">
        <f aca="false">IF(A188="","",Alumnos!D185)</f>
        <v/>
      </c>
      <c r="C188" s="16" t="str">
        <f aca="false">IF(A188="","",SUMIFS(Pagos!$E$2:$E$3001,Pagos!$B$2:$B$3001,A188,Pagos!$C$2:$C$3001,$B$2,Pagos!$D$2:$D$3001,$D$2))</f>
        <v/>
      </c>
      <c r="D188" s="16" t="str">
        <f aca="false">IF(A188="","",MAX(0,B188-C188))</f>
        <v/>
      </c>
      <c r="E188" s="15" t="str">
        <f aca="false">IF(A188="","",IF(D188=0,"PAGÓ","DEBE"))</f>
        <v/>
      </c>
    </row>
    <row r="189" customFormat="false" ht="15" hidden="false" customHeight="false" outlineLevel="0" collapsed="false">
      <c r="A189" s="15" t="str">
        <f aca="false">IF(OR(Alumnos!A186="",Alumnos!E186="No"),"",Alumnos!A186)</f>
        <v/>
      </c>
      <c r="B189" s="16" t="str">
        <f aca="false">IF(A189="","",Alumnos!D186)</f>
        <v/>
      </c>
      <c r="C189" s="16" t="str">
        <f aca="false">IF(A189="","",SUMIFS(Pagos!$E$2:$E$3001,Pagos!$B$2:$B$3001,A189,Pagos!$C$2:$C$3001,$B$2,Pagos!$D$2:$D$3001,$D$2))</f>
        <v/>
      </c>
      <c r="D189" s="16" t="str">
        <f aca="false">IF(A189="","",MAX(0,B189-C189))</f>
        <v/>
      </c>
      <c r="E189" s="15" t="str">
        <f aca="false">IF(A189="","",IF(D189=0,"PAGÓ","DEBE"))</f>
        <v/>
      </c>
    </row>
    <row r="190" customFormat="false" ht="15" hidden="false" customHeight="false" outlineLevel="0" collapsed="false">
      <c r="A190" s="15" t="str">
        <f aca="false">IF(OR(Alumnos!A187="",Alumnos!E187="No"),"",Alumnos!A187)</f>
        <v/>
      </c>
      <c r="B190" s="16" t="str">
        <f aca="false">IF(A190="","",Alumnos!D187)</f>
        <v/>
      </c>
      <c r="C190" s="16" t="str">
        <f aca="false">IF(A190="","",SUMIFS(Pagos!$E$2:$E$3001,Pagos!$B$2:$B$3001,A190,Pagos!$C$2:$C$3001,$B$2,Pagos!$D$2:$D$3001,$D$2))</f>
        <v/>
      </c>
      <c r="D190" s="16" t="str">
        <f aca="false">IF(A190="","",MAX(0,B190-C190))</f>
        <v/>
      </c>
      <c r="E190" s="15" t="str">
        <f aca="false">IF(A190="","",IF(D190=0,"PAGÓ","DEBE"))</f>
        <v/>
      </c>
    </row>
    <row r="191" customFormat="false" ht="15" hidden="false" customHeight="false" outlineLevel="0" collapsed="false">
      <c r="A191" s="15" t="str">
        <f aca="false">IF(OR(Alumnos!A188="",Alumnos!E188="No"),"",Alumnos!A188)</f>
        <v/>
      </c>
      <c r="B191" s="16" t="str">
        <f aca="false">IF(A191="","",Alumnos!D188)</f>
        <v/>
      </c>
      <c r="C191" s="16" t="str">
        <f aca="false">IF(A191="","",SUMIFS(Pagos!$E$2:$E$3001,Pagos!$B$2:$B$3001,A191,Pagos!$C$2:$C$3001,$B$2,Pagos!$D$2:$D$3001,$D$2))</f>
        <v/>
      </c>
      <c r="D191" s="16" t="str">
        <f aca="false">IF(A191="","",MAX(0,B191-C191))</f>
        <v/>
      </c>
      <c r="E191" s="15" t="str">
        <f aca="false">IF(A191="","",IF(D191=0,"PAGÓ","DEBE"))</f>
        <v/>
      </c>
    </row>
    <row r="192" customFormat="false" ht="15" hidden="false" customHeight="false" outlineLevel="0" collapsed="false">
      <c r="A192" s="15" t="str">
        <f aca="false">IF(OR(Alumnos!A189="",Alumnos!E189="No"),"",Alumnos!A189)</f>
        <v/>
      </c>
      <c r="B192" s="16" t="str">
        <f aca="false">IF(A192="","",Alumnos!D189)</f>
        <v/>
      </c>
      <c r="C192" s="16" t="str">
        <f aca="false">IF(A192="","",SUMIFS(Pagos!$E$2:$E$3001,Pagos!$B$2:$B$3001,A192,Pagos!$C$2:$C$3001,$B$2,Pagos!$D$2:$D$3001,$D$2))</f>
        <v/>
      </c>
      <c r="D192" s="16" t="str">
        <f aca="false">IF(A192="","",MAX(0,B192-C192))</f>
        <v/>
      </c>
      <c r="E192" s="15" t="str">
        <f aca="false">IF(A192="","",IF(D192=0,"PAGÓ","DEBE"))</f>
        <v/>
      </c>
    </row>
    <row r="193" customFormat="false" ht="15" hidden="false" customHeight="false" outlineLevel="0" collapsed="false">
      <c r="A193" s="15" t="str">
        <f aca="false">IF(OR(Alumnos!A190="",Alumnos!E190="No"),"",Alumnos!A190)</f>
        <v/>
      </c>
      <c r="B193" s="16" t="str">
        <f aca="false">IF(A193="","",Alumnos!D190)</f>
        <v/>
      </c>
      <c r="C193" s="16" t="str">
        <f aca="false">IF(A193="","",SUMIFS(Pagos!$E$2:$E$3001,Pagos!$B$2:$B$3001,A193,Pagos!$C$2:$C$3001,$B$2,Pagos!$D$2:$D$3001,$D$2))</f>
        <v/>
      </c>
      <c r="D193" s="16" t="str">
        <f aca="false">IF(A193="","",MAX(0,B193-C193))</f>
        <v/>
      </c>
      <c r="E193" s="15" t="str">
        <f aca="false">IF(A193="","",IF(D193=0,"PAGÓ","DEBE"))</f>
        <v/>
      </c>
    </row>
    <row r="194" customFormat="false" ht="15" hidden="false" customHeight="false" outlineLevel="0" collapsed="false">
      <c r="A194" s="15" t="str">
        <f aca="false">IF(OR(Alumnos!A191="",Alumnos!E191="No"),"",Alumnos!A191)</f>
        <v/>
      </c>
      <c r="B194" s="16" t="str">
        <f aca="false">IF(A194="","",Alumnos!D191)</f>
        <v/>
      </c>
      <c r="C194" s="16" t="str">
        <f aca="false">IF(A194="","",SUMIFS(Pagos!$E$2:$E$3001,Pagos!$B$2:$B$3001,A194,Pagos!$C$2:$C$3001,$B$2,Pagos!$D$2:$D$3001,$D$2))</f>
        <v/>
      </c>
      <c r="D194" s="16" t="str">
        <f aca="false">IF(A194="","",MAX(0,B194-C194))</f>
        <v/>
      </c>
      <c r="E194" s="15" t="str">
        <f aca="false">IF(A194="","",IF(D194=0,"PAGÓ","DEBE"))</f>
        <v/>
      </c>
    </row>
    <row r="195" customFormat="false" ht="15" hidden="false" customHeight="false" outlineLevel="0" collapsed="false">
      <c r="A195" s="15" t="str">
        <f aca="false">IF(OR(Alumnos!A192="",Alumnos!E192="No"),"",Alumnos!A192)</f>
        <v/>
      </c>
      <c r="B195" s="16" t="str">
        <f aca="false">IF(A195="","",Alumnos!D192)</f>
        <v/>
      </c>
      <c r="C195" s="16" t="str">
        <f aca="false">IF(A195="","",SUMIFS(Pagos!$E$2:$E$3001,Pagos!$B$2:$B$3001,A195,Pagos!$C$2:$C$3001,$B$2,Pagos!$D$2:$D$3001,$D$2))</f>
        <v/>
      </c>
      <c r="D195" s="16" t="str">
        <f aca="false">IF(A195="","",MAX(0,B195-C195))</f>
        <v/>
      </c>
      <c r="E195" s="15" t="str">
        <f aca="false">IF(A195="","",IF(D195=0,"PAGÓ","DEBE"))</f>
        <v/>
      </c>
    </row>
    <row r="196" customFormat="false" ht="15" hidden="false" customHeight="false" outlineLevel="0" collapsed="false">
      <c r="A196" s="15" t="str">
        <f aca="false">IF(OR(Alumnos!A193="",Alumnos!E193="No"),"",Alumnos!A193)</f>
        <v/>
      </c>
      <c r="B196" s="16" t="str">
        <f aca="false">IF(A196="","",Alumnos!D193)</f>
        <v/>
      </c>
      <c r="C196" s="16" t="str">
        <f aca="false">IF(A196="","",SUMIFS(Pagos!$E$2:$E$3001,Pagos!$B$2:$B$3001,A196,Pagos!$C$2:$C$3001,$B$2,Pagos!$D$2:$D$3001,$D$2))</f>
        <v/>
      </c>
      <c r="D196" s="16" t="str">
        <f aca="false">IF(A196="","",MAX(0,B196-C196))</f>
        <v/>
      </c>
      <c r="E196" s="15" t="str">
        <f aca="false">IF(A196="","",IF(D196=0,"PAGÓ","DEBE"))</f>
        <v/>
      </c>
    </row>
    <row r="197" customFormat="false" ht="15" hidden="false" customHeight="false" outlineLevel="0" collapsed="false">
      <c r="A197" s="15" t="str">
        <f aca="false">IF(OR(Alumnos!A194="",Alumnos!E194="No"),"",Alumnos!A194)</f>
        <v/>
      </c>
      <c r="B197" s="16" t="str">
        <f aca="false">IF(A197="","",Alumnos!D194)</f>
        <v/>
      </c>
      <c r="C197" s="16" t="str">
        <f aca="false">IF(A197="","",SUMIFS(Pagos!$E$2:$E$3001,Pagos!$B$2:$B$3001,A197,Pagos!$C$2:$C$3001,$B$2,Pagos!$D$2:$D$3001,$D$2))</f>
        <v/>
      </c>
      <c r="D197" s="16" t="str">
        <f aca="false">IF(A197="","",MAX(0,B197-C197))</f>
        <v/>
      </c>
      <c r="E197" s="15" t="str">
        <f aca="false">IF(A197="","",IF(D197=0,"PAGÓ","DEBE"))</f>
        <v/>
      </c>
    </row>
    <row r="198" customFormat="false" ht="15" hidden="false" customHeight="false" outlineLevel="0" collapsed="false">
      <c r="A198" s="15" t="str">
        <f aca="false">IF(OR(Alumnos!A195="",Alumnos!E195="No"),"",Alumnos!A195)</f>
        <v/>
      </c>
      <c r="B198" s="16" t="str">
        <f aca="false">IF(A198="","",Alumnos!D195)</f>
        <v/>
      </c>
      <c r="C198" s="16" t="str">
        <f aca="false">IF(A198="","",SUMIFS(Pagos!$E$2:$E$3001,Pagos!$B$2:$B$3001,A198,Pagos!$C$2:$C$3001,$B$2,Pagos!$D$2:$D$3001,$D$2))</f>
        <v/>
      </c>
      <c r="D198" s="16" t="str">
        <f aca="false">IF(A198="","",MAX(0,B198-C198))</f>
        <v/>
      </c>
      <c r="E198" s="15" t="str">
        <f aca="false">IF(A198="","",IF(D198=0,"PAGÓ","DEBE"))</f>
        <v/>
      </c>
    </row>
    <row r="199" customFormat="false" ht="15" hidden="false" customHeight="false" outlineLevel="0" collapsed="false">
      <c r="A199" s="15" t="str">
        <f aca="false">IF(OR(Alumnos!A196="",Alumnos!E196="No"),"",Alumnos!A196)</f>
        <v/>
      </c>
      <c r="B199" s="16" t="str">
        <f aca="false">IF(A199="","",Alumnos!D196)</f>
        <v/>
      </c>
      <c r="C199" s="16" t="str">
        <f aca="false">IF(A199="","",SUMIFS(Pagos!$E$2:$E$3001,Pagos!$B$2:$B$3001,A199,Pagos!$C$2:$C$3001,$B$2,Pagos!$D$2:$D$3001,$D$2))</f>
        <v/>
      </c>
      <c r="D199" s="16" t="str">
        <f aca="false">IF(A199="","",MAX(0,B199-C199))</f>
        <v/>
      </c>
      <c r="E199" s="15" t="str">
        <f aca="false">IF(A199="","",IF(D199=0,"PAGÓ","DEBE"))</f>
        <v/>
      </c>
    </row>
    <row r="200" customFormat="false" ht="15" hidden="false" customHeight="false" outlineLevel="0" collapsed="false">
      <c r="A200" s="15" t="str">
        <f aca="false">IF(OR(Alumnos!A197="",Alumnos!E197="No"),"",Alumnos!A197)</f>
        <v/>
      </c>
      <c r="B200" s="16" t="str">
        <f aca="false">IF(A200="","",Alumnos!D197)</f>
        <v/>
      </c>
      <c r="C200" s="16" t="str">
        <f aca="false">IF(A200="","",SUMIFS(Pagos!$E$2:$E$3001,Pagos!$B$2:$B$3001,A200,Pagos!$C$2:$C$3001,$B$2,Pagos!$D$2:$D$3001,$D$2))</f>
        <v/>
      </c>
      <c r="D200" s="16" t="str">
        <f aca="false">IF(A200="","",MAX(0,B200-C200))</f>
        <v/>
      </c>
      <c r="E200" s="15" t="str">
        <f aca="false">IF(A200="","",IF(D200=0,"PAGÓ","DEBE"))</f>
        <v/>
      </c>
    </row>
    <row r="201" customFormat="false" ht="15" hidden="false" customHeight="false" outlineLevel="0" collapsed="false">
      <c r="A201" s="15" t="str">
        <f aca="false">IF(OR(Alumnos!A198="",Alumnos!E198="No"),"",Alumnos!A198)</f>
        <v/>
      </c>
      <c r="B201" s="16" t="str">
        <f aca="false">IF(A201="","",Alumnos!D198)</f>
        <v/>
      </c>
      <c r="C201" s="16" t="str">
        <f aca="false">IF(A201="","",SUMIFS(Pagos!$E$2:$E$3001,Pagos!$B$2:$B$3001,A201,Pagos!$C$2:$C$3001,$B$2,Pagos!$D$2:$D$3001,$D$2))</f>
        <v/>
      </c>
      <c r="D201" s="16" t="str">
        <f aca="false">IF(A201="","",MAX(0,B201-C201))</f>
        <v/>
      </c>
      <c r="E201" s="15" t="str">
        <f aca="false">IF(A201="","",IF(D201=0,"PAGÓ","DEBE"))</f>
        <v/>
      </c>
    </row>
    <row r="202" customFormat="false" ht="15" hidden="false" customHeight="false" outlineLevel="0" collapsed="false">
      <c r="A202" s="15" t="str">
        <f aca="false">IF(OR(Alumnos!A199="",Alumnos!E199="No"),"",Alumnos!A199)</f>
        <v/>
      </c>
      <c r="B202" s="16" t="str">
        <f aca="false">IF(A202="","",Alumnos!D199)</f>
        <v/>
      </c>
      <c r="C202" s="16" t="str">
        <f aca="false">IF(A202="","",SUMIFS(Pagos!$E$2:$E$3001,Pagos!$B$2:$B$3001,A202,Pagos!$C$2:$C$3001,$B$2,Pagos!$D$2:$D$3001,$D$2))</f>
        <v/>
      </c>
      <c r="D202" s="16" t="str">
        <f aca="false">IF(A202="","",MAX(0,B202-C202))</f>
        <v/>
      </c>
      <c r="E202" s="15" t="str">
        <f aca="false">IF(A202="","",IF(D202=0,"PAGÓ","DEBE"))</f>
        <v/>
      </c>
    </row>
    <row r="203" customFormat="false" ht="15" hidden="false" customHeight="false" outlineLevel="0" collapsed="false">
      <c r="A203" s="15" t="str">
        <f aca="false">IF(OR(Alumnos!A200="",Alumnos!E200="No"),"",Alumnos!A200)</f>
        <v/>
      </c>
      <c r="B203" s="16" t="str">
        <f aca="false">IF(A203="","",Alumnos!D200)</f>
        <v/>
      </c>
      <c r="C203" s="16" t="str">
        <f aca="false">IF(A203="","",SUMIFS(Pagos!$E$2:$E$3001,Pagos!$B$2:$B$3001,A203,Pagos!$C$2:$C$3001,$B$2,Pagos!$D$2:$D$3001,$D$2))</f>
        <v/>
      </c>
      <c r="D203" s="16" t="str">
        <f aca="false">IF(A203="","",MAX(0,B203-C203))</f>
        <v/>
      </c>
      <c r="E203" s="15" t="str">
        <f aca="false">IF(A203="","",IF(D203=0,"PAGÓ","DEBE"))</f>
        <v/>
      </c>
    </row>
    <row r="204" customFormat="false" ht="15" hidden="false" customHeight="false" outlineLevel="0" collapsed="false">
      <c r="A204" s="15" t="str">
        <f aca="false">IF(OR(Alumnos!A201="",Alumnos!E201="No"),"",Alumnos!A201)</f>
        <v/>
      </c>
      <c r="B204" s="16" t="str">
        <f aca="false">IF(A204="","",Alumnos!D201)</f>
        <v/>
      </c>
      <c r="C204" s="16" t="str">
        <f aca="false">IF(A204="","",SUMIFS(Pagos!$E$2:$E$3001,Pagos!$B$2:$B$3001,A204,Pagos!$C$2:$C$3001,$B$2,Pagos!$D$2:$D$3001,$D$2))</f>
        <v/>
      </c>
      <c r="D204" s="16" t="str">
        <f aca="false">IF(A204="","",MAX(0,B204-C204))</f>
        <v/>
      </c>
      <c r="E204" s="15" t="str">
        <f aca="false">IF(A204="","",IF(D204=0,"PAGÓ","DEBE"))</f>
        <v/>
      </c>
    </row>
    <row r="205" customFormat="false" ht="15" hidden="false" customHeight="false" outlineLevel="0" collapsed="false">
      <c r="A205" s="15" t="str">
        <f aca="false">IF(OR(Alumnos!A202="",Alumnos!E202="No"),"",Alumnos!A202)</f>
        <v/>
      </c>
      <c r="B205" s="16" t="str">
        <f aca="false">IF(A205="","",Alumnos!D202)</f>
        <v/>
      </c>
      <c r="C205" s="16" t="str">
        <f aca="false">IF(A205="","",SUMIFS(Pagos!$E$2:$E$3001,Pagos!$B$2:$B$3001,A205,Pagos!$C$2:$C$3001,$B$2,Pagos!$D$2:$D$3001,$D$2))</f>
        <v/>
      </c>
      <c r="D205" s="16" t="str">
        <f aca="false">IF(A205="","",MAX(0,B205-C205))</f>
        <v/>
      </c>
      <c r="E205" s="15" t="str">
        <f aca="false">IF(A205="","",IF(D205=0,"PAGÓ","DEBE"))</f>
        <v/>
      </c>
    </row>
    <row r="206" customFormat="false" ht="15" hidden="false" customHeight="false" outlineLevel="0" collapsed="false">
      <c r="A206" s="15" t="str">
        <f aca="false">IF(OR(Alumnos!A203="",Alumnos!E203="No"),"",Alumnos!A203)</f>
        <v/>
      </c>
      <c r="B206" s="16" t="str">
        <f aca="false">IF(A206="","",Alumnos!D203)</f>
        <v/>
      </c>
      <c r="C206" s="16" t="str">
        <f aca="false">IF(A206="","",SUMIFS(Pagos!$E$2:$E$3001,Pagos!$B$2:$B$3001,A206,Pagos!$C$2:$C$3001,$B$2,Pagos!$D$2:$D$3001,$D$2))</f>
        <v/>
      </c>
      <c r="D206" s="16" t="str">
        <f aca="false">IF(A206="","",MAX(0,B206-C206))</f>
        <v/>
      </c>
      <c r="E206" s="15" t="str">
        <f aca="false">IF(A206="","",IF(D206=0,"PAGÓ","DEBE"))</f>
        <v/>
      </c>
    </row>
    <row r="207" customFormat="false" ht="15" hidden="false" customHeight="false" outlineLevel="0" collapsed="false">
      <c r="A207" s="15" t="str">
        <f aca="false">IF(OR(Alumnos!A204="",Alumnos!E204="No"),"",Alumnos!A204)</f>
        <v/>
      </c>
      <c r="B207" s="16" t="str">
        <f aca="false">IF(A207="","",Alumnos!D204)</f>
        <v/>
      </c>
      <c r="C207" s="16" t="str">
        <f aca="false">IF(A207="","",SUMIFS(Pagos!$E$2:$E$3001,Pagos!$B$2:$B$3001,A207,Pagos!$C$2:$C$3001,$B$2,Pagos!$D$2:$D$3001,$D$2))</f>
        <v/>
      </c>
      <c r="D207" s="16" t="str">
        <f aca="false">IF(A207="","",MAX(0,B207-C207))</f>
        <v/>
      </c>
      <c r="E207" s="15" t="str">
        <f aca="false">IF(A207="","",IF(D207=0,"PAGÓ","DEBE"))</f>
        <v/>
      </c>
    </row>
    <row r="208" customFormat="false" ht="15" hidden="false" customHeight="false" outlineLevel="0" collapsed="false">
      <c r="A208" s="15" t="str">
        <f aca="false">IF(OR(Alumnos!A205="",Alumnos!E205="No"),"",Alumnos!A205)</f>
        <v/>
      </c>
      <c r="B208" s="16" t="str">
        <f aca="false">IF(A208="","",Alumnos!D205)</f>
        <v/>
      </c>
      <c r="C208" s="16" t="str">
        <f aca="false">IF(A208="","",SUMIFS(Pagos!$E$2:$E$3001,Pagos!$B$2:$B$3001,A208,Pagos!$C$2:$C$3001,$B$2,Pagos!$D$2:$D$3001,$D$2))</f>
        <v/>
      </c>
      <c r="D208" s="16" t="str">
        <f aca="false">IF(A208="","",MAX(0,B208-C208))</f>
        <v/>
      </c>
      <c r="E208" s="15" t="str">
        <f aca="false">IF(A208="","",IF(D208=0,"PAGÓ","DEBE"))</f>
        <v/>
      </c>
    </row>
    <row r="209" customFormat="false" ht="15" hidden="false" customHeight="false" outlineLevel="0" collapsed="false">
      <c r="A209" s="15" t="str">
        <f aca="false">IF(OR(Alumnos!A206="",Alumnos!E206="No"),"",Alumnos!A206)</f>
        <v/>
      </c>
      <c r="B209" s="16" t="str">
        <f aca="false">IF(A209="","",Alumnos!D206)</f>
        <v/>
      </c>
      <c r="C209" s="16" t="str">
        <f aca="false">IF(A209="","",SUMIFS(Pagos!$E$2:$E$3001,Pagos!$B$2:$B$3001,A209,Pagos!$C$2:$C$3001,$B$2,Pagos!$D$2:$D$3001,$D$2))</f>
        <v/>
      </c>
      <c r="D209" s="16" t="str">
        <f aca="false">IF(A209="","",MAX(0,B209-C209))</f>
        <v/>
      </c>
      <c r="E209" s="15" t="str">
        <f aca="false">IF(A209="","",IF(D209=0,"PAGÓ","DEBE"))</f>
        <v/>
      </c>
    </row>
    <row r="210" customFormat="false" ht="15" hidden="false" customHeight="false" outlineLevel="0" collapsed="false">
      <c r="A210" s="15" t="str">
        <f aca="false">IF(OR(Alumnos!A207="",Alumnos!E207="No"),"",Alumnos!A207)</f>
        <v/>
      </c>
      <c r="B210" s="16" t="str">
        <f aca="false">IF(A210="","",Alumnos!D207)</f>
        <v/>
      </c>
      <c r="C210" s="16" t="str">
        <f aca="false">IF(A210="","",SUMIFS(Pagos!$E$2:$E$3001,Pagos!$B$2:$B$3001,A210,Pagos!$C$2:$C$3001,$B$2,Pagos!$D$2:$D$3001,$D$2))</f>
        <v/>
      </c>
      <c r="D210" s="16" t="str">
        <f aca="false">IF(A210="","",MAX(0,B210-C210))</f>
        <v/>
      </c>
      <c r="E210" s="15" t="str">
        <f aca="false">IF(A210="","",IF(D210=0,"PAGÓ","DEBE"))</f>
        <v/>
      </c>
    </row>
    <row r="211" customFormat="false" ht="15" hidden="false" customHeight="false" outlineLevel="0" collapsed="false">
      <c r="A211" s="15" t="str">
        <f aca="false">IF(OR(Alumnos!A208="",Alumnos!E208="No"),"",Alumnos!A208)</f>
        <v/>
      </c>
      <c r="B211" s="16" t="str">
        <f aca="false">IF(A211="","",Alumnos!D208)</f>
        <v/>
      </c>
      <c r="C211" s="16" t="str">
        <f aca="false">IF(A211="","",SUMIFS(Pagos!$E$2:$E$3001,Pagos!$B$2:$B$3001,A211,Pagos!$C$2:$C$3001,$B$2,Pagos!$D$2:$D$3001,$D$2))</f>
        <v/>
      </c>
      <c r="D211" s="16" t="str">
        <f aca="false">IF(A211="","",MAX(0,B211-C211))</f>
        <v/>
      </c>
      <c r="E211" s="15" t="str">
        <f aca="false">IF(A211="","",IF(D211=0,"PAGÓ","DEBE"))</f>
        <v/>
      </c>
    </row>
    <row r="212" customFormat="false" ht="15" hidden="false" customHeight="false" outlineLevel="0" collapsed="false">
      <c r="A212" s="15" t="str">
        <f aca="false">IF(OR(Alumnos!A209="",Alumnos!E209="No"),"",Alumnos!A209)</f>
        <v/>
      </c>
      <c r="B212" s="16" t="str">
        <f aca="false">IF(A212="","",Alumnos!D209)</f>
        <v/>
      </c>
      <c r="C212" s="16" t="str">
        <f aca="false">IF(A212="","",SUMIFS(Pagos!$E$2:$E$3001,Pagos!$B$2:$B$3001,A212,Pagos!$C$2:$C$3001,$B$2,Pagos!$D$2:$D$3001,$D$2))</f>
        <v/>
      </c>
      <c r="D212" s="16" t="str">
        <f aca="false">IF(A212="","",MAX(0,B212-C212))</f>
        <v/>
      </c>
      <c r="E212" s="15" t="str">
        <f aca="false">IF(A212="","",IF(D212=0,"PAGÓ","DEBE"))</f>
        <v/>
      </c>
    </row>
    <row r="213" customFormat="false" ht="15" hidden="false" customHeight="false" outlineLevel="0" collapsed="false">
      <c r="A213" s="15" t="str">
        <f aca="false">IF(OR(Alumnos!A210="",Alumnos!E210="No"),"",Alumnos!A210)</f>
        <v/>
      </c>
      <c r="B213" s="16" t="str">
        <f aca="false">IF(A213="","",Alumnos!D210)</f>
        <v/>
      </c>
      <c r="C213" s="16" t="str">
        <f aca="false">IF(A213="","",SUMIFS(Pagos!$E$2:$E$3001,Pagos!$B$2:$B$3001,A213,Pagos!$C$2:$C$3001,$B$2,Pagos!$D$2:$D$3001,$D$2))</f>
        <v/>
      </c>
      <c r="D213" s="16" t="str">
        <f aca="false">IF(A213="","",MAX(0,B213-C213))</f>
        <v/>
      </c>
      <c r="E213" s="15" t="str">
        <f aca="false">IF(A213="","",IF(D213=0,"PAGÓ","DEBE"))</f>
        <v/>
      </c>
    </row>
    <row r="214" customFormat="false" ht="15" hidden="false" customHeight="false" outlineLevel="0" collapsed="false">
      <c r="A214" s="15" t="str">
        <f aca="false">IF(OR(Alumnos!A211="",Alumnos!E211="No"),"",Alumnos!A211)</f>
        <v/>
      </c>
      <c r="B214" s="16" t="str">
        <f aca="false">IF(A214="","",Alumnos!D211)</f>
        <v/>
      </c>
      <c r="C214" s="16" t="str">
        <f aca="false">IF(A214="","",SUMIFS(Pagos!$E$2:$E$3001,Pagos!$B$2:$B$3001,A214,Pagos!$C$2:$C$3001,$B$2,Pagos!$D$2:$D$3001,$D$2))</f>
        <v/>
      </c>
      <c r="D214" s="16" t="str">
        <f aca="false">IF(A214="","",MAX(0,B214-C214))</f>
        <v/>
      </c>
      <c r="E214" s="15" t="str">
        <f aca="false">IF(A214="","",IF(D214=0,"PAGÓ","DEBE"))</f>
        <v/>
      </c>
    </row>
    <row r="215" customFormat="false" ht="15" hidden="false" customHeight="false" outlineLevel="0" collapsed="false">
      <c r="A215" s="15" t="str">
        <f aca="false">IF(OR(Alumnos!A212="",Alumnos!E212="No"),"",Alumnos!A212)</f>
        <v/>
      </c>
      <c r="B215" s="16" t="str">
        <f aca="false">IF(A215="","",Alumnos!D212)</f>
        <v/>
      </c>
      <c r="C215" s="16" t="str">
        <f aca="false">IF(A215="","",SUMIFS(Pagos!$E$2:$E$3001,Pagos!$B$2:$B$3001,A215,Pagos!$C$2:$C$3001,$B$2,Pagos!$D$2:$D$3001,$D$2))</f>
        <v/>
      </c>
      <c r="D215" s="16" t="str">
        <f aca="false">IF(A215="","",MAX(0,B215-C215))</f>
        <v/>
      </c>
      <c r="E215" s="15" t="str">
        <f aca="false">IF(A215="","",IF(D215=0,"PAGÓ","DEBE"))</f>
        <v/>
      </c>
    </row>
    <row r="216" customFormat="false" ht="15" hidden="false" customHeight="false" outlineLevel="0" collapsed="false">
      <c r="A216" s="15" t="str">
        <f aca="false">IF(OR(Alumnos!A213="",Alumnos!E213="No"),"",Alumnos!A213)</f>
        <v/>
      </c>
      <c r="B216" s="16" t="str">
        <f aca="false">IF(A216="","",Alumnos!D213)</f>
        <v/>
      </c>
      <c r="C216" s="16" t="str">
        <f aca="false">IF(A216="","",SUMIFS(Pagos!$E$2:$E$3001,Pagos!$B$2:$B$3001,A216,Pagos!$C$2:$C$3001,$B$2,Pagos!$D$2:$D$3001,$D$2))</f>
        <v/>
      </c>
      <c r="D216" s="16" t="str">
        <f aca="false">IF(A216="","",MAX(0,B216-C216))</f>
        <v/>
      </c>
      <c r="E216" s="15" t="str">
        <f aca="false">IF(A216="","",IF(D216=0,"PAGÓ","DEBE"))</f>
        <v/>
      </c>
    </row>
    <row r="217" customFormat="false" ht="15" hidden="false" customHeight="false" outlineLevel="0" collapsed="false">
      <c r="A217" s="15" t="str">
        <f aca="false">IF(OR(Alumnos!A214="",Alumnos!E214="No"),"",Alumnos!A214)</f>
        <v/>
      </c>
      <c r="B217" s="16" t="str">
        <f aca="false">IF(A217="","",Alumnos!D214)</f>
        <v/>
      </c>
      <c r="C217" s="16" t="str">
        <f aca="false">IF(A217="","",SUMIFS(Pagos!$E$2:$E$3001,Pagos!$B$2:$B$3001,A217,Pagos!$C$2:$C$3001,$B$2,Pagos!$D$2:$D$3001,$D$2))</f>
        <v/>
      </c>
      <c r="D217" s="16" t="str">
        <f aca="false">IF(A217="","",MAX(0,B217-C217))</f>
        <v/>
      </c>
      <c r="E217" s="15" t="str">
        <f aca="false">IF(A217="","",IF(D217=0,"PAGÓ","DEBE"))</f>
        <v/>
      </c>
    </row>
    <row r="218" customFormat="false" ht="15" hidden="false" customHeight="false" outlineLevel="0" collapsed="false">
      <c r="A218" s="15" t="str">
        <f aca="false">IF(OR(Alumnos!A215="",Alumnos!E215="No"),"",Alumnos!A215)</f>
        <v/>
      </c>
      <c r="B218" s="16" t="str">
        <f aca="false">IF(A218="","",Alumnos!D215)</f>
        <v/>
      </c>
      <c r="C218" s="16" t="str">
        <f aca="false">IF(A218="","",SUMIFS(Pagos!$E$2:$E$3001,Pagos!$B$2:$B$3001,A218,Pagos!$C$2:$C$3001,$B$2,Pagos!$D$2:$D$3001,$D$2))</f>
        <v/>
      </c>
      <c r="D218" s="16" t="str">
        <f aca="false">IF(A218="","",MAX(0,B218-C218))</f>
        <v/>
      </c>
      <c r="E218" s="15" t="str">
        <f aca="false">IF(A218="","",IF(D218=0,"PAGÓ","DEBE"))</f>
        <v/>
      </c>
    </row>
    <row r="219" customFormat="false" ht="15" hidden="false" customHeight="false" outlineLevel="0" collapsed="false">
      <c r="A219" s="15" t="str">
        <f aca="false">IF(OR(Alumnos!A216="",Alumnos!E216="No"),"",Alumnos!A216)</f>
        <v/>
      </c>
      <c r="B219" s="16" t="str">
        <f aca="false">IF(A219="","",Alumnos!D216)</f>
        <v/>
      </c>
      <c r="C219" s="16" t="str">
        <f aca="false">IF(A219="","",SUMIFS(Pagos!$E$2:$E$3001,Pagos!$B$2:$B$3001,A219,Pagos!$C$2:$C$3001,$B$2,Pagos!$D$2:$D$3001,$D$2))</f>
        <v/>
      </c>
      <c r="D219" s="16" t="str">
        <f aca="false">IF(A219="","",MAX(0,B219-C219))</f>
        <v/>
      </c>
      <c r="E219" s="15" t="str">
        <f aca="false">IF(A219="","",IF(D219=0,"PAGÓ","DEBE"))</f>
        <v/>
      </c>
    </row>
    <row r="220" customFormat="false" ht="15" hidden="false" customHeight="false" outlineLevel="0" collapsed="false">
      <c r="A220" s="15" t="str">
        <f aca="false">IF(OR(Alumnos!A217="",Alumnos!E217="No"),"",Alumnos!A217)</f>
        <v/>
      </c>
      <c r="B220" s="16" t="str">
        <f aca="false">IF(A220="","",Alumnos!D217)</f>
        <v/>
      </c>
      <c r="C220" s="16" t="str">
        <f aca="false">IF(A220="","",SUMIFS(Pagos!$E$2:$E$3001,Pagos!$B$2:$B$3001,A220,Pagos!$C$2:$C$3001,$B$2,Pagos!$D$2:$D$3001,$D$2))</f>
        <v/>
      </c>
      <c r="D220" s="16" t="str">
        <f aca="false">IF(A220="","",MAX(0,B220-C220))</f>
        <v/>
      </c>
      <c r="E220" s="15" t="str">
        <f aca="false">IF(A220="","",IF(D220=0,"PAGÓ","DEBE"))</f>
        <v/>
      </c>
    </row>
    <row r="221" customFormat="false" ht="15" hidden="false" customHeight="false" outlineLevel="0" collapsed="false">
      <c r="A221" s="15" t="str">
        <f aca="false">IF(OR(Alumnos!A218="",Alumnos!E218="No"),"",Alumnos!A218)</f>
        <v/>
      </c>
      <c r="B221" s="16" t="str">
        <f aca="false">IF(A221="","",Alumnos!D218)</f>
        <v/>
      </c>
      <c r="C221" s="16" t="str">
        <f aca="false">IF(A221="","",SUMIFS(Pagos!$E$2:$E$3001,Pagos!$B$2:$B$3001,A221,Pagos!$C$2:$C$3001,$B$2,Pagos!$D$2:$D$3001,$D$2))</f>
        <v/>
      </c>
      <c r="D221" s="16" t="str">
        <f aca="false">IF(A221="","",MAX(0,B221-C221))</f>
        <v/>
      </c>
      <c r="E221" s="15" t="str">
        <f aca="false">IF(A221="","",IF(D221=0,"PAGÓ","DEBE"))</f>
        <v/>
      </c>
    </row>
    <row r="222" customFormat="false" ht="15" hidden="false" customHeight="false" outlineLevel="0" collapsed="false">
      <c r="A222" s="15" t="str">
        <f aca="false">IF(OR(Alumnos!A219="",Alumnos!E219="No"),"",Alumnos!A219)</f>
        <v/>
      </c>
      <c r="B222" s="16" t="str">
        <f aca="false">IF(A222="","",Alumnos!D219)</f>
        <v/>
      </c>
      <c r="C222" s="16" t="str">
        <f aca="false">IF(A222="","",SUMIFS(Pagos!$E$2:$E$3001,Pagos!$B$2:$B$3001,A222,Pagos!$C$2:$C$3001,$B$2,Pagos!$D$2:$D$3001,$D$2))</f>
        <v/>
      </c>
      <c r="D222" s="16" t="str">
        <f aca="false">IF(A222="","",MAX(0,B222-C222))</f>
        <v/>
      </c>
      <c r="E222" s="15" t="str">
        <f aca="false">IF(A222="","",IF(D222=0,"PAGÓ","DEBE"))</f>
        <v/>
      </c>
    </row>
    <row r="223" customFormat="false" ht="15" hidden="false" customHeight="false" outlineLevel="0" collapsed="false">
      <c r="A223" s="15" t="str">
        <f aca="false">IF(OR(Alumnos!A220="",Alumnos!E220="No"),"",Alumnos!A220)</f>
        <v/>
      </c>
      <c r="B223" s="16" t="str">
        <f aca="false">IF(A223="","",Alumnos!D220)</f>
        <v/>
      </c>
      <c r="C223" s="16" t="str">
        <f aca="false">IF(A223="","",SUMIFS(Pagos!$E$2:$E$3001,Pagos!$B$2:$B$3001,A223,Pagos!$C$2:$C$3001,$B$2,Pagos!$D$2:$D$3001,$D$2))</f>
        <v/>
      </c>
      <c r="D223" s="16" t="str">
        <f aca="false">IF(A223="","",MAX(0,B223-C223))</f>
        <v/>
      </c>
      <c r="E223" s="15" t="str">
        <f aca="false">IF(A223="","",IF(D223=0,"PAGÓ","DEBE"))</f>
        <v/>
      </c>
    </row>
    <row r="224" customFormat="false" ht="15" hidden="false" customHeight="false" outlineLevel="0" collapsed="false">
      <c r="A224" s="15" t="str">
        <f aca="false">IF(OR(Alumnos!A221="",Alumnos!E221="No"),"",Alumnos!A221)</f>
        <v/>
      </c>
      <c r="B224" s="16" t="str">
        <f aca="false">IF(A224="","",Alumnos!D221)</f>
        <v/>
      </c>
      <c r="C224" s="16" t="str">
        <f aca="false">IF(A224="","",SUMIFS(Pagos!$E$2:$E$3001,Pagos!$B$2:$B$3001,A224,Pagos!$C$2:$C$3001,$B$2,Pagos!$D$2:$D$3001,$D$2))</f>
        <v/>
      </c>
      <c r="D224" s="16" t="str">
        <f aca="false">IF(A224="","",MAX(0,B224-C224))</f>
        <v/>
      </c>
      <c r="E224" s="15" t="str">
        <f aca="false">IF(A224="","",IF(D224=0,"PAGÓ","DEBE"))</f>
        <v/>
      </c>
    </row>
    <row r="225" customFormat="false" ht="15" hidden="false" customHeight="false" outlineLevel="0" collapsed="false">
      <c r="A225" s="15" t="str">
        <f aca="false">IF(OR(Alumnos!A222="",Alumnos!E222="No"),"",Alumnos!A222)</f>
        <v/>
      </c>
      <c r="B225" s="16" t="str">
        <f aca="false">IF(A225="","",Alumnos!D222)</f>
        <v/>
      </c>
      <c r="C225" s="16" t="str">
        <f aca="false">IF(A225="","",SUMIFS(Pagos!$E$2:$E$3001,Pagos!$B$2:$B$3001,A225,Pagos!$C$2:$C$3001,$B$2,Pagos!$D$2:$D$3001,$D$2))</f>
        <v/>
      </c>
      <c r="D225" s="16" t="str">
        <f aca="false">IF(A225="","",MAX(0,B225-C225))</f>
        <v/>
      </c>
      <c r="E225" s="15" t="str">
        <f aca="false">IF(A225="","",IF(D225=0,"PAGÓ","DEBE"))</f>
        <v/>
      </c>
    </row>
    <row r="226" customFormat="false" ht="15" hidden="false" customHeight="false" outlineLevel="0" collapsed="false">
      <c r="A226" s="15" t="str">
        <f aca="false">IF(OR(Alumnos!A223="",Alumnos!E223="No"),"",Alumnos!A223)</f>
        <v/>
      </c>
      <c r="B226" s="16" t="str">
        <f aca="false">IF(A226="","",Alumnos!D223)</f>
        <v/>
      </c>
      <c r="C226" s="16" t="str">
        <f aca="false">IF(A226="","",SUMIFS(Pagos!$E$2:$E$3001,Pagos!$B$2:$B$3001,A226,Pagos!$C$2:$C$3001,$B$2,Pagos!$D$2:$D$3001,$D$2))</f>
        <v/>
      </c>
      <c r="D226" s="16" t="str">
        <f aca="false">IF(A226="","",MAX(0,B226-C226))</f>
        <v/>
      </c>
      <c r="E226" s="15" t="str">
        <f aca="false">IF(A226="","",IF(D226=0,"PAGÓ","DEBE"))</f>
        <v/>
      </c>
    </row>
    <row r="227" customFormat="false" ht="15" hidden="false" customHeight="false" outlineLevel="0" collapsed="false">
      <c r="A227" s="15" t="str">
        <f aca="false">IF(OR(Alumnos!A224="",Alumnos!E224="No"),"",Alumnos!A224)</f>
        <v/>
      </c>
      <c r="B227" s="16" t="str">
        <f aca="false">IF(A227="","",Alumnos!D224)</f>
        <v/>
      </c>
      <c r="C227" s="16" t="str">
        <f aca="false">IF(A227="","",SUMIFS(Pagos!$E$2:$E$3001,Pagos!$B$2:$B$3001,A227,Pagos!$C$2:$C$3001,$B$2,Pagos!$D$2:$D$3001,$D$2))</f>
        <v/>
      </c>
      <c r="D227" s="16" t="str">
        <f aca="false">IF(A227="","",MAX(0,B227-C227))</f>
        <v/>
      </c>
      <c r="E227" s="15" t="str">
        <f aca="false">IF(A227="","",IF(D227=0,"PAGÓ","DEBE"))</f>
        <v/>
      </c>
    </row>
    <row r="228" customFormat="false" ht="15" hidden="false" customHeight="false" outlineLevel="0" collapsed="false">
      <c r="A228" s="15" t="str">
        <f aca="false">IF(OR(Alumnos!A225="",Alumnos!E225="No"),"",Alumnos!A225)</f>
        <v/>
      </c>
      <c r="B228" s="16" t="str">
        <f aca="false">IF(A228="","",Alumnos!D225)</f>
        <v/>
      </c>
      <c r="C228" s="16" t="str">
        <f aca="false">IF(A228="","",SUMIFS(Pagos!$E$2:$E$3001,Pagos!$B$2:$B$3001,A228,Pagos!$C$2:$C$3001,$B$2,Pagos!$D$2:$D$3001,$D$2))</f>
        <v/>
      </c>
      <c r="D228" s="16" t="str">
        <f aca="false">IF(A228="","",MAX(0,B228-C228))</f>
        <v/>
      </c>
      <c r="E228" s="15" t="str">
        <f aca="false">IF(A228="","",IF(D228=0,"PAGÓ","DEBE"))</f>
        <v/>
      </c>
    </row>
    <row r="229" customFormat="false" ht="15" hidden="false" customHeight="false" outlineLevel="0" collapsed="false">
      <c r="A229" s="15" t="str">
        <f aca="false">IF(OR(Alumnos!A226="",Alumnos!E226="No"),"",Alumnos!A226)</f>
        <v/>
      </c>
      <c r="B229" s="16" t="str">
        <f aca="false">IF(A229="","",Alumnos!D226)</f>
        <v/>
      </c>
      <c r="C229" s="16" t="str">
        <f aca="false">IF(A229="","",SUMIFS(Pagos!$E$2:$E$3001,Pagos!$B$2:$B$3001,A229,Pagos!$C$2:$C$3001,$B$2,Pagos!$D$2:$D$3001,$D$2))</f>
        <v/>
      </c>
      <c r="D229" s="16" t="str">
        <f aca="false">IF(A229="","",MAX(0,B229-C229))</f>
        <v/>
      </c>
      <c r="E229" s="15" t="str">
        <f aca="false">IF(A229="","",IF(D229=0,"PAGÓ","DEBE"))</f>
        <v/>
      </c>
    </row>
    <row r="230" customFormat="false" ht="15" hidden="false" customHeight="false" outlineLevel="0" collapsed="false">
      <c r="A230" s="15" t="str">
        <f aca="false">IF(OR(Alumnos!A227="",Alumnos!E227="No"),"",Alumnos!A227)</f>
        <v/>
      </c>
      <c r="B230" s="16" t="str">
        <f aca="false">IF(A230="","",Alumnos!D227)</f>
        <v/>
      </c>
      <c r="C230" s="16" t="str">
        <f aca="false">IF(A230="","",SUMIFS(Pagos!$E$2:$E$3001,Pagos!$B$2:$B$3001,A230,Pagos!$C$2:$C$3001,$B$2,Pagos!$D$2:$D$3001,$D$2))</f>
        <v/>
      </c>
      <c r="D230" s="16" t="str">
        <f aca="false">IF(A230="","",MAX(0,B230-C230))</f>
        <v/>
      </c>
      <c r="E230" s="15" t="str">
        <f aca="false">IF(A230="","",IF(D230=0,"PAGÓ","DEBE"))</f>
        <v/>
      </c>
    </row>
    <row r="231" customFormat="false" ht="15" hidden="false" customHeight="false" outlineLevel="0" collapsed="false">
      <c r="A231" s="15" t="str">
        <f aca="false">IF(OR(Alumnos!A228="",Alumnos!E228="No"),"",Alumnos!A228)</f>
        <v/>
      </c>
      <c r="B231" s="16" t="str">
        <f aca="false">IF(A231="","",Alumnos!D228)</f>
        <v/>
      </c>
      <c r="C231" s="16" t="str">
        <f aca="false">IF(A231="","",SUMIFS(Pagos!$E$2:$E$3001,Pagos!$B$2:$B$3001,A231,Pagos!$C$2:$C$3001,$B$2,Pagos!$D$2:$D$3001,$D$2))</f>
        <v/>
      </c>
      <c r="D231" s="16" t="str">
        <f aca="false">IF(A231="","",MAX(0,B231-C231))</f>
        <v/>
      </c>
      <c r="E231" s="15" t="str">
        <f aca="false">IF(A231="","",IF(D231=0,"PAGÓ","DEBE"))</f>
        <v/>
      </c>
    </row>
    <row r="232" customFormat="false" ht="15" hidden="false" customHeight="false" outlineLevel="0" collapsed="false">
      <c r="A232" s="15" t="str">
        <f aca="false">IF(OR(Alumnos!A229="",Alumnos!E229="No"),"",Alumnos!A229)</f>
        <v/>
      </c>
      <c r="B232" s="16" t="str">
        <f aca="false">IF(A232="","",Alumnos!D229)</f>
        <v/>
      </c>
      <c r="C232" s="16" t="str">
        <f aca="false">IF(A232="","",SUMIFS(Pagos!$E$2:$E$3001,Pagos!$B$2:$B$3001,A232,Pagos!$C$2:$C$3001,$B$2,Pagos!$D$2:$D$3001,$D$2))</f>
        <v/>
      </c>
      <c r="D232" s="16" t="str">
        <f aca="false">IF(A232="","",MAX(0,B232-C232))</f>
        <v/>
      </c>
      <c r="E232" s="15" t="str">
        <f aca="false">IF(A232="","",IF(D232=0,"PAGÓ","DEBE"))</f>
        <v/>
      </c>
    </row>
    <row r="233" customFormat="false" ht="15" hidden="false" customHeight="false" outlineLevel="0" collapsed="false">
      <c r="A233" s="15" t="str">
        <f aca="false">IF(OR(Alumnos!A230="",Alumnos!E230="No"),"",Alumnos!A230)</f>
        <v/>
      </c>
      <c r="B233" s="16" t="str">
        <f aca="false">IF(A233="","",Alumnos!D230)</f>
        <v/>
      </c>
      <c r="C233" s="16" t="str">
        <f aca="false">IF(A233="","",SUMIFS(Pagos!$E$2:$E$3001,Pagos!$B$2:$B$3001,A233,Pagos!$C$2:$C$3001,$B$2,Pagos!$D$2:$D$3001,$D$2))</f>
        <v/>
      </c>
      <c r="D233" s="16" t="str">
        <f aca="false">IF(A233="","",MAX(0,B233-C233))</f>
        <v/>
      </c>
      <c r="E233" s="15" t="str">
        <f aca="false">IF(A233="","",IF(D233=0,"PAGÓ","DEBE"))</f>
        <v/>
      </c>
    </row>
    <row r="234" customFormat="false" ht="15" hidden="false" customHeight="false" outlineLevel="0" collapsed="false">
      <c r="A234" s="15" t="str">
        <f aca="false">IF(OR(Alumnos!A231="",Alumnos!E231="No"),"",Alumnos!A231)</f>
        <v/>
      </c>
      <c r="B234" s="16" t="str">
        <f aca="false">IF(A234="","",Alumnos!D231)</f>
        <v/>
      </c>
      <c r="C234" s="16" t="str">
        <f aca="false">IF(A234="","",SUMIFS(Pagos!$E$2:$E$3001,Pagos!$B$2:$B$3001,A234,Pagos!$C$2:$C$3001,$B$2,Pagos!$D$2:$D$3001,$D$2))</f>
        <v/>
      </c>
      <c r="D234" s="16" t="str">
        <f aca="false">IF(A234="","",MAX(0,B234-C234))</f>
        <v/>
      </c>
      <c r="E234" s="15" t="str">
        <f aca="false">IF(A234="","",IF(D234=0,"PAGÓ","DEBE"))</f>
        <v/>
      </c>
    </row>
    <row r="235" customFormat="false" ht="15" hidden="false" customHeight="false" outlineLevel="0" collapsed="false">
      <c r="A235" s="15" t="str">
        <f aca="false">IF(OR(Alumnos!A232="",Alumnos!E232="No"),"",Alumnos!A232)</f>
        <v/>
      </c>
      <c r="B235" s="16" t="str">
        <f aca="false">IF(A235="","",Alumnos!D232)</f>
        <v/>
      </c>
      <c r="C235" s="16" t="str">
        <f aca="false">IF(A235="","",SUMIFS(Pagos!$E$2:$E$3001,Pagos!$B$2:$B$3001,A235,Pagos!$C$2:$C$3001,$B$2,Pagos!$D$2:$D$3001,$D$2))</f>
        <v/>
      </c>
      <c r="D235" s="16" t="str">
        <f aca="false">IF(A235="","",MAX(0,B235-C235))</f>
        <v/>
      </c>
      <c r="E235" s="15" t="str">
        <f aca="false">IF(A235="","",IF(D235=0,"PAGÓ","DEBE"))</f>
        <v/>
      </c>
    </row>
    <row r="236" customFormat="false" ht="15" hidden="false" customHeight="false" outlineLevel="0" collapsed="false">
      <c r="A236" s="15" t="str">
        <f aca="false">IF(OR(Alumnos!A233="",Alumnos!E233="No"),"",Alumnos!A233)</f>
        <v/>
      </c>
      <c r="B236" s="16" t="str">
        <f aca="false">IF(A236="","",Alumnos!D233)</f>
        <v/>
      </c>
      <c r="C236" s="16" t="str">
        <f aca="false">IF(A236="","",SUMIFS(Pagos!$E$2:$E$3001,Pagos!$B$2:$B$3001,A236,Pagos!$C$2:$C$3001,$B$2,Pagos!$D$2:$D$3001,$D$2))</f>
        <v/>
      </c>
      <c r="D236" s="16" t="str">
        <f aca="false">IF(A236="","",MAX(0,B236-C236))</f>
        <v/>
      </c>
      <c r="E236" s="15" t="str">
        <f aca="false">IF(A236="","",IF(D236=0,"PAGÓ","DEBE"))</f>
        <v/>
      </c>
    </row>
    <row r="237" customFormat="false" ht="15" hidden="false" customHeight="false" outlineLevel="0" collapsed="false">
      <c r="A237" s="15" t="str">
        <f aca="false">IF(OR(Alumnos!A234="",Alumnos!E234="No"),"",Alumnos!A234)</f>
        <v/>
      </c>
      <c r="B237" s="16" t="str">
        <f aca="false">IF(A237="","",Alumnos!D234)</f>
        <v/>
      </c>
      <c r="C237" s="16" t="str">
        <f aca="false">IF(A237="","",SUMIFS(Pagos!$E$2:$E$3001,Pagos!$B$2:$B$3001,A237,Pagos!$C$2:$C$3001,$B$2,Pagos!$D$2:$D$3001,$D$2))</f>
        <v/>
      </c>
      <c r="D237" s="16" t="str">
        <f aca="false">IF(A237="","",MAX(0,B237-C237))</f>
        <v/>
      </c>
      <c r="E237" s="15" t="str">
        <f aca="false">IF(A237="","",IF(D237=0,"PAGÓ","DEBE"))</f>
        <v/>
      </c>
    </row>
    <row r="238" customFormat="false" ht="15" hidden="false" customHeight="false" outlineLevel="0" collapsed="false">
      <c r="A238" s="15" t="str">
        <f aca="false">IF(OR(Alumnos!A235="",Alumnos!E235="No"),"",Alumnos!A235)</f>
        <v/>
      </c>
      <c r="B238" s="16" t="str">
        <f aca="false">IF(A238="","",Alumnos!D235)</f>
        <v/>
      </c>
      <c r="C238" s="16" t="str">
        <f aca="false">IF(A238="","",SUMIFS(Pagos!$E$2:$E$3001,Pagos!$B$2:$B$3001,A238,Pagos!$C$2:$C$3001,$B$2,Pagos!$D$2:$D$3001,$D$2))</f>
        <v/>
      </c>
      <c r="D238" s="16" t="str">
        <f aca="false">IF(A238="","",MAX(0,B238-C238))</f>
        <v/>
      </c>
      <c r="E238" s="15" t="str">
        <f aca="false">IF(A238="","",IF(D238=0,"PAGÓ","DEBE"))</f>
        <v/>
      </c>
    </row>
    <row r="239" customFormat="false" ht="15" hidden="false" customHeight="false" outlineLevel="0" collapsed="false">
      <c r="A239" s="15" t="str">
        <f aca="false">IF(OR(Alumnos!A236="",Alumnos!E236="No"),"",Alumnos!A236)</f>
        <v/>
      </c>
      <c r="B239" s="16" t="str">
        <f aca="false">IF(A239="","",Alumnos!D236)</f>
        <v/>
      </c>
      <c r="C239" s="16" t="str">
        <f aca="false">IF(A239="","",SUMIFS(Pagos!$E$2:$E$3001,Pagos!$B$2:$B$3001,A239,Pagos!$C$2:$C$3001,$B$2,Pagos!$D$2:$D$3001,$D$2))</f>
        <v/>
      </c>
      <c r="D239" s="16" t="str">
        <f aca="false">IF(A239="","",MAX(0,B239-C239))</f>
        <v/>
      </c>
      <c r="E239" s="15" t="str">
        <f aca="false">IF(A239="","",IF(D239=0,"PAGÓ","DEBE"))</f>
        <v/>
      </c>
    </row>
    <row r="240" customFormat="false" ht="15" hidden="false" customHeight="false" outlineLevel="0" collapsed="false">
      <c r="A240" s="15" t="str">
        <f aca="false">IF(OR(Alumnos!A237="",Alumnos!E237="No"),"",Alumnos!A237)</f>
        <v/>
      </c>
      <c r="B240" s="16" t="str">
        <f aca="false">IF(A240="","",Alumnos!D237)</f>
        <v/>
      </c>
      <c r="C240" s="16" t="str">
        <f aca="false">IF(A240="","",SUMIFS(Pagos!$E$2:$E$3001,Pagos!$B$2:$B$3001,A240,Pagos!$C$2:$C$3001,$B$2,Pagos!$D$2:$D$3001,$D$2))</f>
        <v/>
      </c>
      <c r="D240" s="16" t="str">
        <f aca="false">IF(A240="","",MAX(0,B240-C240))</f>
        <v/>
      </c>
      <c r="E240" s="15" t="str">
        <f aca="false">IF(A240="","",IF(D240=0,"PAGÓ","DEBE"))</f>
        <v/>
      </c>
    </row>
    <row r="241" customFormat="false" ht="15" hidden="false" customHeight="false" outlineLevel="0" collapsed="false">
      <c r="A241" s="15" t="str">
        <f aca="false">IF(OR(Alumnos!A238="",Alumnos!E238="No"),"",Alumnos!A238)</f>
        <v/>
      </c>
      <c r="B241" s="16" t="str">
        <f aca="false">IF(A241="","",Alumnos!D238)</f>
        <v/>
      </c>
      <c r="C241" s="16" t="str">
        <f aca="false">IF(A241="","",SUMIFS(Pagos!$E$2:$E$3001,Pagos!$B$2:$B$3001,A241,Pagos!$C$2:$C$3001,$B$2,Pagos!$D$2:$D$3001,$D$2))</f>
        <v/>
      </c>
      <c r="D241" s="16" t="str">
        <f aca="false">IF(A241="","",MAX(0,B241-C241))</f>
        <v/>
      </c>
      <c r="E241" s="15" t="str">
        <f aca="false">IF(A241="","",IF(D241=0,"PAGÓ","DEBE"))</f>
        <v/>
      </c>
    </row>
    <row r="242" customFormat="false" ht="15" hidden="false" customHeight="false" outlineLevel="0" collapsed="false">
      <c r="A242" s="15" t="str">
        <f aca="false">IF(OR(Alumnos!A239="",Alumnos!E239="No"),"",Alumnos!A239)</f>
        <v/>
      </c>
      <c r="B242" s="16" t="str">
        <f aca="false">IF(A242="","",Alumnos!D239)</f>
        <v/>
      </c>
      <c r="C242" s="16" t="str">
        <f aca="false">IF(A242="","",SUMIFS(Pagos!$E$2:$E$3001,Pagos!$B$2:$B$3001,A242,Pagos!$C$2:$C$3001,$B$2,Pagos!$D$2:$D$3001,$D$2))</f>
        <v/>
      </c>
      <c r="D242" s="16" t="str">
        <f aca="false">IF(A242="","",MAX(0,B242-C242))</f>
        <v/>
      </c>
      <c r="E242" s="15" t="str">
        <f aca="false">IF(A242="","",IF(D242=0,"PAGÓ","DEBE"))</f>
        <v/>
      </c>
    </row>
    <row r="243" customFormat="false" ht="15" hidden="false" customHeight="false" outlineLevel="0" collapsed="false">
      <c r="A243" s="15" t="str">
        <f aca="false">IF(OR(Alumnos!A240="",Alumnos!E240="No"),"",Alumnos!A240)</f>
        <v/>
      </c>
      <c r="B243" s="16" t="str">
        <f aca="false">IF(A243="","",Alumnos!D240)</f>
        <v/>
      </c>
      <c r="C243" s="16" t="str">
        <f aca="false">IF(A243="","",SUMIFS(Pagos!$E$2:$E$3001,Pagos!$B$2:$B$3001,A243,Pagos!$C$2:$C$3001,$B$2,Pagos!$D$2:$D$3001,$D$2))</f>
        <v/>
      </c>
      <c r="D243" s="16" t="str">
        <f aca="false">IF(A243="","",MAX(0,B243-C243))</f>
        <v/>
      </c>
      <c r="E243" s="15" t="str">
        <f aca="false">IF(A243="","",IF(D243=0,"PAGÓ","DEBE"))</f>
        <v/>
      </c>
    </row>
    <row r="244" customFormat="false" ht="15" hidden="false" customHeight="false" outlineLevel="0" collapsed="false">
      <c r="A244" s="15" t="str">
        <f aca="false">IF(OR(Alumnos!A241="",Alumnos!E241="No"),"",Alumnos!A241)</f>
        <v/>
      </c>
      <c r="B244" s="16" t="str">
        <f aca="false">IF(A244="","",Alumnos!D241)</f>
        <v/>
      </c>
      <c r="C244" s="16" t="str">
        <f aca="false">IF(A244="","",SUMIFS(Pagos!$E$2:$E$3001,Pagos!$B$2:$B$3001,A244,Pagos!$C$2:$C$3001,$B$2,Pagos!$D$2:$D$3001,$D$2))</f>
        <v/>
      </c>
      <c r="D244" s="16" t="str">
        <f aca="false">IF(A244="","",MAX(0,B244-C244))</f>
        <v/>
      </c>
      <c r="E244" s="15" t="str">
        <f aca="false">IF(A244="","",IF(D244=0,"PAGÓ","DEBE"))</f>
        <v/>
      </c>
    </row>
    <row r="245" customFormat="false" ht="15" hidden="false" customHeight="false" outlineLevel="0" collapsed="false">
      <c r="A245" s="15" t="str">
        <f aca="false">IF(OR(Alumnos!A242="",Alumnos!E242="No"),"",Alumnos!A242)</f>
        <v/>
      </c>
      <c r="B245" s="16" t="str">
        <f aca="false">IF(A245="","",Alumnos!D242)</f>
        <v/>
      </c>
      <c r="C245" s="16" t="str">
        <f aca="false">IF(A245="","",SUMIFS(Pagos!$E$2:$E$3001,Pagos!$B$2:$B$3001,A245,Pagos!$C$2:$C$3001,$B$2,Pagos!$D$2:$D$3001,$D$2))</f>
        <v/>
      </c>
      <c r="D245" s="16" t="str">
        <f aca="false">IF(A245="","",MAX(0,B245-C245))</f>
        <v/>
      </c>
      <c r="E245" s="15" t="str">
        <f aca="false">IF(A245="","",IF(D245=0,"PAGÓ","DEBE"))</f>
        <v/>
      </c>
    </row>
    <row r="246" customFormat="false" ht="15" hidden="false" customHeight="false" outlineLevel="0" collapsed="false">
      <c r="A246" s="15" t="str">
        <f aca="false">IF(OR(Alumnos!A243="",Alumnos!E243="No"),"",Alumnos!A243)</f>
        <v/>
      </c>
      <c r="B246" s="16" t="str">
        <f aca="false">IF(A246="","",Alumnos!D243)</f>
        <v/>
      </c>
      <c r="C246" s="16" t="str">
        <f aca="false">IF(A246="","",SUMIFS(Pagos!$E$2:$E$3001,Pagos!$B$2:$B$3001,A246,Pagos!$C$2:$C$3001,$B$2,Pagos!$D$2:$D$3001,$D$2))</f>
        <v/>
      </c>
      <c r="D246" s="16" t="str">
        <f aca="false">IF(A246="","",MAX(0,B246-C246))</f>
        <v/>
      </c>
      <c r="E246" s="15" t="str">
        <f aca="false">IF(A246="","",IF(D246=0,"PAGÓ","DEBE"))</f>
        <v/>
      </c>
    </row>
    <row r="247" customFormat="false" ht="15" hidden="false" customHeight="false" outlineLevel="0" collapsed="false">
      <c r="A247" s="15" t="str">
        <f aca="false">IF(OR(Alumnos!A244="",Alumnos!E244="No"),"",Alumnos!A244)</f>
        <v/>
      </c>
      <c r="B247" s="16" t="str">
        <f aca="false">IF(A247="","",Alumnos!D244)</f>
        <v/>
      </c>
      <c r="C247" s="16" t="str">
        <f aca="false">IF(A247="","",SUMIFS(Pagos!$E$2:$E$3001,Pagos!$B$2:$B$3001,A247,Pagos!$C$2:$C$3001,$B$2,Pagos!$D$2:$D$3001,$D$2))</f>
        <v/>
      </c>
      <c r="D247" s="16" t="str">
        <f aca="false">IF(A247="","",MAX(0,B247-C247))</f>
        <v/>
      </c>
      <c r="E247" s="15" t="str">
        <f aca="false">IF(A247="","",IF(D247=0,"PAGÓ","DEBE"))</f>
        <v/>
      </c>
    </row>
    <row r="248" customFormat="false" ht="15" hidden="false" customHeight="false" outlineLevel="0" collapsed="false">
      <c r="A248" s="15" t="str">
        <f aca="false">IF(OR(Alumnos!A245="",Alumnos!E245="No"),"",Alumnos!A245)</f>
        <v/>
      </c>
      <c r="B248" s="16" t="str">
        <f aca="false">IF(A248="","",Alumnos!D245)</f>
        <v/>
      </c>
      <c r="C248" s="16" t="str">
        <f aca="false">IF(A248="","",SUMIFS(Pagos!$E$2:$E$3001,Pagos!$B$2:$B$3001,A248,Pagos!$C$2:$C$3001,$B$2,Pagos!$D$2:$D$3001,$D$2))</f>
        <v/>
      </c>
      <c r="D248" s="16" t="str">
        <f aca="false">IF(A248="","",MAX(0,B248-C248))</f>
        <v/>
      </c>
      <c r="E248" s="15" t="str">
        <f aca="false">IF(A248="","",IF(D248=0,"PAGÓ","DEBE"))</f>
        <v/>
      </c>
    </row>
    <row r="249" customFormat="false" ht="15" hidden="false" customHeight="false" outlineLevel="0" collapsed="false">
      <c r="A249" s="15" t="str">
        <f aca="false">IF(OR(Alumnos!A246="",Alumnos!E246="No"),"",Alumnos!A246)</f>
        <v/>
      </c>
      <c r="B249" s="16" t="str">
        <f aca="false">IF(A249="","",Alumnos!D246)</f>
        <v/>
      </c>
      <c r="C249" s="16" t="str">
        <f aca="false">IF(A249="","",SUMIFS(Pagos!$E$2:$E$3001,Pagos!$B$2:$B$3001,A249,Pagos!$C$2:$C$3001,$B$2,Pagos!$D$2:$D$3001,$D$2))</f>
        <v/>
      </c>
      <c r="D249" s="16" t="str">
        <f aca="false">IF(A249="","",MAX(0,B249-C249))</f>
        <v/>
      </c>
      <c r="E249" s="15" t="str">
        <f aca="false">IF(A249="","",IF(D249=0,"PAGÓ","DEBE"))</f>
        <v/>
      </c>
    </row>
    <row r="250" customFormat="false" ht="15" hidden="false" customHeight="false" outlineLevel="0" collapsed="false">
      <c r="A250" s="15" t="str">
        <f aca="false">IF(OR(Alumnos!A247="",Alumnos!E247="No"),"",Alumnos!A247)</f>
        <v/>
      </c>
      <c r="B250" s="16" t="str">
        <f aca="false">IF(A250="","",Alumnos!D247)</f>
        <v/>
      </c>
      <c r="C250" s="16" t="str">
        <f aca="false">IF(A250="","",SUMIFS(Pagos!$E$2:$E$3001,Pagos!$B$2:$B$3001,A250,Pagos!$C$2:$C$3001,$B$2,Pagos!$D$2:$D$3001,$D$2))</f>
        <v/>
      </c>
      <c r="D250" s="16" t="str">
        <f aca="false">IF(A250="","",MAX(0,B250-C250))</f>
        <v/>
      </c>
      <c r="E250" s="15" t="str">
        <f aca="false">IF(A250="","",IF(D250=0,"PAGÓ","DEBE"))</f>
        <v/>
      </c>
    </row>
    <row r="251" customFormat="false" ht="15" hidden="false" customHeight="false" outlineLevel="0" collapsed="false">
      <c r="A251" s="15" t="str">
        <f aca="false">IF(OR(Alumnos!A248="",Alumnos!E248="No"),"",Alumnos!A248)</f>
        <v/>
      </c>
      <c r="B251" s="16" t="str">
        <f aca="false">IF(A251="","",Alumnos!D248)</f>
        <v/>
      </c>
      <c r="C251" s="16" t="str">
        <f aca="false">IF(A251="","",SUMIFS(Pagos!$E$2:$E$3001,Pagos!$B$2:$B$3001,A251,Pagos!$C$2:$C$3001,$B$2,Pagos!$D$2:$D$3001,$D$2))</f>
        <v/>
      </c>
      <c r="D251" s="16" t="str">
        <f aca="false">IF(A251="","",MAX(0,B251-C251))</f>
        <v/>
      </c>
      <c r="E251" s="15" t="str">
        <f aca="false">IF(A251="","",IF(D251=0,"PAGÓ","DEBE"))</f>
        <v/>
      </c>
    </row>
    <row r="252" customFormat="false" ht="15" hidden="false" customHeight="false" outlineLevel="0" collapsed="false">
      <c r="A252" s="15" t="str">
        <f aca="false">IF(OR(Alumnos!A249="",Alumnos!E249="No"),"",Alumnos!A249)</f>
        <v/>
      </c>
      <c r="B252" s="16" t="str">
        <f aca="false">IF(A252="","",Alumnos!D249)</f>
        <v/>
      </c>
      <c r="C252" s="16" t="str">
        <f aca="false">IF(A252="","",SUMIFS(Pagos!$E$2:$E$3001,Pagos!$B$2:$B$3001,A252,Pagos!$C$2:$C$3001,$B$2,Pagos!$D$2:$D$3001,$D$2))</f>
        <v/>
      </c>
      <c r="D252" s="16" t="str">
        <f aca="false">IF(A252="","",MAX(0,B252-C252))</f>
        <v/>
      </c>
      <c r="E252" s="15" t="str">
        <f aca="false">IF(A252="","",IF(D252=0,"PAGÓ","DEBE"))</f>
        <v/>
      </c>
    </row>
    <row r="253" customFormat="false" ht="15" hidden="false" customHeight="false" outlineLevel="0" collapsed="false">
      <c r="A253" s="15" t="str">
        <f aca="false">IF(OR(Alumnos!A250="",Alumnos!E250="No"),"",Alumnos!A250)</f>
        <v/>
      </c>
      <c r="B253" s="16" t="str">
        <f aca="false">IF(A253="","",Alumnos!D250)</f>
        <v/>
      </c>
      <c r="C253" s="16" t="str">
        <f aca="false">IF(A253="","",SUMIFS(Pagos!$E$2:$E$3001,Pagos!$B$2:$B$3001,A253,Pagos!$C$2:$C$3001,$B$2,Pagos!$D$2:$D$3001,$D$2))</f>
        <v/>
      </c>
      <c r="D253" s="16" t="str">
        <f aca="false">IF(A253="","",MAX(0,B253-C253))</f>
        <v/>
      </c>
      <c r="E253" s="15" t="str">
        <f aca="false">IF(A253="","",IF(D253=0,"PAGÓ","DEBE"))</f>
        <v/>
      </c>
    </row>
    <row r="254" customFormat="false" ht="15" hidden="false" customHeight="false" outlineLevel="0" collapsed="false">
      <c r="A254" s="15" t="str">
        <f aca="false">IF(OR(Alumnos!A251="",Alumnos!E251="No"),"",Alumnos!A251)</f>
        <v/>
      </c>
      <c r="B254" s="16" t="str">
        <f aca="false">IF(A254="","",Alumnos!D251)</f>
        <v/>
      </c>
      <c r="C254" s="16" t="str">
        <f aca="false">IF(A254="","",SUMIFS(Pagos!$E$2:$E$3001,Pagos!$B$2:$B$3001,A254,Pagos!$C$2:$C$3001,$B$2,Pagos!$D$2:$D$3001,$D$2))</f>
        <v/>
      </c>
      <c r="D254" s="16" t="str">
        <f aca="false">IF(A254="","",MAX(0,B254-C254))</f>
        <v/>
      </c>
      <c r="E254" s="15" t="str">
        <f aca="false">IF(A254="","",IF(D254=0,"PAGÓ","DEBE"))</f>
        <v/>
      </c>
    </row>
    <row r="255" customFormat="false" ht="15" hidden="false" customHeight="false" outlineLevel="0" collapsed="false">
      <c r="A255" s="15" t="str">
        <f aca="false">IF(OR(Alumnos!A252="",Alumnos!E252="No"),"",Alumnos!A252)</f>
        <v/>
      </c>
      <c r="B255" s="16" t="str">
        <f aca="false">IF(A255="","",Alumnos!D252)</f>
        <v/>
      </c>
      <c r="C255" s="16" t="str">
        <f aca="false">IF(A255="","",SUMIFS(Pagos!$E$2:$E$3001,Pagos!$B$2:$B$3001,A255,Pagos!$C$2:$C$3001,$B$2,Pagos!$D$2:$D$3001,$D$2))</f>
        <v/>
      </c>
      <c r="D255" s="16" t="str">
        <f aca="false">IF(A255="","",MAX(0,B255-C255))</f>
        <v/>
      </c>
      <c r="E255" s="15" t="str">
        <f aca="false">IF(A255="","",IF(D255=0,"PAGÓ","DEBE"))</f>
        <v/>
      </c>
    </row>
    <row r="256" customFormat="false" ht="15" hidden="false" customHeight="false" outlineLevel="0" collapsed="false">
      <c r="A256" s="15" t="str">
        <f aca="false">IF(OR(Alumnos!A253="",Alumnos!E253="No"),"",Alumnos!A253)</f>
        <v/>
      </c>
      <c r="B256" s="16" t="str">
        <f aca="false">IF(A256="","",Alumnos!D253)</f>
        <v/>
      </c>
      <c r="C256" s="16" t="str">
        <f aca="false">IF(A256="","",SUMIFS(Pagos!$E$2:$E$3001,Pagos!$B$2:$B$3001,A256,Pagos!$C$2:$C$3001,$B$2,Pagos!$D$2:$D$3001,$D$2))</f>
        <v/>
      </c>
      <c r="D256" s="16" t="str">
        <f aca="false">IF(A256="","",MAX(0,B256-C256))</f>
        <v/>
      </c>
      <c r="E256" s="15" t="str">
        <f aca="false">IF(A256="","",IF(D256=0,"PAGÓ","DEBE"))</f>
        <v/>
      </c>
    </row>
    <row r="257" customFormat="false" ht="15" hidden="false" customHeight="false" outlineLevel="0" collapsed="false">
      <c r="A257" s="15" t="str">
        <f aca="false">IF(OR(Alumnos!A254="",Alumnos!E254="No"),"",Alumnos!A254)</f>
        <v/>
      </c>
      <c r="B257" s="16" t="str">
        <f aca="false">IF(A257="","",Alumnos!D254)</f>
        <v/>
      </c>
      <c r="C257" s="16" t="str">
        <f aca="false">IF(A257="","",SUMIFS(Pagos!$E$2:$E$3001,Pagos!$B$2:$B$3001,A257,Pagos!$C$2:$C$3001,$B$2,Pagos!$D$2:$D$3001,$D$2))</f>
        <v/>
      </c>
      <c r="D257" s="16" t="str">
        <f aca="false">IF(A257="","",MAX(0,B257-C257))</f>
        <v/>
      </c>
      <c r="E257" s="15" t="str">
        <f aca="false">IF(A257="","",IF(D257=0,"PAGÓ","DEBE"))</f>
        <v/>
      </c>
    </row>
    <row r="258" customFormat="false" ht="15" hidden="false" customHeight="false" outlineLevel="0" collapsed="false">
      <c r="A258" s="15" t="str">
        <f aca="false">IF(OR(Alumnos!A255="",Alumnos!E255="No"),"",Alumnos!A255)</f>
        <v/>
      </c>
      <c r="B258" s="16" t="str">
        <f aca="false">IF(A258="","",Alumnos!D255)</f>
        <v/>
      </c>
      <c r="C258" s="16" t="str">
        <f aca="false">IF(A258="","",SUMIFS(Pagos!$E$2:$E$3001,Pagos!$B$2:$B$3001,A258,Pagos!$C$2:$C$3001,$B$2,Pagos!$D$2:$D$3001,$D$2))</f>
        <v/>
      </c>
      <c r="D258" s="16" t="str">
        <f aca="false">IF(A258="","",MAX(0,B258-C258))</f>
        <v/>
      </c>
      <c r="E258" s="15" t="str">
        <f aca="false">IF(A258="","",IF(D258=0,"PAGÓ","DEBE"))</f>
        <v/>
      </c>
    </row>
    <row r="259" customFormat="false" ht="15" hidden="false" customHeight="false" outlineLevel="0" collapsed="false">
      <c r="A259" s="15" t="str">
        <f aca="false">IF(OR(Alumnos!A256="",Alumnos!E256="No"),"",Alumnos!A256)</f>
        <v/>
      </c>
      <c r="B259" s="16" t="str">
        <f aca="false">IF(A259="","",Alumnos!D256)</f>
        <v/>
      </c>
      <c r="C259" s="16" t="str">
        <f aca="false">IF(A259="","",SUMIFS(Pagos!$E$2:$E$3001,Pagos!$B$2:$B$3001,A259,Pagos!$C$2:$C$3001,$B$2,Pagos!$D$2:$D$3001,$D$2))</f>
        <v/>
      </c>
      <c r="D259" s="16" t="str">
        <f aca="false">IF(A259="","",MAX(0,B259-C259))</f>
        <v/>
      </c>
      <c r="E259" s="15" t="str">
        <f aca="false">IF(A259="","",IF(D259=0,"PAGÓ","DEBE"))</f>
        <v/>
      </c>
    </row>
    <row r="260" customFormat="false" ht="15" hidden="false" customHeight="false" outlineLevel="0" collapsed="false">
      <c r="A260" s="15" t="str">
        <f aca="false">IF(OR(Alumnos!A257="",Alumnos!E257="No"),"",Alumnos!A257)</f>
        <v/>
      </c>
      <c r="B260" s="16" t="str">
        <f aca="false">IF(A260="","",Alumnos!D257)</f>
        <v/>
      </c>
      <c r="C260" s="16" t="str">
        <f aca="false">IF(A260="","",SUMIFS(Pagos!$E$2:$E$3001,Pagos!$B$2:$B$3001,A260,Pagos!$C$2:$C$3001,$B$2,Pagos!$D$2:$D$3001,$D$2))</f>
        <v/>
      </c>
      <c r="D260" s="16" t="str">
        <f aca="false">IF(A260="","",MAX(0,B260-C260))</f>
        <v/>
      </c>
      <c r="E260" s="15" t="str">
        <f aca="false">IF(A260="","",IF(D260=0,"PAGÓ","DEBE"))</f>
        <v/>
      </c>
    </row>
    <row r="261" customFormat="false" ht="15" hidden="false" customHeight="false" outlineLevel="0" collapsed="false">
      <c r="A261" s="15" t="str">
        <f aca="false">IF(OR(Alumnos!A258="",Alumnos!E258="No"),"",Alumnos!A258)</f>
        <v/>
      </c>
      <c r="B261" s="16" t="str">
        <f aca="false">IF(A261="","",Alumnos!D258)</f>
        <v/>
      </c>
      <c r="C261" s="16" t="str">
        <f aca="false">IF(A261="","",SUMIFS(Pagos!$E$2:$E$3001,Pagos!$B$2:$B$3001,A261,Pagos!$C$2:$C$3001,$B$2,Pagos!$D$2:$D$3001,$D$2))</f>
        <v/>
      </c>
      <c r="D261" s="16" t="str">
        <f aca="false">IF(A261="","",MAX(0,B261-C261))</f>
        <v/>
      </c>
      <c r="E261" s="15" t="str">
        <f aca="false">IF(A261="","",IF(D261=0,"PAGÓ","DEBE"))</f>
        <v/>
      </c>
    </row>
    <row r="262" customFormat="false" ht="15" hidden="false" customHeight="false" outlineLevel="0" collapsed="false">
      <c r="A262" s="15" t="str">
        <f aca="false">IF(OR(Alumnos!A259="",Alumnos!E259="No"),"",Alumnos!A259)</f>
        <v/>
      </c>
      <c r="B262" s="16" t="str">
        <f aca="false">IF(A262="","",Alumnos!D259)</f>
        <v/>
      </c>
      <c r="C262" s="16" t="str">
        <f aca="false">IF(A262="","",SUMIFS(Pagos!$E$2:$E$3001,Pagos!$B$2:$B$3001,A262,Pagos!$C$2:$C$3001,$B$2,Pagos!$D$2:$D$3001,$D$2))</f>
        <v/>
      </c>
      <c r="D262" s="16" t="str">
        <f aca="false">IF(A262="","",MAX(0,B262-C262))</f>
        <v/>
      </c>
      <c r="E262" s="15" t="str">
        <f aca="false">IF(A262="","",IF(D262=0,"PAGÓ","DEBE"))</f>
        <v/>
      </c>
    </row>
    <row r="263" customFormat="false" ht="15" hidden="false" customHeight="false" outlineLevel="0" collapsed="false">
      <c r="A263" s="15" t="str">
        <f aca="false">IF(OR(Alumnos!A260="",Alumnos!E260="No"),"",Alumnos!A260)</f>
        <v/>
      </c>
      <c r="B263" s="16" t="str">
        <f aca="false">IF(A263="","",Alumnos!D260)</f>
        <v/>
      </c>
      <c r="C263" s="16" t="str">
        <f aca="false">IF(A263="","",SUMIFS(Pagos!$E$2:$E$3001,Pagos!$B$2:$B$3001,A263,Pagos!$C$2:$C$3001,$B$2,Pagos!$D$2:$D$3001,$D$2))</f>
        <v/>
      </c>
      <c r="D263" s="16" t="str">
        <f aca="false">IF(A263="","",MAX(0,B263-C263))</f>
        <v/>
      </c>
      <c r="E263" s="15" t="str">
        <f aca="false">IF(A263="","",IF(D263=0,"PAGÓ","DEBE"))</f>
        <v/>
      </c>
    </row>
    <row r="264" customFormat="false" ht="15" hidden="false" customHeight="false" outlineLevel="0" collapsed="false">
      <c r="A264" s="15" t="str">
        <f aca="false">IF(OR(Alumnos!A261="",Alumnos!E261="No"),"",Alumnos!A261)</f>
        <v/>
      </c>
      <c r="B264" s="16" t="str">
        <f aca="false">IF(A264="","",Alumnos!D261)</f>
        <v/>
      </c>
      <c r="C264" s="16" t="str">
        <f aca="false">IF(A264="","",SUMIFS(Pagos!$E$2:$E$3001,Pagos!$B$2:$B$3001,A264,Pagos!$C$2:$C$3001,$B$2,Pagos!$D$2:$D$3001,$D$2))</f>
        <v/>
      </c>
      <c r="D264" s="16" t="str">
        <f aca="false">IF(A264="","",MAX(0,B264-C264))</f>
        <v/>
      </c>
      <c r="E264" s="15" t="str">
        <f aca="false">IF(A264="","",IF(D264=0,"PAGÓ","DEBE"))</f>
        <v/>
      </c>
    </row>
    <row r="265" customFormat="false" ht="15" hidden="false" customHeight="false" outlineLevel="0" collapsed="false">
      <c r="A265" s="15" t="str">
        <f aca="false">IF(OR(Alumnos!A262="",Alumnos!E262="No"),"",Alumnos!A262)</f>
        <v/>
      </c>
      <c r="B265" s="16" t="str">
        <f aca="false">IF(A265="","",Alumnos!D262)</f>
        <v/>
      </c>
      <c r="C265" s="16" t="str">
        <f aca="false">IF(A265="","",SUMIFS(Pagos!$E$2:$E$3001,Pagos!$B$2:$B$3001,A265,Pagos!$C$2:$C$3001,$B$2,Pagos!$D$2:$D$3001,$D$2))</f>
        <v/>
      </c>
      <c r="D265" s="16" t="str">
        <f aca="false">IF(A265="","",MAX(0,B265-C265))</f>
        <v/>
      </c>
      <c r="E265" s="15" t="str">
        <f aca="false">IF(A265="","",IF(D265=0,"PAGÓ","DEBE"))</f>
        <v/>
      </c>
    </row>
    <row r="266" customFormat="false" ht="15" hidden="false" customHeight="false" outlineLevel="0" collapsed="false">
      <c r="A266" s="15" t="str">
        <f aca="false">IF(OR(Alumnos!A263="",Alumnos!E263="No"),"",Alumnos!A263)</f>
        <v/>
      </c>
      <c r="B266" s="16" t="str">
        <f aca="false">IF(A266="","",Alumnos!D263)</f>
        <v/>
      </c>
      <c r="C266" s="16" t="str">
        <f aca="false">IF(A266="","",SUMIFS(Pagos!$E$2:$E$3001,Pagos!$B$2:$B$3001,A266,Pagos!$C$2:$C$3001,$B$2,Pagos!$D$2:$D$3001,$D$2))</f>
        <v/>
      </c>
      <c r="D266" s="16" t="str">
        <f aca="false">IF(A266="","",MAX(0,B266-C266))</f>
        <v/>
      </c>
      <c r="E266" s="15" t="str">
        <f aca="false">IF(A266="","",IF(D266=0,"PAGÓ","DEBE"))</f>
        <v/>
      </c>
    </row>
    <row r="267" customFormat="false" ht="15" hidden="false" customHeight="false" outlineLevel="0" collapsed="false">
      <c r="A267" s="15" t="str">
        <f aca="false">IF(OR(Alumnos!A264="",Alumnos!E264="No"),"",Alumnos!A264)</f>
        <v/>
      </c>
      <c r="B267" s="16" t="str">
        <f aca="false">IF(A267="","",Alumnos!D264)</f>
        <v/>
      </c>
      <c r="C267" s="16" t="str">
        <f aca="false">IF(A267="","",SUMIFS(Pagos!$E$2:$E$3001,Pagos!$B$2:$B$3001,A267,Pagos!$C$2:$C$3001,$B$2,Pagos!$D$2:$D$3001,$D$2))</f>
        <v/>
      </c>
      <c r="D267" s="16" t="str">
        <f aca="false">IF(A267="","",MAX(0,B267-C267))</f>
        <v/>
      </c>
      <c r="E267" s="15" t="str">
        <f aca="false">IF(A267="","",IF(D267=0,"PAGÓ","DEBE"))</f>
        <v/>
      </c>
    </row>
    <row r="268" customFormat="false" ht="15" hidden="false" customHeight="false" outlineLevel="0" collapsed="false">
      <c r="A268" s="15" t="str">
        <f aca="false">IF(OR(Alumnos!A265="",Alumnos!E265="No"),"",Alumnos!A265)</f>
        <v/>
      </c>
      <c r="B268" s="16" t="str">
        <f aca="false">IF(A268="","",Alumnos!D265)</f>
        <v/>
      </c>
      <c r="C268" s="16" t="str">
        <f aca="false">IF(A268="","",SUMIFS(Pagos!$E$2:$E$3001,Pagos!$B$2:$B$3001,A268,Pagos!$C$2:$C$3001,$B$2,Pagos!$D$2:$D$3001,$D$2))</f>
        <v/>
      </c>
      <c r="D268" s="16" t="str">
        <f aca="false">IF(A268="","",MAX(0,B268-C268))</f>
        <v/>
      </c>
      <c r="E268" s="15" t="str">
        <f aca="false">IF(A268="","",IF(D268=0,"PAGÓ","DEBE"))</f>
        <v/>
      </c>
    </row>
    <row r="269" customFormat="false" ht="15" hidden="false" customHeight="false" outlineLevel="0" collapsed="false">
      <c r="A269" s="15" t="str">
        <f aca="false">IF(OR(Alumnos!A266="",Alumnos!E266="No"),"",Alumnos!A266)</f>
        <v/>
      </c>
      <c r="B269" s="16" t="str">
        <f aca="false">IF(A269="","",Alumnos!D266)</f>
        <v/>
      </c>
      <c r="C269" s="16" t="str">
        <f aca="false">IF(A269="","",SUMIFS(Pagos!$E$2:$E$3001,Pagos!$B$2:$B$3001,A269,Pagos!$C$2:$C$3001,$B$2,Pagos!$D$2:$D$3001,$D$2))</f>
        <v/>
      </c>
      <c r="D269" s="16" t="str">
        <f aca="false">IF(A269="","",MAX(0,B269-C269))</f>
        <v/>
      </c>
      <c r="E269" s="15" t="str">
        <f aca="false">IF(A269="","",IF(D269=0,"PAGÓ","DEBE"))</f>
        <v/>
      </c>
    </row>
    <row r="270" customFormat="false" ht="15" hidden="false" customHeight="false" outlineLevel="0" collapsed="false">
      <c r="A270" s="15" t="str">
        <f aca="false">IF(OR(Alumnos!A267="",Alumnos!E267="No"),"",Alumnos!A267)</f>
        <v/>
      </c>
      <c r="B270" s="16" t="str">
        <f aca="false">IF(A270="","",Alumnos!D267)</f>
        <v/>
      </c>
      <c r="C270" s="16" t="str">
        <f aca="false">IF(A270="","",SUMIFS(Pagos!$E$2:$E$3001,Pagos!$B$2:$B$3001,A270,Pagos!$C$2:$C$3001,$B$2,Pagos!$D$2:$D$3001,$D$2))</f>
        <v/>
      </c>
      <c r="D270" s="16" t="str">
        <f aca="false">IF(A270="","",MAX(0,B270-C270))</f>
        <v/>
      </c>
      <c r="E270" s="15" t="str">
        <f aca="false">IF(A270="","",IF(D270=0,"PAGÓ","DEBE"))</f>
        <v/>
      </c>
    </row>
    <row r="271" customFormat="false" ht="15" hidden="false" customHeight="false" outlineLevel="0" collapsed="false">
      <c r="A271" s="15" t="str">
        <f aca="false">IF(OR(Alumnos!A268="",Alumnos!E268="No"),"",Alumnos!A268)</f>
        <v/>
      </c>
      <c r="B271" s="16" t="str">
        <f aca="false">IF(A271="","",Alumnos!D268)</f>
        <v/>
      </c>
      <c r="C271" s="16" t="str">
        <f aca="false">IF(A271="","",SUMIFS(Pagos!$E$2:$E$3001,Pagos!$B$2:$B$3001,A271,Pagos!$C$2:$C$3001,$B$2,Pagos!$D$2:$D$3001,$D$2))</f>
        <v/>
      </c>
      <c r="D271" s="16" t="str">
        <f aca="false">IF(A271="","",MAX(0,B271-C271))</f>
        <v/>
      </c>
      <c r="E271" s="15" t="str">
        <f aca="false">IF(A271="","",IF(D271=0,"PAGÓ","DEBE"))</f>
        <v/>
      </c>
    </row>
    <row r="272" customFormat="false" ht="15" hidden="false" customHeight="false" outlineLevel="0" collapsed="false">
      <c r="A272" s="15" t="str">
        <f aca="false">IF(OR(Alumnos!A269="",Alumnos!E269="No"),"",Alumnos!A269)</f>
        <v/>
      </c>
      <c r="B272" s="16" t="str">
        <f aca="false">IF(A272="","",Alumnos!D269)</f>
        <v/>
      </c>
      <c r="C272" s="16" t="str">
        <f aca="false">IF(A272="","",SUMIFS(Pagos!$E$2:$E$3001,Pagos!$B$2:$B$3001,A272,Pagos!$C$2:$C$3001,$B$2,Pagos!$D$2:$D$3001,$D$2))</f>
        <v/>
      </c>
      <c r="D272" s="16" t="str">
        <f aca="false">IF(A272="","",MAX(0,B272-C272))</f>
        <v/>
      </c>
      <c r="E272" s="15" t="str">
        <f aca="false">IF(A272="","",IF(D272=0,"PAGÓ","DEBE"))</f>
        <v/>
      </c>
    </row>
    <row r="273" customFormat="false" ht="15" hidden="false" customHeight="false" outlineLevel="0" collapsed="false">
      <c r="A273" s="15" t="str">
        <f aca="false">IF(OR(Alumnos!A270="",Alumnos!E270="No"),"",Alumnos!A270)</f>
        <v/>
      </c>
      <c r="B273" s="16" t="str">
        <f aca="false">IF(A273="","",Alumnos!D270)</f>
        <v/>
      </c>
      <c r="C273" s="16" t="str">
        <f aca="false">IF(A273="","",SUMIFS(Pagos!$E$2:$E$3001,Pagos!$B$2:$B$3001,A273,Pagos!$C$2:$C$3001,$B$2,Pagos!$D$2:$D$3001,$D$2))</f>
        <v/>
      </c>
      <c r="D273" s="16" t="str">
        <f aca="false">IF(A273="","",MAX(0,B273-C273))</f>
        <v/>
      </c>
      <c r="E273" s="15" t="str">
        <f aca="false">IF(A273="","",IF(D273=0,"PAGÓ","DEBE"))</f>
        <v/>
      </c>
    </row>
    <row r="274" customFormat="false" ht="15" hidden="false" customHeight="false" outlineLevel="0" collapsed="false">
      <c r="A274" s="15" t="str">
        <f aca="false">IF(OR(Alumnos!A271="",Alumnos!E271="No"),"",Alumnos!A271)</f>
        <v/>
      </c>
      <c r="B274" s="16" t="str">
        <f aca="false">IF(A274="","",Alumnos!D271)</f>
        <v/>
      </c>
      <c r="C274" s="16" t="str">
        <f aca="false">IF(A274="","",SUMIFS(Pagos!$E$2:$E$3001,Pagos!$B$2:$B$3001,A274,Pagos!$C$2:$C$3001,$B$2,Pagos!$D$2:$D$3001,$D$2))</f>
        <v/>
      </c>
      <c r="D274" s="16" t="str">
        <f aca="false">IF(A274="","",MAX(0,B274-C274))</f>
        <v/>
      </c>
      <c r="E274" s="15" t="str">
        <f aca="false">IF(A274="","",IF(D274=0,"PAGÓ","DEBE"))</f>
        <v/>
      </c>
    </row>
    <row r="275" customFormat="false" ht="15" hidden="false" customHeight="false" outlineLevel="0" collapsed="false">
      <c r="A275" s="15" t="str">
        <f aca="false">IF(OR(Alumnos!A272="",Alumnos!E272="No"),"",Alumnos!A272)</f>
        <v/>
      </c>
      <c r="B275" s="16" t="str">
        <f aca="false">IF(A275="","",Alumnos!D272)</f>
        <v/>
      </c>
      <c r="C275" s="16" t="str">
        <f aca="false">IF(A275="","",SUMIFS(Pagos!$E$2:$E$3001,Pagos!$B$2:$B$3001,A275,Pagos!$C$2:$C$3001,$B$2,Pagos!$D$2:$D$3001,$D$2))</f>
        <v/>
      </c>
      <c r="D275" s="16" t="str">
        <f aca="false">IF(A275="","",MAX(0,B275-C275))</f>
        <v/>
      </c>
      <c r="E275" s="15" t="str">
        <f aca="false">IF(A275="","",IF(D275=0,"PAGÓ","DEBE"))</f>
        <v/>
      </c>
    </row>
    <row r="276" customFormat="false" ht="15" hidden="false" customHeight="false" outlineLevel="0" collapsed="false">
      <c r="A276" s="15" t="str">
        <f aca="false">IF(OR(Alumnos!A273="",Alumnos!E273="No"),"",Alumnos!A273)</f>
        <v/>
      </c>
      <c r="B276" s="16" t="str">
        <f aca="false">IF(A276="","",Alumnos!D273)</f>
        <v/>
      </c>
      <c r="C276" s="16" t="str">
        <f aca="false">IF(A276="","",SUMIFS(Pagos!$E$2:$E$3001,Pagos!$B$2:$B$3001,A276,Pagos!$C$2:$C$3001,$B$2,Pagos!$D$2:$D$3001,$D$2))</f>
        <v/>
      </c>
      <c r="D276" s="16" t="str">
        <f aca="false">IF(A276="","",MAX(0,B276-C276))</f>
        <v/>
      </c>
      <c r="E276" s="15" t="str">
        <f aca="false">IF(A276="","",IF(D276=0,"PAGÓ","DEBE"))</f>
        <v/>
      </c>
    </row>
    <row r="277" customFormat="false" ht="15" hidden="false" customHeight="false" outlineLevel="0" collapsed="false">
      <c r="A277" s="15" t="str">
        <f aca="false">IF(OR(Alumnos!A274="",Alumnos!E274="No"),"",Alumnos!A274)</f>
        <v/>
      </c>
      <c r="B277" s="16" t="str">
        <f aca="false">IF(A277="","",Alumnos!D274)</f>
        <v/>
      </c>
      <c r="C277" s="16" t="str">
        <f aca="false">IF(A277="","",SUMIFS(Pagos!$E$2:$E$3001,Pagos!$B$2:$B$3001,A277,Pagos!$C$2:$C$3001,$B$2,Pagos!$D$2:$D$3001,$D$2))</f>
        <v/>
      </c>
      <c r="D277" s="16" t="str">
        <f aca="false">IF(A277="","",MAX(0,B277-C277))</f>
        <v/>
      </c>
      <c r="E277" s="15" t="str">
        <f aca="false">IF(A277="","",IF(D277=0,"PAGÓ","DEBE"))</f>
        <v/>
      </c>
    </row>
    <row r="278" customFormat="false" ht="15" hidden="false" customHeight="false" outlineLevel="0" collapsed="false">
      <c r="A278" s="15" t="str">
        <f aca="false">IF(OR(Alumnos!A275="",Alumnos!E275="No"),"",Alumnos!A275)</f>
        <v/>
      </c>
      <c r="B278" s="16" t="str">
        <f aca="false">IF(A278="","",Alumnos!D275)</f>
        <v/>
      </c>
      <c r="C278" s="16" t="str">
        <f aca="false">IF(A278="","",SUMIFS(Pagos!$E$2:$E$3001,Pagos!$B$2:$B$3001,A278,Pagos!$C$2:$C$3001,$B$2,Pagos!$D$2:$D$3001,$D$2))</f>
        <v/>
      </c>
      <c r="D278" s="16" t="str">
        <f aca="false">IF(A278="","",MAX(0,B278-C278))</f>
        <v/>
      </c>
      <c r="E278" s="15" t="str">
        <f aca="false">IF(A278="","",IF(D278=0,"PAGÓ","DEBE"))</f>
        <v/>
      </c>
    </row>
    <row r="279" customFormat="false" ht="15" hidden="false" customHeight="false" outlineLevel="0" collapsed="false">
      <c r="A279" s="15" t="str">
        <f aca="false">IF(OR(Alumnos!A276="",Alumnos!E276="No"),"",Alumnos!A276)</f>
        <v/>
      </c>
      <c r="B279" s="16" t="str">
        <f aca="false">IF(A279="","",Alumnos!D276)</f>
        <v/>
      </c>
      <c r="C279" s="16" t="str">
        <f aca="false">IF(A279="","",SUMIFS(Pagos!$E$2:$E$3001,Pagos!$B$2:$B$3001,A279,Pagos!$C$2:$C$3001,$B$2,Pagos!$D$2:$D$3001,$D$2))</f>
        <v/>
      </c>
      <c r="D279" s="16" t="str">
        <f aca="false">IF(A279="","",MAX(0,B279-C279))</f>
        <v/>
      </c>
      <c r="E279" s="15" t="str">
        <f aca="false">IF(A279="","",IF(D279=0,"PAGÓ","DEBE"))</f>
        <v/>
      </c>
    </row>
    <row r="280" customFormat="false" ht="15" hidden="false" customHeight="false" outlineLevel="0" collapsed="false">
      <c r="A280" s="15" t="str">
        <f aca="false">IF(OR(Alumnos!A277="",Alumnos!E277="No"),"",Alumnos!A277)</f>
        <v/>
      </c>
      <c r="B280" s="16" t="str">
        <f aca="false">IF(A280="","",Alumnos!D277)</f>
        <v/>
      </c>
      <c r="C280" s="16" t="str">
        <f aca="false">IF(A280="","",SUMIFS(Pagos!$E$2:$E$3001,Pagos!$B$2:$B$3001,A280,Pagos!$C$2:$C$3001,$B$2,Pagos!$D$2:$D$3001,$D$2))</f>
        <v/>
      </c>
      <c r="D280" s="16" t="str">
        <f aca="false">IF(A280="","",MAX(0,B280-C280))</f>
        <v/>
      </c>
      <c r="E280" s="15" t="str">
        <f aca="false">IF(A280="","",IF(D280=0,"PAGÓ","DEBE"))</f>
        <v/>
      </c>
    </row>
    <row r="281" customFormat="false" ht="15" hidden="false" customHeight="false" outlineLevel="0" collapsed="false">
      <c r="A281" s="15" t="str">
        <f aca="false">IF(OR(Alumnos!A278="",Alumnos!E278="No"),"",Alumnos!A278)</f>
        <v/>
      </c>
      <c r="B281" s="16" t="str">
        <f aca="false">IF(A281="","",Alumnos!D278)</f>
        <v/>
      </c>
      <c r="C281" s="16" t="str">
        <f aca="false">IF(A281="","",SUMIFS(Pagos!$E$2:$E$3001,Pagos!$B$2:$B$3001,A281,Pagos!$C$2:$C$3001,$B$2,Pagos!$D$2:$D$3001,$D$2))</f>
        <v/>
      </c>
      <c r="D281" s="16" t="str">
        <f aca="false">IF(A281="","",MAX(0,B281-C281))</f>
        <v/>
      </c>
      <c r="E281" s="15" t="str">
        <f aca="false">IF(A281="","",IF(D281=0,"PAGÓ","DEBE"))</f>
        <v/>
      </c>
    </row>
    <row r="282" customFormat="false" ht="15" hidden="false" customHeight="false" outlineLevel="0" collapsed="false">
      <c r="A282" s="15" t="str">
        <f aca="false">IF(OR(Alumnos!A279="",Alumnos!E279="No"),"",Alumnos!A279)</f>
        <v/>
      </c>
      <c r="B282" s="16" t="str">
        <f aca="false">IF(A282="","",Alumnos!D279)</f>
        <v/>
      </c>
      <c r="C282" s="16" t="str">
        <f aca="false">IF(A282="","",SUMIFS(Pagos!$E$2:$E$3001,Pagos!$B$2:$B$3001,A282,Pagos!$C$2:$C$3001,$B$2,Pagos!$D$2:$D$3001,$D$2))</f>
        <v/>
      </c>
      <c r="D282" s="16" t="str">
        <f aca="false">IF(A282="","",MAX(0,B282-C282))</f>
        <v/>
      </c>
      <c r="E282" s="15" t="str">
        <f aca="false">IF(A282="","",IF(D282=0,"PAGÓ","DEBE"))</f>
        <v/>
      </c>
    </row>
    <row r="283" customFormat="false" ht="15" hidden="false" customHeight="false" outlineLevel="0" collapsed="false">
      <c r="A283" s="15" t="str">
        <f aca="false">IF(OR(Alumnos!A280="",Alumnos!E280="No"),"",Alumnos!A280)</f>
        <v/>
      </c>
      <c r="B283" s="16" t="str">
        <f aca="false">IF(A283="","",Alumnos!D280)</f>
        <v/>
      </c>
      <c r="C283" s="16" t="str">
        <f aca="false">IF(A283="","",SUMIFS(Pagos!$E$2:$E$3001,Pagos!$B$2:$B$3001,A283,Pagos!$C$2:$C$3001,$B$2,Pagos!$D$2:$D$3001,$D$2))</f>
        <v/>
      </c>
      <c r="D283" s="16" t="str">
        <f aca="false">IF(A283="","",MAX(0,B283-C283))</f>
        <v/>
      </c>
      <c r="E283" s="15" t="str">
        <f aca="false">IF(A283="","",IF(D283=0,"PAGÓ","DEBE"))</f>
        <v/>
      </c>
    </row>
    <row r="284" customFormat="false" ht="15" hidden="false" customHeight="false" outlineLevel="0" collapsed="false">
      <c r="A284" s="15" t="str">
        <f aca="false">IF(OR(Alumnos!A281="",Alumnos!E281="No"),"",Alumnos!A281)</f>
        <v/>
      </c>
      <c r="B284" s="16" t="str">
        <f aca="false">IF(A284="","",Alumnos!D281)</f>
        <v/>
      </c>
      <c r="C284" s="16" t="str">
        <f aca="false">IF(A284="","",SUMIFS(Pagos!$E$2:$E$3001,Pagos!$B$2:$B$3001,A284,Pagos!$C$2:$C$3001,$B$2,Pagos!$D$2:$D$3001,$D$2))</f>
        <v/>
      </c>
      <c r="D284" s="16" t="str">
        <f aca="false">IF(A284="","",MAX(0,B284-C284))</f>
        <v/>
      </c>
      <c r="E284" s="15" t="str">
        <f aca="false">IF(A284="","",IF(D284=0,"PAGÓ","DEBE"))</f>
        <v/>
      </c>
    </row>
    <row r="285" customFormat="false" ht="15" hidden="false" customHeight="false" outlineLevel="0" collapsed="false">
      <c r="A285" s="15" t="str">
        <f aca="false">IF(OR(Alumnos!A282="",Alumnos!E282="No"),"",Alumnos!A282)</f>
        <v/>
      </c>
      <c r="B285" s="16" t="str">
        <f aca="false">IF(A285="","",Alumnos!D282)</f>
        <v/>
      </c>
      <c r="C285" s="16" t="str">
        <f aca="false">IF(A285="","",SUMIFS(Pagos!$E$2:$E$3001,Pagos!$B$2:$B$3001,A285,Pagos!$C$2:$C$3001,$B$2,Pagos!$D$2:$D$3001,$D$2))</f>
        <v/>
      </c>
      <c r="D285" s="16" t="str">
        <f aca="false">IF(A285="","",MAX(0,B285-C285))</f>
        <v/>
      </c>
      <c r="E285" s="15" t="str">
        <f aca="false">IF(A285="","",IF(D285=0,"PAGÓ","DEBE"))</f>
        <v/>
      </c>
    </row>
    <row r="286" customFormat="false" ht="15" hidden="false" customHeight="false" outlineLevel="0" collapsed="false">
      <c r="A286" s="15" t="str">
        <f aca="false">IF(OR(Alumnos!A283="",Alumnos!E283="No"),"",Alumnos!A283)</f>
        <v/>
      </c>
      <c r="B286" s="16" t="str">
        <f aca="false">IF(A286="","",Alumnos!D283)</f>
        <v/>
      </c>
      <c r="C286" s="16" t="str">
        <f aca="false">IF(A286="","",SUMIFS(Pagos!$E$2:$E$3001,Pagos!$B$2:$B$3001,A286,Pagos!$C$2:$C$3001,$B$2,Pagos!$D$2:$D$3001,$D$2))</f>
        <v/>
      </c>
      <c r="D286" s="16" t="str">
        <f aca="false">IF(A286="","",MAX(0,B286-C286))</f>
        <v/>
      </c>
      <c r="E286" s="15" t="str">
        <f aca="false">IF(A286="","",IF(D286=0,"PAGÓ","DEBE"))</f>
        <v/>
      </c>
    </row>
    <row r="287" customFormat="false" ht="15" hidden="false" customHeight="false" outlineLevel="0" collapsed="false">
      <c r="A287" s="15" t="str">
        <f aca="false">IF(OR(Alumnos!A284="",Alumnos!E284="No"),"",Alumnos!A284)</f>
        <v/>
      </c>
      <c r="B287" s="16" t="str">
        <f aca="false">IF(A287="","",Alumnos!D284)</f>
        <v/>
      </c>
      <c r="C287" s="16" t="str">
        <f aca="false">IF(A287="","",SUMIFS(Pagos!$E$2:$E$3001,Pagos!$B$2:$B$3001,A287,Pagos!$C$2:$C$3001,$B$2,Pagos!$D$2:$D$3001,$D$2))</f>
        <v/>
      </c>
      <c r="D287" s="16" t="str">
        <f aca="false">IF(A287="","",MAX(0,B287-C287))</f>
        <v/>
      </c>
      <c r="E287" s="15" t="str">
        <f aca="false">IF(A287="","",IF(D287=0,"PAGÓ","DEBE"))</f>
        <v/>
      </c>
    </row>
    <row r="288" customFormat="false" ht="15" hidden="false" customHeight="false" outlineLevel="0" collapsed="false">
      <c r="A288" s="15" t="str">
        <f aca="false">IF(OR(Alumnos!A285="",Alumnos!E285="No"),"",Alumnos!A285)</f>
        <v/>
      </c>
      <c r="B288" s="16" t="str">
        <f aca="false">IF(A288="","",Alumnos!D285)</f>
        <v/>
      </c>
      <c r="C288" s="16" t="str">
        <f aca="false">IF(A288="","",SUMIFS(Pagos!$E$2:$E$3001,Pagos!$B$2:$B$3001,A288,Pagos!$C$2:$C$3001,$B$2,Pagos!$D$2:$D$3001,$D$2))</f>
        <v/>
      </c>
      <c r="D288" s="16" t="str">
        <f aca="false">IF(A288="","",MAX(0,B288-C288))</f>
        <v/>
      </c>
      <c r="E288" s="15" t="str">
        <f aca="false">IF(A288="","",IF(D288=0,"PAGÓ","DEBE"))</f>
        <v/>
      </c>
    </row>
    <row r="289" customFormat="false" ht="15" hidden="false" customHeight="false" outlineLevel="0" collapsed="false">
      <c r="A289" s="15" t="str">
        <f aca="false">IF(OR(Alumnos!A286="",Alumnos!E286="No"),"",Alumnos!A286)</f>
        <v/>
      </c>
      <c r="B289" s="16" t="str">
        <f aca="false">IF(A289="","",Alumnos!D286)</f>
        <v/>
      </c>
      <c r="C289" s="16" t="str">
        <f aca="false">IF(A289="","",SUMIFS(Pagos!$E$2:$E$3001,Pagos!$B$2:$B$3001,A289,Pagos!$C$2:$C$3001,$B$2,Pagos!$D$2:$D$3001,$D$2))</f>
        <v/>
      </c>
      <c r="D289" s="16" t="str">
        <f aca="false">IF(A289="","",MAX(0,B289-C289))</f>
        <v/>
      </c>
      <c r="E289" s="15" t="str">
        <f aca="false">IF(A289="","",IF(D289=0,"PAGÓ","DEBE"))</f>
        <v/>
      </c>
    </row>
    <row r="290" customFormat="false" ht="15" hidden="false" customHeight="false" outlineLevel="0" collapsed="false">
      <c r="A290" s="15" t="str">
        <f aca="false">IF(OR(Alumnos!A287="",Alumnos!E287="No"),"",Alumnos!A287)</f>
        <v/>
      </c>
      <c r="B290" s="16" t="str">
        <f aca="false">IF(A290="","",Alumnos!D287)</f>
        <v/>
      </c>
      <c r="C290" s="16" t="str">
        <f aca="false">IF(A290="","",SUMIFS(Pagos!$E$2:$E$3001,Pagos!$B$2:$B$3001,A290,Pagos!$C$2:$C$3001,$B$2,Pagos!$D$2:$D$3001,$D$2))</f>
        <v/>
      </c>
      <c r="D290" s="16" t="str">
        <f aca="false">IF(A290="","",MAX(0,B290-C290))</f>
        <v/>
      </c>
      <c r="E290" s="15" t="str">
        <f aca="false">IF(A290="","",IF(D290=0,"PAGÓ","DEBE"))</f>
        <v/>
      </c>
    </row>
    <row r="291" customFormat="false" ht="15" hidden="false" customHeight="false" outlineLevel="0" collapsed="false">
      <c r="A291" s="15" t="str">
        <f aca="false">IF(OR(Alumnos!A288="",Alumnos!E288="No"),"",Alumnos!A288)</f>
        <v/>
      </c>
      <c r="B291" s="16" t="str">
        <f aca="false">IF(A291="","",Alumnos!D288)</f>
        <v/>
      </c>
      <c r="C291" s="16" t="str">
        <f aca="false">IF(A291="","",SUMIFS(Pagos!$E$2:$E$3001,Pagos!$B$2:$B$3001,A291,Pagos!$C$2:$C$3001,$B$2,Pagos!$D$2:$D$3001,$D$2))</f>
        <v/>
      </c>
      <c r="D291" s="16" t="str">
        <f aca="false">IF(A291="","",MAX(0,B291-C291))</f>
        <v/>
      </c>
      <c r="E291" s="15" t="str">
        <f aca="false">IF(A291="","",IF(D291=0,"PAGÓ","DEBE"))</f>
        <v/>
      </c>
    </row>
    <row r="292" customFormat="false" ht="15" hidden="false" customHeight="false" outlineLevel="0" collapsed="false">
      <c r="A292" s="15" t="str">
        <f aca="false">IF(OR(Alumnos!A289="",Alumnos!E289="No"),"",Alumnos!A289)</f>
        <v/>
      </c>
      <c r="B292" s="16" t="str">
        <f aca="false">IF(A292="","",Alumnos!D289)</f>
        <v/>
      </c>
      <c r="C292" s="16" t="str">
        <f aca="false">IF(A292="","",SUMIFS(Pagos!$E$2:$E$3001,Pagos!$B$2:$B$3001,A292,Pagos!$C$2:$C$3001,$B$2,Pagos!$D$2:$D$3001,$D$2))</f>
        <v/>
      </c>
      <c r="D292" s="16" t="str">
        <f aca="false">IF(A292="","",MAX(0,B292-C292))</f>
        <v/>
      </c>
      <c r="E292" s="15" t="str">
        <f aca="false">IF(A292="","",IF(D292=0,"PAGÓ","DEBE"))</f>
        <v/>
      </c>
    </row>
    <row r="293" customFormat="false" ht="15" hidden="false" customHeight="false" outlineLevel="0" collapsed="false">
      <c r="A293" s="15" t="str">
        <f aca="false">IF(OR(Alumnos!A290="",Alumnos!E290="No"),"",Alumnos!A290)</f>
        <v/>
      </c>
      <c r="B293" s="16" t="str">
        <f aca="false">IF(A293="","",Alumnos!D290)</f>
        <v/>
      </c>
      <c r="C293" s="16" t="str">
        <f aca="false">IF(A293="","",SUMIFS(Pagos!$E$2:$E$3001,Pagos!$B$2:$B$3001,A293,Pagos!$C$2:$C$3001,$B$2,Pagos!$D$2:$D$3001,$D$2))</f>
        <v/>
      </c>
      <c r="D293" s="16" t="str">
        <f aca="false">IF(A293="","",MAX(0,B293-C293))</f>
        <v/>
      </c>
      <c r="E293" s="15" t="str">
        <f aca="false">IF(A293="","",IF(D293=0,"PAGÓ","DEBE"))</f>
        <v/>
      </c>
    </row>
    <row r="294" customFormat="false" ht="15" hidden="false" customHeight="false" outlineLevel="0" collapsed="false">
      <c r="A294" s="15" t="str">
        <f aca="false">IF(OR(Alumnos!A291="",Alumnos!E291="No"),"",Alumnos!A291)</f>
        <v/>
      </c>
      <c r="B294" s="16" t="str">
        <f aca="false">IF(A294="","",Alumnos!D291)</f>
        <v/>
      </c>
      <c r="C294" s="16" t="str">
        <f aca="false">IF(A294="","",SUMIFS(Pagos!$E$2:$E$3001,Pagos!$B$2:$B$3001,A294,Pagos!$C$2:$C$3001,$B$2,Pagos!$D$2:$D$3001,$D$2))</f>
        <v/>
      </c>
      <c r="D294" s="16" t="str">
        <f aca="false">IF(A294="","",MAX(0,B294-C294))</f>
        <v/>
      </c>
      <c r="E294" s="15" t="str">
        <f aca="false">IF(A294="","",IF(D294=0,"PAGÓ","DEBE"))</f>
        <v/>
      </c>
    </row>
    <row r="295" customFormat="false" ht="15" hidden="false" customHeight="false" outlineLevel="0" collapsed="false">
      <c r="A295" s="15" t="str">
        <f aca="false">IF(OR(Alumnos!A292="",Alumnos!E292="No"),"",Alumnos!A292)</f>
        <v/>
      </c>
      <c r="B295" s="16" t="str">
        <f aca="false">IF(A295="","",Alumnos!D292)</f>
        <v/>
      </c>
      <c r="C295" s="16" t="str">
        <f aca="false">IF(A295="","",SUMIFS(Pagos!$E$2:$E$3001,Pagos!$B$2:$B$3001,A295,Pagos!$C$2:$C$3001,$B$2,Pagos!$D$2:$D$3001,$D$2))</f>
        <v/>
      </c>
      <c r="D295" s="16" t="str">
        <f aca="false">IF(A295="","",MAX(0,B295-C295))</f>
        <v/>
      </c>
      <c r="E295" s="15" t="str">
        <f aca="false">IF(A295="","",IF(D295=0,"PAGÓ","DEBE"))</f>
        <v/>
      </c>
    </row>
    <row r="296" customFormat="false" ht="15" hidden="false" customHeight="false" outlineLevel="0" collapsed="false">
      <c r="A296" s="15" t="str">
        <f aca="false">IF(OR(Alumnos!A293="",Alumnos!E293="No"),"",Alumnos!A293)</f>
        <v/>
      </c>
      <c r="B296" s="16" t="str">
        <f aca="false">IF(A296="","",Alumnos!D293)</f>
        <v/>
      </c>
      <c r="C296" s="16" t="str">
        <f aca="false">IF(A296="","",SUMIFS(Pagos!$E$2:$E$3001,Pagos!$B$2:$B$3001,A296,Pagos!$C$2:$C$3001,$B$2,Pagos!$D$2:$D$3001,$D$2))</f>
        <v/>
      </c>
      <c r="D296" s="16" t="str">
        <f aca="false">IF(A296="","",MAX(0,B296-C296))</f>
        <v/>
      </c>
      <c r="E296" s="15" t="str">
        <f aca="false">IF(A296="","",IF(D296=0,"PAGÓ","DEBE"))</f>
        <v/>
      </c>
    </row>
    <row r="297" customFormat="false" ht="15" hidden="false" customHeight="false" outlineLevel="0" collapsed="false">
      <c r="A297" s="15" t="str">
        <f aca="false">IF(OR(Alumnos!A294="",Alumnos!E294="No"),"",Alumnos!A294)</f>
        <v/>
      </c>
      <c r="B297" s="16" t="str">
        <f aca="false">IF(A297="","",Alumnos!D294)</f>
        <v/>
      </c>
      <c r="C297" s="16" t="str">
        <f aca="false">IF(A297="","",SUMIFS(Pagos!$E$2:$E$3001,Pagos!$B$2:$B$3001,A297,Pagos!$C$2:$C$3001,$B$2,Pagos!$D$2:$D$3001,$D$2))</f>
        <v/>
      </c>
      <c r="D297" s="16" t="str">
        <f aca="false">IF(A297="","",MAX(0,B297-C297))</f>
        <v/>
      </c>
      <c r="E297" s="15" t="str">
        <f aca="false">IF(A297="","",IF(D297=0,"PAGÓ","DEBE"))</f>
        <v/>
      </c>
    </row>
    <row r="298" customFormat="false" ht="15" hidden="false" customHeight="false" outlineLevel="0" collapsed="false">
      <c r="A298" s="15" t="str">
        <f aca="false">IF(OR(Alumnos!A295="",Alumnos!E295="No"),"",Alumnos!A295)</f>
        <v/>
      </c>
      <c r="B298" s="16" t="str">
        <f aca="false">IF(A298="","",Alumnos!D295)</f>
        <v/>
      </c>
      <c r="C298" s="16" t="str">
        <f aca="false">IF(A298="","",SUMIFS(Pagos!$E$2:$E$3001,Pagos!$B$2:$B$3001,A298,Pagos!$C$2:$C$3001,$B$2,Pagos!$D$2:$D$3001,$D$2))</f>
        <v/>
      </c>
      <c r="D298" s="16" t="str">
        <f aca="false">IF(A298="","",MAX(0,B298-C298))</f>
        <v/>
      </c>
      <c r="E298" s="15" t="str">
        <f aca="false">IF(A298="","",IF(D298=0,"PAGÓ","DEBE"))</f>
        <v/>
      </c>
    </row>
    <row r="299" customFormat="false" ht="15" hidden="false" customHeight="false" outlineLevel="0" collapsed="false">
      <c r="A299" s="15" t="str">
        <f aca="false">IF(OR(Alumnos!A296="",Alumnos!E296="No"),"",Alumnos!A296)</f>
        <v/>
      </c>
      <c r="B299" s="16" t="str">
        <f aca="false">IF(A299="","",Alumnos!D296)</f>
        <v/>
      </c>
      <c r="C299" s="16" t="str">
        <f aca="false">IF(A299="","",SUMIFS(Pagos!$E$2:$E$3001,Pagos!$B$2:$B$3001,A299,Pagos!$C$2:$C$3001,$B$2,Pagos!$D$2:$D$3001,$D$2))</f>
        <v/>
      </c>
      <c r="D299" s="16" t="str">
        <f aca="false">IF(A299="","",MAX(0,B299-C299))</f>
        <v/>
      </c>
      <c r="E299" s="15" t="str">
        <f aca="false">IF(A299="","",IF(D299=0,"PAGÓ","DEBE"))</f>
        <v/>
      </c>
    </row>
    <row r="300" customFormat="false" ht="15" hidden="false" customHeight="false" outlineLevel="0" collapsed="false">
      <c r="A300" s="15" t="str">
        <f aca="false">IF(OR(Alumnos!A297="",Alumnos!E297="No"),"",Alumnos!A297)</f>
        <v/>
      </c>
      <c r="B300" s="16" t="str">
        <f aca="false">IF(A300="","",Alumnos!D297)</f>
        <v/>
      </c>
      <c r="C300" s="16" t="str">
        <f aca="false">IF(A300="","",SUMIFS(Pagos!$E$2:$E$3001,Pagos!$B$2:$B$3001,A300,Pagos!$C$2:$C$3001,$B$2,Pagos!$D$2:$D$3001,$D$2))</f>
        <v/>
      </c>
      <c r="D300" s="16" t="str">
        <f aca="false">IF(A300="","",MAX(0,B300-C300))</f>
        <v/>
      </c>
      <c r="E300" s="15" t="str">
        <f aca="false">IF(A300="","",IF(D300=0,"PAGÓ","DEBE"))</f>
        <v/>
      </c>
    </row>
    <row r="301" customFormat="false" ht="15" hidden="false" customHeight="false" outlineLevel="0" collapsed="false">
      <c r="A301" s="15" t="str">
        <f aca="false">IF(OR(Alumnos!A298="",Alumnos!E298="No"),"",Alumnos!A298)</f>
        <v/>
      </c>
      <c r="B301" s="16" t="str">
        <f aca="false">IF(A301="","",Alumnos!D298)</f>
        <v/>
      </c>
      <c r="C301" s="16" t="str">
        <f aca="false">IF(A301="","",SUMIFS(Pagos!$E$2:$E$3001,Pagos!$B$2:$B$3001,A301,Pagos!$C$2:$C$3001,$B$2,Pagos!$D$2:$D$3001,$D$2))</f>
        <v/>
      </c>
      <c r="D301" s="16" t="str">
        <f aca="false">IF(A301="","",MAX(0,B301-C301))</f>
        <v/>
      </c>
      <c r="E301" s="15" t="str">
        <f aca="false">IF(A301="","",IF(D301=0,"PAGÓ","DEBE"))</f>
        <v/>
      </c>
    </row>
    <row r="302" customFormat="false" ht="15" hidden="false" customHeight="false" outlineLevel="0" collapsed="false">
      <c r="A302" s="15" t="str">
        <f aca="false">IF(OR(Alumnos!A299="",Alumnos!E299="No"),"",Alumnos!A299)</f>
        <v/>
      </c>
      <c r="B302" s="16" t="str">
        <f aca="false">IF(A302="","",Alumnos!D299)</f>
        <v/>
      </c>
      <c r="C302" s="16" t="str">
        <f aca="false">IF(A302="","",SUMIFS(Pagos!$E$2:$E$3001,Pagos!$B$2:$B$3001,A302,Pagos!$C$2:$C$3001,$B$2,Pagos!$D$2:$D$3001,$D$2))</f>
        <v/>
      </c>
      <c r="D302" s="16" t="str">
        <f aca="false">IF(A302="","",MAX(0,B302-C302))</f>
        <v/>
      </c>
      <c r="E302" s="15" t="str">
        <f aca="false">IF(A302="","",IF(D302=0,"PAGÓ","DEBE"))</f>
        <v/>
      </c>
    </row>
    <row r="303" customFormat="false" ht="15" hidden="false" customHeight="false" outlineLevel="0" collapsed="false">
      <c r="A303" s="15" t="str">
        <f aca="false">IF(OR(Alumnos!A300="",Alumnos!E300="No"),"",Alumnos!A300)</f>
        <v/>
      </c>
      <c r="B303" s="16" t="str">
        <f aca="false">IF(A303="","",Alumnos!D300)</f>
        <v/>
      </c>
      <c r="C303" s="16" t="str">
        <f aca="false">IF(A303="","",SUMIFS(Pagos!$E$2:$E$3001,Pagos!$B$2:$B$3001,A303,Pagos!$C$2:$C$3001,$B$2,Pagos!$D$2:$D$3001,$D$2))</f>
        <v/>
      </c>
      <c r="D303" s="16" t="str">
        <f aca="false">IF(A303="","",MAX(0,B303-C303))</f>
        <v/>
      </c>
      <c r="E303" s="15" t="str">
        <f aca="false">IF(A303="","",IF(D303=0,"PAGÓ","DEBE"))</f>
        <v/>
      </c>
    </row>
    <row r="304" customFormat="false" ht="15" hidden="false" customHeight="false" outlineLevel="0" collapsed="false">
      <c r="A304" s="15" t="str">
        <f aca="false">IF(OR(Alumnos!A301="",Alumnos!E301="No"),"",Alumnos!A301)</f>
        <v/>
      </c>
      <c r="B304" s="16" t="str">
        <f aca="false">IF(A304="","",Alumnos!D301)</f>
        <v/>
      </c>
      <c r="C304" s="16" t="str">
        <f aca="false">IF(A304="","",SUMIFS(Pagos!$E$2:$E$3001,Pagos!$B$2:$B$3001,A304,Pagos!$C$2:$C$3001,$B$2,Pagos!$D$2:$D$3001,$D$2))</f>
        <v/>
      </c>
      <c r="D304" s="16" t="str">
        <f aca="false">IF(A304="","",MAX(0,B304-C304))</f>
        <v/>
      </c>
      <c r="E304" s="15" t="str">
        <f aca="false">IF(A304="","",IF(D304=0,"PAGÓ","DEBE"))</f>
        <v/>
      </c>
    </row>
    <row r="307" customFormat="false" ht="15" hidden="false" customHeight="false" outlineLevel="0" collapsed="false">
      <c r="A307" s="19" t="s">
        <v>35</v>
      </c>
    </row>
  </sheetData>
  <conditionalFormatting sqref="E5:E304">
    <cfRule type="cellIs" priority="2" operator="equal" aboveAverage="0" equalAverage="0" bottom="0" percent="0" rank="0" text="" dxfId="0">
      <formula>"DEBE"</formula>
    </cfRule>
    <cfRule type="cellIs" priority="3" operator="equal" aboveAverage="0" equalAverage="0" bottom="0" percent="0" rank="0" text="" dxfId="1">
      <formula>"PAGÓ"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2026-10-23T22:42:53Z</dcterms:created>
  <dc:creator>openpyxl</dc:creator>
  <dc:description/>
  <dc:language>en-US</dc:language>
  <cp:lastModifiedBy/>
  <dcterms:modified xsi:type="dcterms:W3CDTF">2026-10-23T22:42:54Z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